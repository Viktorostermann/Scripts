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 Miletic\Desktop\"/>
    </mc:Choice>
  </mc:AlternateContent>
  <xr:revisionPtr revIDLastSave="0" documentId="13_ncr:1_{228C25D6-3BCF-4528-98C6-5DFA044CEDE5}" xr6:coauthVersionLast="34" xr6:coauthVersionMax="34" xr10:uidLastSave="{00000000-0000-0000-0000-000000000000}"/>
  <bookViews>
    <workbookView xWindow="0" yWindow="0" windowWidth="20490" windowHeight="6945" xr2:uid="{00000000-000D-0000-FFFF-FFFF00000000}"/>
  </bookViews>
  <sheets>
    <sheet name="MODELO ART" sheetId="1" r:id="rId1"/>
  </sheets>
  <definedNames>
    <definedName name="_xlnm.Print_Area" localSheetId="0">'MODELO ART'!$A$1:$Q$60</definedName>
  </definedNames>
  <calcPr calcId="179021"/>
</workbook>
</file>

<file path=xl/calcChain.xml><?xml version="1.0" encoding="utf-8"?>
<calcChain xmlns="http://schemas.openxmlformats.org/spreadsheetml/2006/main">
  <c r="L4" i="1" l="1"/>
  <c r="N12" i="1"/>
  <c r="M12" i="1"/>
  <c r="K12" i="1"/>
  <c r="H12" i="1"/>
  <c r="G12" i="1"/>
  <c r="E12" i="1"/>
  <c r="N11" i="1"/>
  <c r="M11" i="1"/>
  <c r="K11" i="1"/>
  <c r="H11" i="1"/>
  <c r="G11" i="1"/>
  <c r="E11" i="1"/>
  <c r="N10" i="1"/>
  <c r="M10" i="1"/>
  <c r="K10" i="1"/>
  <c r="H10" i="1"/>
  <c r="G10" i="1"/>
  <c r="E10" i="1"/>
  <c r="N9" i="1"/>
  <c r="M9" i="1"/>
  <c r="K9" i="1"/>
  <c r="H9" i="1"/>
  <c r="G9" i="1"/>
  <c r="E9" i="1"/>
  <c r="N8" i="1"/>
  <c r="M8" i="1"/>
  <c r="K8" i="1"/>
  <c r="H8" i="1"/>
  <c r="G8" i="1"/>
  <c r="E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Barceló</author>
    <author>YPC0124</author>
  </authors>
  <commentList>
    <comment ref="D7" authorId="0" shapeId="0" xr:uid="{00000000-0006-0000-0000-000001000000}">
      <text>
        <r>
          <rPr>
            <b/>
            <sz val="18"/>
            <color rgb="FF000000"/>
            <rFont val="Tahoma"/>
            <family val="2"/>
          </rPr>
          <t>Severidad:</t>
        </r>
        <r>
          <rPr>
            <sz val="18"/>
            <color rgb="FF000000"/>
            <rFont val="Tahoma"/>
            <family val="2"/>
          </rPr>
          <t xml:space="preserve"> Digite: 1 al 6
1. Menor 
2. Moderado
3. Serio
4. Muy Serio
5. Catastrofico.
6. Desastroso.</t>
        </r>
      </text>
    </comment>
    <comment ref="F7" authorId="0" shapeId="0" xr:uid="{00000000-0006-0000-0000-000002000000}">
      <text>
        <r>
          <rPr>
            <sz val="18"/>
            <color rgb="FF000000"/>
            <rFont val="Tahoma"/>
            <family val="2"/>
          </rPr>
          <t xml:space="preserve">Probabilidad de Ocurrencia:
Seleccione del 1 al 6
 1. Remoto
 2. Extremadamente Improbable.
 3. Muy improblable  
 4. Improbable          
 5. Probable    
 6. Muy Probable </t>
        </r>
      </text>
    </comment>
    <comment ref="H7" authorId="0" shapeId="0" xr:uid="{00000000-0006-0000-0000-000003000000}">
      <text>
        <r>
          <rPr>
            <b/>
            <sz val="8"/>
            <color rgb="FF000000"/>
            <rFont val="Tahoma"/>
            <family val="2"/>
          </rPr>
          <t>Resultado:</t>
        </r>
        <r>
          <rPr>
            <b/>
            <sz val="8"/>
            <color rgb="FF000000"/>
            <rFont val="Tahoma"/>
            <family val="2"/>
          </rPr>
          <t xml:space="preserve">
Seleccionar del 1 al 3</t>
        </r>
        <r>
          <rPr>
            <sz val="8"/>
            <color rgb="FF000000"/>
            <rFont val="Tahoma"/>
            <family val="2"/>
          </rPr>
          <t xml:space="preserve">
 1. Inaceptable </t>
        </r>
        <r>
          <rPr>
            <sz val="8"/>
            <color rgb="FF000000"/>
            <rFont val="Tahoma"/>
            <family val="2"/>
          </rPr>
          <t xml:space="preserve">
 2. Tolerable     </t>
        </r>
        <r>
          <rPr>
            <sz val="8"/>
            <color rgb="FF000000"/>
            <rFont val="Tahoma"/>
            <family val="2"/>
          </rPr>
          <t xml:space="preserve">
 3. Aceptable    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
Ver tabla resultados</t>
        </r>
      </text>
    </comment>
    <comment ref="J7" authorId="0" shapeId="0" xr:uid="{00000000-0006-0000-0000-000004000000}">
      <text>
        <r>
          <rPr>
            <b/>
            <sz val="18"/>
            <color rgb="FF000000"/>
            <rFont val="Tahoma"/>
            <family val="2"/>
          </rPr>
          <t>Severidad:</t>
        </r>
        <r>
          <rPr>
            <sz val="18"/>
            <color rgb="FF000000"/>
            <rFont val="Tahoma"/>
            <family val="2"/>
          </rPr>
          <t xml:space="preserve"> Seleccione: 1 al 6
1. Menor 
2. Moderado
3. Serio
4. Muy Serio
5. Catastrofico.
6. Desastroso.</t>
        </r>
      </text>
    </comment>
    <comment ref="L7" authorId="0" shapeId="0" xr:uid="{00000000-0006-0000-0000-000005000000}">
      <text>
        <r>
          <rPr>
            <sz val="18"/>
            <color rgb="FF000000"/>
            <rFont val="Tahoma"/>
            <family val="2"/>
          </rPr>
          <t xml:space="preserve">Probabilidad de Ocurrencia:
Digite del 1 al 6
 1. Remoto
 2. Extremadamente Improbable.
 3. Muy improblable  
 4. Improbable          
 5. Probable    
 6. Muy Probable </t>
        </r>
      </text>
    </comment>
    <comment ref="N7" authorId="1" shapeId="0" xr:uid="{00000000-0006-0000-0000-000006000000}">
      <text>
        <r>
          <rPr>
            <b/>
            <sz val="18"/>
            <color rgb="FF000000"/>
            <rFont val="Tahoma"/>
            <family val="2"/>
          </rPr>
          <t>R</t>
        </r>
        <r>
          <rPr>
            <sz val="18"/>
            <color rgb="FF000000"/>
            <rFont val="Tahoma"/>
            <family val="2"/>
          </rPr>
          <t>e</t>
        </r>
        <r>
          <rPr>
            <b/>
            <sz val="18"/>
            <color rgb="FF000000"/>
            <rFont val="Tahoma"/>
            <family val="2"/>
          </rPr>
          <t>sultado:</t>
        </r>
        <r>
          <rPr>
            <sz val="18"/>
            <color rgb="FF000000"/>
            <rFont val="Tahoma"/>
            <family val="2"/>
          </rPr>
          <t xml:space="preserve">
 </t>
        </r>
        <r>
          <rPr>
            <b/>
            <sz val="18"/>
            <color rgb="FF000000"/>
            <rFont val="Tahoma"/>
            <family val="2"/>
          </rPr>
          <t>Inaceptable: 1 (I)
 Tolerable:      2 (T)
 Aceptable:     3 (A)</t>
        </r>
        <r>
          <rPr>
            <sz val="18"/>
            <color rgb="FF000000"/>
            <rFont val="Tahoma"/>
            <family val="2"/>
          </rPr>
          <t xml:space="preserve">
Ver tabla resultados Pie de Pagina</t>
        </r>
      </text>
    </comment>
  </commentList>
</comments>
</file>

<file path=xl/sharedStrings.xml><?xml version="1.0" encoding="utf-8"?>
<sst xmlns="http://schemas.openxmlformats.org/spreadsheetml/2006/main" count="57" uniqueCount="45">
  <si>
    <t xml:space="preserve">ANÁLISIS DE RIESGOS DEL TRABAJO </t>
  </si>
  <si>
    <t>ART-AG-PL-XXX</t>
  </si>
  <si>
    <t>Producción</t>
  </si>
  <si>
    <t xml:space="preserve">Instalación: </t>
  </si>
  <si>
    <t xml:space="preserve">Pagina     </t>
  </si>
  <si>
    <t xml:space="preserve">Responsable del trabajo: </t>
  </si>
  <si>
    <t xml:space="preserve">Fecha: </t>
  </si>
  <si>
    <t>Hora:</t>
  </si>
  <si>
    <t xml:space="preserve">Descripción del trabajo: </t>
  </si>
  <si>
    <t>CARGA, DESCARGA PARA EL DESPACHO DE MENESTRAS, ALIMENTOS Y OTROS ( INUMOS, MATERIALES Y HERRAMIENTAS )</t>
  </si>
  <si>
    <t>#</t>
  </si>
  <si>
    <t>Tarea</t>
  </si>
  <si>
    <t>Peligro</t>
  </si>
  <si>
    <t>Riesgo Inicial</t>
  </si>
  <si>
    <t>Medidas para reducir el riesgo
(S,P,R)</t>
  </si>
  <si>
    <t>Riesgo Residual</t>
  </si>
  <si>
    <t>Responsable</t>
  </si>
  <si>
    <t>Fecha Inicio</t>
  </si>
  <si>
    <t>Fecha Completación</t>
  </si>
  <si>
    <t>S</t>
  </si>
  <si>
    <t>Descripción Severidad</t>
  </si>
  <si>
    <t>P</t>
  </si>
  <si>
    <t>Descripción de Probabilidad</t>
  </si>
  <si>
    <t>R</t>
  </si>
  <si>
    <t>Descripción Probabilidad</t>
  </si>
  <si>
    <t>(DD/MM/AA)</t>
  </si>
  <si>
    <t>Tráfico en el Área de Personas y/o Vehículos en movimiento. (Colision con objetos fijos y/o en movimiento) (Arrollamiento, Aprisionamiento)</t>
  </si>
  <si>
    <t>Conductores / Supervisores de Actividad / Responsable de Actividad</t>
  </si>
  <si>
    <t>Supervisores de Actividad / Responsable de Actividad</t>
  </si>
  <si>
    <t>Orden y Limpieza</t>
  </si>
  <si>
    <t xml:space="preserve">Aprobación del ART: Coordiandor SHA: </t>
  </si>
  <si>
    <t xml:space="preserve">Firma: </t>
  </si>
  <si>
    <t>Fecha:</t>
  </si>
  <si>
    <t xml:space="preserve"> </t>
  </si>
  <si>
    <t>Zona y/o Área con presencia de derivados Hidrocarburos (Aceite, Grasas, Combustible), (Caidas a mismo nivel y otro Nivel)</t>
  </si>
  <si>
    <t>Dirigir el Posicionamiento del Vehiculos en Área de Rampa para Carga de Vehiculos</t>
  </si>
  <si>
    <t xml:space="preserve">-Verificar las condiciones antes de ingresar a rampa de tránsito automotor.
- Verificar sistemas de seguridad del Vehiculo de Carga antes de Ingresar a Planta. Sistemas de freno y parada de emergencia, estado de Llantas, Plataformas, Cabinas, Cava
- Verificar y Prestar atención a las alarmas de retroceso en vehículos.  Nunca colocarse en sitio posterior del vehiculo de carga o puntos ciegos del conductor. Vehiculo Estacionado o En movimiento.
- Utilizar caminerías y áreas demarcadas. Paso de peatones Supervisar límites de velocidad y Carga. Respetar señalizaciones.
- Aplicar técnicas de Manejo Defensivo, Utilizar cinturón de seguridad. Sentido comun.
- Aplicar técnicas de Seguridad Conductual Inteligente.
- Velar por el cumplimiento de los reglamentos de transito para vehiculos segun leyes y reglamentos vigentes.
</t>
  </si>
  <si>
    <t xml:space="preserve">- Inspeccionar previamente el área de trabajo para descartar derrames de combustible, aceites o derivados de hidrocarburos. 
- Tener precaución al accesar, levantar objetos, o realizar mantenimiento y servicio en area de rampa de acceso para vehiculos de carga
- Utilizar  EPP de seguridad adecuados, avisos o señalizaciones mientras se encuentra en rampa realizando actividad.
- Disponer de paños absorventes y detergentes biodegradables para la remediacion de los posibles derrames derivados de hidrocarburos en area de aparcamiento de vehiculos.
- Mantener Extintores de incendio en sitio.
</t>
  </si>
  <si>
    <t>- Emplear sistemas de sujecion de llantas en inclinaciones mayores a 30ª (Rampas) para prevenir deslizamientos de vehiculos de carga estacionados mientras se realiza la carga o descarga de menestras en sitio.</t>
  </si>
  <si>
    <t>Soporte y sujecion de ruedas de Vehiculos o Llantas en pavimento (Golpes / Atrapado Aprisionamientos, Arrollado)</t>
  </si>
  <si>
    <t>Carga y Descarga Manual de Alimentos, Materiales, Equipos</t>
  </si>
  <si>
    <t>Menestras, Materiales y Equipos Para transportar Menestras, Palets, Transpaletas. (Atrapados y/o Aprisionamientos), Caidas mismo nivel, otro nivel, volcamiento de palets.</t>
  </si>
  <si>
    <t>Uso de Herramientas /  Equipos / Accesorios. (Golpes y /o Aprisionamientos, pellizco)</t>
  </si>
  <si>
    <t>- Mantener las manos, pies y dedos fuera de puntos de pellizco, enganche o aprisionamiento
- Usar siempre (E.P.P). suministrados por el empleador
- Los cajones de almacenamiento de herramientas deben estar debidamente colocados y cerrados
- Colocar señalización de riesgo de atrapado, y/o punto de pellizco.
- Mantener areas o mesas de trabajo despejadas y sin objetos, materiales o herramientas luego de finalizar la actividad, suelos y piso despejados y libres de objetos que puedan ocasionar caidas.</t>
  </si>
  <si>
    <t xml:space="preserve">- Mantener las manos, pies y dedos fuera de puntos de pellizco, enganche o aprisionamiento.
- Almacenar y posicionar en sitios seguros, Carretillas, Carretas, Transpaletas (STOKA)
- Evitar subir y deslizar sobre la transpaleta o Stoka, mientras esta, se encuentra con o sin carga.
- Posicionar correctamente la traspaleta o Stoka, (Alinear con respecto al centro de Carga) antes de levantar la carga.
- Verificar con el fabricante la capacidad de carga de cada transpaleta.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</si>
</sst>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4"/>
      <color rgb="FF000000"/>
      <name val="Arial"/>
      <family val="2"/>
    </font>
    <font>
      <b/>
      <sz val="18"/>
      <color rgb="FF000000"/>
      <name val="Tahoma"/>
      <family val="2"/>
    </font>
    <font>
      <sz val="1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9CC00"/>
        <bgColor rgb="FF99CC00"/>
      </patternFill>
    </fill>
    <fill>
      <patternFill patternType="solid">
        <fgColor rgb="FF808000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7" borderId="1" applyNumberFormat="0" applyFont="0" applyAlignment="0" applyProtection="0"/>
  </cellStyleXfs>
  <cellXfs count="5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8" borderId="14" xfId="0" applyFont="1" applyFill="1" applyBorder="1" applyAlignment="1">
      <alignment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9" borderId="0" xfId="0" applyFont="1" applyFill="1" applyAlignment="1">
      <alignment horizontal="center" wrapText="1"/>
    </xf>
    <xf numFmtId="0" fontId="9" fillId="9" borderId="0" xfId="0" applyFont="1" applyFill="1" applyAlignment="1">
      <alignment wrapText="1"/>
    </xf>
    <xf numFmtId="0" fontId="9" fillId="9" borderId="0" xfId="0" applyFont="1" applyFill="1"/>
    <xf numFmtId="0" fontId="2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2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center" wrapText="1"/>
    </xf>
    <xf numFmtId="0" fontId="9" fillId="9" borderId="0" xfId="0" applyFont="1" applyFill="1" applyAlignment="1">
      <alignment vertical="center"/>
    </xf>
    <xf numFmtId="0" fontId="7" fillId="0" borderId="1" xfId="0" quotePrefix="1" applyFont="1" applyBorder="1" applyAlignment="1">
      <alignment horizontal="left" vertical="top" wrapText="1"/>
    </xf>
    <xf numFmtId="0" fontId="7" fillId="0" borderId="1" xfId="0" quotePrefix="1" applyFont="1" applyBorder="1" applyAlignment="1">
      <alignment horizontal="left" vertical="center" wrapText="1"/>
    </xf>
    <xf numFmtId="0" fontId="0" fillId="0" borderId="0" xfId="0"/>
    <xf numFmtId="0" fontId="0" fillId="9" borderId="0" xfId="0" applyFill="1"/>
    <xf numFmtId="0" fontId="0" fillId="0" borderId="0" xfId="0" applyAlignment="1">
      <alignment horizontal="justify" wrapText="1"/>
    </xf>
    <xf numFmtId="0" fontId="4" fillId="0" borderId="10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left"/>
    </xf>
    <xf numFmtId="0" fontId="3" fillId="0" borderId="22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0" fillId="8" borderId="5" xfId="0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0" fillId="0" borderId="8" xfId="0" applyFill="1" applyBorder="1"/>
    <xf numFmtId="0" fontId="4" fillId="0" borderId="9" xfId="0" applyFont="1" applyFill="1" applyBorder="1" applyAlignment="1">
      <alignment horizontal="left" vertical="center" wrapText="1"/>
    </xf>
    <xf numFmtId="0" fontId="0" fillId="0" borderId="10" xfId="0" applyFill="1" applyBorder="1"/>
    <xf numFmtId="14" fontId="4" fillId="0" borderId="10" xfId="0" applyNumberFormat="1" applyFont="1" applyFill="1" applyBorder="1" applyAlignment="1">
      <alignment horizontal="center" vertical="center" wrapText="1"/>
    </xf>
    <xf numFmtId="0" fontId="0" fillId="0" borderId="11" xfId="0" applyFill="1" applyBorder="1"/>
  </cellXfs>
  <cellStyles count="8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f7" xfId="7" xr:uid="{00000000-0005-0000-0000-000006000000}"/>
    <cellStyle name="Normal" xfId="0" builtinId="0" customBuiltin="1"/>
  </cellStyles>
  <dxfs count="113">
    <dxf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808000"/>
          <bgColor rgb="FF8080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99CC00"/>
          <bgColor rgb="FF99CC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1230087" cy="0"/>
    <xdr:pic>
      <xdr:nvPicPr>
        <xdr:cNvPr id="2" name="Picture 16" descr="logo_YPergas_pequeño">
          <a:extLst>
            <a:ext uri="{FF2B5EF4-FFF2-40B4-BE49-F238E27FC236}">
              <a16:creationId xmlns:a16="http://schemas.microsoft.com/office/drawing/2014/main" id="{CBE8D3C5-EA45-40B6-A6B8-D46A79E1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7150" y="0"/>
          <a:ext cx="1230087" cy="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163284</xdr:colOff>
      <xdr:row>15</xdr:row>
      <xdr:rowOff>51023</xdr:rowOff>
    </xdr:from>
    <xdr:ext cx="5515569" cy="5783040"/>
    <xdr:pic>
      <xdr:nvPicPr>
        <xdr:cNvPr id="4" name="Picture 2">
          <a:extLst>
            <a:ext uri="{FF2B5EF4-FFF2-40B4-BE49-F238E27FC236}">
              <a16:creationId xmlns:a16="http://schemas.microsoft.com/office/drawing/2014/main" id="{6542DA6E-5CC0-4471-B395-9A249E14E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9786" t="34691" r="60856" b="10586"/>
        <a:stretch>
          <a:fillRect/>
        </a:stretch>
      </xdr:blipFill>
      <xdr:spPr>
        <a:xfrm>
          <a:off x="163284" y="11814398"/>
          <a:ext cx="5515569" cy="57830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5</xdr:col>
      <xdr:colOff>285750</xdr:colOff>
      <xdr:row>14</xdr:row>
      <xdr:rowOff>119064</xdr:rowOff>
    </xdr:from>
    <xdr:ext cx="12973050" cy="8849407"/>
    <xdr:pic>
      <xdr:nvPicPr>
        <xdr:cNvPr id="3" name="Imagen 4">
          <a:extLst>
            <a:ext uri="{FF2B5EF4-FFF2-40B4-BE49-F238E27FC236}">
              <a16:creationId xmlns:a16="http://schemas.microsoft.com/office/drawing/2014/main" id="{6BAC960A-466E-481B-8AA1-4BE789F8F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810250" y="11720514"/>
          <a:ext cx="12973050" cy="884940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A4" zoomScale="85" zoomScaleNormal="85" workbookViewId="0">
      <selection activeCell="K8" sqref="K8"/>
    </sheetView>
  </sheetViews>
  <sheetFormatPr baseColWidth="10" defaultRowHeight="12.75" x14ac:dyDescent="0.2"/>
  <cols>
    <col min="1" max="1" width="3.85546875" customWidth="1"/>
    <col min="2" max="2" width="27.140625" customWidth="1"/>
    <col min="3" max="3" width="33.140625" customWidth="1"/>
    <col min="4" max="4" width="5.28515625" customWidth="1"/>
    <col min="5" max="5" width="13.42578125" customWidth="1"/>
    <col min="6" max="6" width="5" customWidth="1"/>
    <col min="7" max="7" width="14" customWidth="1"/>
    <col min="8" max="8" width="14.85546875" customWidth="1"/>
    <col min="9" max="9" width="57.85546875" customWidth="1"/>
    <col min="10" max="10" width="6" customWidth="1"/>
    <col min="11" max="11" width="12.85546875" customWidth="1"/>
    <col min="12" max="12" width="6" customWidth="1"/>
    <col min="13" max="13" width="14.42578125" customWidth="1"/>
    <col min="14" max="14" width="13" customWidth="1"/>
    <col min="15" max="15" width="26.7109375" customWidth="1"/>
    <col min="16" max="16" width="16.140625" customWidth="1"/>
    <col min="17" max="17" width="19.140625" customWidth="1"/>
    <col min="18" max="18" width="11.42578125" customWidth="1"/>
  </cols>
  <sheetData>
    <row r="1" spans="1:17" ht="13.5" thickBot="1" x14ac:dyDescent="0.25"/>
    <row r="2" spans="1:17" s="2" customFormat="1" ht="45.75" customHeight="1" thickBot="1" x14ac:dyDescent="0.25">
      <c r="A2" s="1"/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 t="s">
        <v>1</v>
      </c>
      <c r="Q2" s="50"/>
    </row>
    <row r="3" spans="1:17" s="2" customFormat="1" ht="24.75" customHeight="1" thickBot="1" x14ac:dyDescent="0.25">
      <c r="A3" s="51" t="s">
        <v>2</v>
      </c>
      <c r="B3" s="51"/>
      <c r="C3" s="52" t="s">
        <v>3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3" t="s">
        <v>4</v>
      </c>
      <c r="P3" s="53"/>
      <c r="Q3" s="53"/>
    </row>
    <row r="4" spans="1:17" s="2" customFormat="1" ht="25.5" customHeight="1" x14ac:dyDescent="0.2">
      <c r="A4" s="51"/>
      <c r="B4" s="51"/>
      <c r="C4" s="54" t="s">
        <v>5</v>
      </c>
      <c r="D4" s="54"/>
      <c r="E4" s="54"/>
      <c r="F4" s="55"/>
      <c r="G4" s="55"/>
      <c r="H4" s="55"/>
      <c r="I4" s="55"/>
      <c r="J4" s="54" t="s">
        <v>6</v>
      </c>
      <c r="K4" s="54"/>
      <c r="L4" s="56">
        <f ca="1">TODAY()</f>
        <v>43341</v>
      </c>
      <c r="M4" s="56"/>
      <c r="N4" s="56"/>
      <c r="O4" s="4" t="s">
        <v>7</v>
      </c>
      <c r="P4" s="57"/>
      <c r="Q4" s="57"/>
    </row>
    <row r="5" spans="1:17" s="2" customFormat="1" ht="24.75" customHeight="1" thickBot="1" x14ac:dyDescent="0.25">
      <c r="A5" s="45" t="s">
        <v>8</v>
      </c>
      <c r="B5" s="45"/>
      <c r="C5" s="46" t="s">
        <v>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1:17" s="2" customFormat="1" ht="32.25" customHeight="1" thickBot="1" x14ac:dyDescent="0.25">
      <c r="A6" s="47" t="s">
        <v>10</v>
      </c>
      <c r="B6" s="48" t="s">
        <v>11</v>
      </c>
      <c r="C6" s="48" t="s">
        <v>12</v>
      </c>
      <c r="D6" s="48" t="s">
        <v>13</v>
      </c>
      <c r="E6" s="48"/>
      <c r="F6" s="48"/>
      <c r="G6" s="48"/>
      <c r="H6" s="48"/>
      <c r="I6" s="48" t="s">
        <v>14</v>
      </c>
      <c r="J6" s="48" t="s">
        <v>15</v>
      </c>
      <c r="K6" s="48"/>
      <c r="L6" s="48"/>
      <c r="M6" s="48"/>
      <c r="N6" s="48"/>
      <c r="O6" s="48" t="s">
        <v>16</v>
      </c>
      <c r="P6" s="5" t="s">
        <v>17</v>
      </c>
      <c r="Q6" s="6" t="s">
        <v>18</v>
      </c>
    </row>
    <row r="7" spans="1:17" s="2" customFormat="1" ht="42" customHeight="1" x14ac:dyDescent="0.2">
      <c r="A7" s="47"/>
      <c r="B7" s="48"/>
      <c r="C7" s="48"/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  <c r="I7" s="48"/>
      <c r="J7" s="7" t="s">
        <v>19</v>
      </c>
      <c r="K7" s="8" t="s">
        <v>20</v>
      </c>
      <c r="L7" s="7" t="s">
        <v>21</v>
      </c>
      <c r="M7" s="9" t="s">
        <v>24</v>
      </c>
      <c r="N7" s="9" t="s">
        <v>23</v>
      </c>
      <c r="O7" s="48"/>
      <c r="P7" s="10" t="s">
        <v>25</v>
      </c>
      <c r="Q7" s="11" t="s">
        <v>25</v>
      </c>
    </row>
    <row r="8" spans="1:17" s="2" customFormat="1" ht="238.5" customHeight="1" x14ac:dyDescent="0.2">
      <c r="A8" s="40">
        <v>1</v>
      </c>
      <c r="B8" s="41" t="s">
        <v>35</v>
      </c>
      <c r="C8" s="12" t="s">
        <v>26</v>
      </c>
      <c r="D8" s="13">
        <v>1</v>
      </c>
      <c r="E8" s="14" t="str">
        <f>IF(D8&lt;1,"Rango &gt;=1 y &lt;=6",
IF(D8=2,"Moderado",IF(D8=1,"Menor",
IF(D8=3,"Serio",
IF(D8=4,"Muy Serio",
IF(D8=5,"Catastrofico",
IF(D8=6,"Desastroso",IF(D8&gt;6,"Rango &gt;=1 y &lt;=6",
IF(D8=0,"Introduce Rango &gt;=1 y &lt;=6")))))))))</f>
        <v>Menor</v>
      </c>
      <c r="F8" s="13">
        <v>1</v>
      </c>
      <c r="G8" s="14" t="str">
        <f>IF(F8&lt;1,"Rango &gt;=1 y &lt;=6",
IF(F8=1,"Remoto",
IF(F8=2,"Extremadamente. Improb.",
IF(F8=3,"Muy Improbable",
IF(F8=4,"Improbable",
IF(F8=5,"Probable",
IF(F8=6,"Muy Probable",
IF(F8&gt;6,"Rango &gt;=1 y &lt;=6",
IF(F8=0,"Introduce Rango &gt;=1 y &lt;=6")))))))))</f>
        <v>Remoto</v>
      </c>
      <c r="H8" s="13" t="str">
        <f>IF(AND(D8*F8&lt;=9,AND(F8&lt;6,D8&lt;6)),"Nivel riesgo 3",IF(AND(D8*F8=18,D8=6),"Nivel riesgo 1",IF(AND((D8*F8&lt;=18), AND(F8 &lt;= 6,D8 &lt;=6)),"Nivel riesgo 2",IF(AND(AND(D8*F8&gt;=18,D8*F8&lt;37),AND(F8&gt;=3,D8&gt;=4)),"Nivel riesgo 1",IF(D8*F8&gt;36,"")))))</f>
        <v>Nivel riesgo 3</v>
      </c>
      <c r="I8" s="35" t="s">
        <v>36</v>
      </c>
      <c r="J8" s="13">
        <v>6</v>
      </c>
      <c r="K8" s="14" t="str">
        <f>IF(J8&lt;1,"Rango &gt;=1 y &lt;=6",
IF(J8=2,"Moderado",IF(J8=1,"Menor",
IF(J8=3,"Serio",
IF(J8=4,"Muy Serio",
IF(J8=5,"Catastrofico",
IF(J8=6,"Desastroso",IF(J8&gt;6,"Rango &gt;=1 y &lt;=6",
IF(J8=0,"Introduce Rango &gt;=1 y &lt;=6")))))))))</f>
        <v>Desastroso</v>
      </c>
      <c r="L8" s="13">
        <v>6</v>
      </c>
      <c r="M8" s="14" t="str">
        <f>IF(L8&lt;1,"Rango &gt;=1 y &lt;=6",
IF(L8=1,"Remoto",
IF(L8=2,"Extremadamente. Improb.",
IF(L8=3,"Muy Improbable",
IF(L8=4,"Improbable",
IF(L8=5,"Probable",
IF(L8=6,"Muy Probable",
IF(L8&gt;6,"Rango &gt;=1 y &lt;=6",
IF(L8=0,"Introduce Rango &gt;=1 y &lt;=6")))))))))</f>
        <v>Muy Probable</v>
      </c>
      <c r="N8" s="13" t="str">
        <f>IF(AND(J8*L8&lt;=9,AND(L8&lt;6,J8&lt;6)),"Nivel riesgo 3",IF(AND(J8*L8=18,J8=6),"Nivel riesgo 1",IF(AND((J8*L8&lt;=18), AND(L8 &lt;= 6,J8 &lt;=6)),"Nivel riesgo 2",IF(AND(AND(J8*L8&gt;=18,J8*L8&lt;37),AND(L8&gt;=3,J8&gt;=4)),"Nivel riesgo 1",IF(J8*L8&gt;36," ")))))</f>
        <v>Nivel riesgo 1</v>
      </c>
      <c r="O8" s="13" t="s">
        <v>27</v>
      </c>
      <c r="P8" s="15"/>
      <c r="Q8" s="16"/>
    </row>
    <row r="9" spans="1:17" s="2" customFormat="1" ht="197.25" customHeight="1" x14ac:dyDescent="0.2">
      <c r="A9" s="40"/>
      <c r="B9" s="41"/>
      <c r="C9" s="12" t="s">
        <v>34</v>
      </c>
      <c r="D9" s="13">
        <v>1</v>
      </c>
      <c r="E9" s="14" t="str">
        <f>IF(D9&lt;1,"Rango &gt;=1 y &lt;=6",
IF(D9=2,"Moderado",IF(D9=1,"Menor",
IF(D9=3,"Serio",
IF(D9=4,"Muy Serio",
IF(D9=5,"Catastrofico",
IF(D9=6,"Desastroso",IF(D9&gt;6,"Rango &gt;=1 y &lt;=6",
IF(D9=0,"Introduce Rango &gt;=1 y &lt;=6")))))))))</f>
        <v>Menor</v>
      </c>
      <c r="F9" s="13">
        <v>3</v>
      </c>
      <c r="G9" s="14" t="str">
        <f>IF(F9&lt;1,"Rango &gt;=1 y &lt;=6",
IF(F9=1,"Remoto",
IF(F9=2,"Extremadamente. Improb.",
IF(F9=3,"Muy Improbable",
IF(F9=4,"Improbable",
IF(F9=5,"Probable",
IF(F9=6,"Muy Probable",
IF(F9&gt;6,"Rango &gt;=1 y &lt;=6",
IF(F9=0,"Introduce Rango &gt;=1 y &lt;=6")))))))))</f>
        <v>Muy Improbable</v>
      </c>
      <c r="H9" s="13" t="str">
        <f>IF(AND(D9*F9&lt;=9,AND(F9&lt;6,D9&lt;6)),"Nivel riesgo 3",IF(AND(D9*F9=18,D9=6),"Nivel riesgo 1",IF(AND((D9*F9&lt;=18), AND(F9 &lt;= 6,D9 &lt;=6)),"Nivel riesgo 2",IF(AND(AND(D9*F9&gt;=18,D9*F9&lt;37),AND(F9&gt;=3,D9&gt;=4)),"Nivel riesgo 1",IF(D9*F9&gt;36,"")))))</f>
        <v>Nivel riesgo 3</v>
      </c>
      <c r="I9" s="35" t="s">
        <v>37</v>
      </c>
      <c r="J9" s="13">
        <v>1</v>
      </c>
      <c r="K9" s="14" t="str">
        <f>IF(J9&lt;1,"Rango &gt;=1 y &lt;=6",
IF(J9=2,"Moderado",IF(J9=1,"Menor",
IF(J9=3,"Serio",
IF(J9=4,"Muy Serio",
IF(J9=5,"Catastrofico",
IF(J9=6,"Desastroso",IF(J9&gt;6,"Rango &gt;=1 y &lt;=6",
IF(J9=0,"Introduce Rango &gt;=1 y &lt;=6")))))))))</f>
        <v>Menor</v>
      </c>
      <c r="L9" s="13">
        <v>4</v>
      </c>
      <c r="M9" s="14" t="str">
        <f>IF(L9&lt;1,"Rango &gt;=1 y &lt;=6",
IF(L9=1,"Remoto",
IF(L9=2,"Extremadamente. Improb.",
IF(L9=3,"Muy Improbable",
IF(L9=4,"Improbable",
IF(L9=5,"Probable",
IF(L9=6,"Muy Probable",
IF(L9&gt;6,"Rango &gt;=1 y &lt;=6",
IF(L9=0,"Introduce Rango &gt;=1 y &lt;=6")))))))))</f>
        <v>Improbable</v>
      </c>
      <c r="N9" s="13" t="str">
        <f>IF(AND(J9*L9&lt;=9,AND(L9&lt;6,J9&lt;6)),"Nivel riesgo 3",IF(AND(J9*L9=18,J9=6),"Nivel riesgo 1",IF(AND((J9*L9&lt;=18), AND(L9 &lt;= 6,J9 &lt;=6)),"Nivel riesgo 2",IF(AND(AND(J9*L9&gt;=18,J9*L9&lt;37),AND(L9&gt;=3,J9&gt;=4)),"Nivel riesgo 1",IF(J9*L9&gt;36," ")))))</f>
        <v>Nivel riesgo 3</v>
      </c>
      <c r="O9" s="13" t="s">
        <v>28</v>
      </c>
      <c r="P9" s="15"/>
      <c r="Q9" s="16"/>
    </row>
    <row r="10" spans="1:17" s="2" customFormat="1" ht="72" customHeight="1" x14ac:dyDescent="0.2">
      <c r="A10" s="40"/>
      <c r="B10" s="41"/>
      <c r="C10" s="12" t="s">
        <v>39</v>
      </c>
      <c r="D10" s="13">
        <v>1</v>
      </c>
      <c r="E10" s="14" t="str">
        <f>IF(D10&lt;1,"Rango &gt;=1 y &lt;=6",
IF(D10=2,"Moderado",IF(D10=1,"Menor",
IF(D10=3,"Serio",
IF(D10=4,"Muy Serio",
IF(D10=5,"Catastrofico",
IF(D10=6,"Desastroso",IF(D10&gt;6,"Rango &gt;=1 y &lt;=6",
IF(D10=0,"Introduce Rango &gt;=1 y &lt;=6")))))))))</f>
        <v>Menor</v>
      </c>
      <c r="F10" s="13">
        <v>1</v>
      </c>
      <c r="G10" s="14" t="str">
        <f>IF(F10&lt;1,"Rango &gt;=1 y &lt;=6",
IF(F10=1,"Remoto",
IF(F10=2,"Extremadamente. Improb.",
IF(F10=3,"Muy Improbable",
IF(F10=4,"Improbable",
IF(F10=5,"Probable",
IF(F10=6,"Muy Probable",
IF(F10&gt;6,"Rango &gt;=1 y &lt;=6",
IF(F10=0,"Introduce Rango &gt;=1 y &lt;=6")))))))))</f>
        <v>Remoto</v>
      </c>
      <c r="H10" s="13" t="str">
        <f>IF(AND(D10*F10&lt;=9,AND(F10&lt;6,D10&lt;6)),"Nivel riesgo 3",IF(AND(D10*F10=18,D10=6),"Nivel riesgo 1",IF(AND((D10*F10&lt;=18), AND(F10 &lt;= 6,D10 &lt;=6)),"Nivel riesgo 2",IF(AND(AND(D10*F10&gt;=18,D10*F10&lt;37),AND(F10&gt;=3,D10&gt;=4)),"Nivel riesgo 1",IF(D10*F10&gt;36,"")))))</f>
        <v>Nivel riesgo 3</v>
      </c>
      <c r="I10" s="36" t="s">
        <v>38</v>
      </c>
      <c r="J10" s="13">
        <v>1</v>
      </c>
      <c r="K10" s="14" t="str">
        <f>IF(J10&lt;1,"Rango &gt;=1 y &lt;=6",
IF(J10=2,"Moderado",IF(J10=1,"Menor",
IF(J10=3,"Serio",
IF(J10=4,"Muy Serio",
IF(J10=5,"Catastrofico",
IF(J10=6,"Desastroso",IF(J10&gt;6,"Rango &gt;=1 y &lt;=6",
IF(J10=0,"Introduce Rango &gt;=1 y &lt;=6")))))))))</f>
        <v>Menor</v>
      </c>
      <c r="L10" s="13">
        <v>3</v>
      </c>
      <c r="M10" s="14" t="str">
        <f>IF(L10&lt;1,"Rango &gt;=1 y &lt;=6",
IF(L10=1,"Remoto",
IF(L10=2,"Extremadamente. Improb.",
IF(L10=3,"Muy Improbable",
IF(L10=4,"Improbable",
IF(L10=5,"Probable",
IF(L10=6,"Muy Probable",
IF(L10&gt;6,"Rango &gt;=1 y &lt;=6",
IF(L10=0,"Introduce Rango &gt;=1 y &lt;=6")))))))))</f>
        <v>Muy Improbable</v>
      </c>
      <c r="N10" s="13" t="str">
        <f>IF(AND(J10*L10&lt;=9,AND(L10&lt;6,J10&lt;6)),"Nivel riesgo 3",IF(AND(J10*L10=18,J10=6),"Nivel riesgo 1",IF(AND((J10*L10&lt;=18), AND(L10 &lt;= 6,J10 &lt;=6)),"Nivel riesgo 2",IF(AND(AND(J10*L10&gt;=18,J10*L10&lt;37),AND(L10&gt;=3,J10&gt;=4)),"Nivel riesgo 1",IF(J10*L10&gt;36," ")))))</f>
        <v>Nivel riesgo 3</v>
      </c>
      <c r="O10" s="13" t="s">
        <v>27</v>
      </c>
      <c r="P10" s="15"/>
      <c r="Q10" s="16"/>
    </row>
    <row r="11" spans="1:17" s="2" customFormat="1" ht="145.5" customHeight="1" x14ac:dyDescent="0.2">
      <c r="A11" s="17">
        <v>2</v>
      </c>
      <c r="B11" s="18" t="s">
        <v>40</v>
      </c>
      <c r="C11" s="12" t="s">
        <v>41</v>
      </c>
      <c r="D11" s="13">
        <v>1</v>
      </c>
      <c r="E11" s="14" t="str">
        <f>IF(D11&lt;1,"Rango &gt;=1 y &lt;=6",
IF(D11=2,"Moderado",IF(D11=1,"Menor",
IF(D11=3,"Serio",
IF(D11=4,"Muy Serio",
IF(D11=5,"Catastrofico",
IF(D11=6,"Desastroso",IF(D11&gt;6,"Rango &gt;=1 y &lt;=6",
IF(D11=0,"Introduce Rango &gt;=1 y &lt;=6")))))))))</f>
        <v>Menor</v>
      </c>
      <c r="F11" s="13">
        <v>1</v>
      </c>
      <c r="G11" s="14" t="str">
        <f>IF(F11&lt;1,"Rango &gt;=1 y &lt;=6",
IF(F11=1,"Remoto",
IF(F11=2,"Extremadamente. Improb.",
IF(F11=3,"Muy Improbable",
IF(F11=4,"Improbable",
IF(F11=5,"Probable",
IF(F11=6,"Muy Probable",
IF(F11&gt;6,"Rango &gt;=1 y &lt;=6",
IF(F11=0,"Introduce Rango &gt;=1 y &lt;=6")))))))))</f>
        <v>Remoto</v>
      </c>
      <c r="H11" s="13" t="str">
        <f>IF(AND(D11*F11&lt;=9,AND(F11&lt;6,D11&lt;6)),"Nivel riesgo 3",IF(AND(D11*F11=18,D11=6),"Nivel riesgo 1",IF(AND((D11*F11&lt;=18), AND(F11 &lt;= 6,D11 &lt;=6)),"Nivel riesgo 2",IF(AND(AND(D11*F11&gt;=18,D11*F11&lt;37),AND(F11&gt;=3,D11&gt;=4)),"Nivel riesgo 1",IF(D11*F11&gt;36,"")))))</f>
        <v>Nivel riesgo 3</v>
      </c>
      <c r="I11" s="35" t="s">
        <v>44</v>
      </c>
      <c r="J11" s="13">
        <v>1</v>
      </c>
      <c r="K11" s="14" t="str">
        <f>IF(J11&lt;1,"Rango &gt;=1 y &lt;=6",
IF(J11=2,"Moderado",IF(J11=1,"Menor",
IF(J11=3,"Serio",
IF(J11=4,"Muy Serio",
IF(J11=5,"Catastrofico",
IF(J11=6,"Desastroso",IF(J11&gt;6,"Rango &gt;=1 y &lt;=6",
IF(J11=0,"Introduce Rango &gt;=1 y &lt;=6")))))))))</f>
        <v>Menor</v>
      </c>
      <c r="L11" s="13">
        <v>1</v>
      </c>
      <c r="M11" s="14" t="str">
        <f>IF(L11&lt;1,"Rango &gt;=1 y &lt;=6",
IF(L11=1,"Remoto",
IF(L11=2,"Extremadamente. Improb.",
IF(L11=3,"Muy Improbable",
IF(L11=4,"Improbable",
IF(L11=5,"Probable",
IF(L11=6,"Muy Probable",
IF(L11&gt;6,"Rango &gt;=1 y &lt;=6",
IF(L11=0,"Introduce Rango &gt;=1 y &lt;=6")))))))))</f>
        <v>Remoto</v>
      </c>
      <c r="N11" s="13" t="str">
        <f>IF(AND(J11*L11&lt;=9,AND(L11&lt;6,J11&lt;6)),"Nivel riesgo 3",IF(AND(J11*L11=18,J11=6),"Nivel riesgo 1",IF(AND((J11*L11&lt;=18), AND(L11 &lt;= 6,J11 &lt;=6)),"Nivel riesgo 2",IF(AND(AND(J11*L11&gt;=18,J11*L11&lt;37),AND(L11&gt;=3,J11&gt;=4)),"Nivel riesgo 1",IF(J11*L11&gt;36," ")))))</f>
        <v>Nivel riesgo 3</v>
      </c>
      <c r="O11" s="13" t="s">
        <v>28</v>
      </c>
      <c r="P11" s="15"/>
      <c r="Q11" s="16"/>
    </row>
    <row r="12" spans="1:17" s="2" customFormat="1" ht="165" customHeight="1" x14ac:dyDescent="0.2">
      <c r="A12" s="19">
        <v>3</v>
      </c>
      <c r="B12" s="20" t="s">
        <v>29</v>
      </c>
      <c r="C12" s="12" t="s">
        <v>42</v>
      </c>
      <c r="D12" s="13">
        <v>1</v>
      </c>
      <c r="E12" s="14" t="str">
        <f>IF(D12&lt;1,"Rango &gt;=1 y &lt;=6",
IF(D12=2,"Moderado",IF(D12=1,"Menor",
IF(D12=3,"Serio",
IF(D12=4,"Muy Serio",
IF(D12=5,"Catastrofico",
IF(D12=6,"Desastroso",IF(D12&gt;6,"Rango &gt;=1 y &lt;=6",
IF(D12=0,"Introduce Rango &gt;=1 y &lt;=6")))))))))</f>
        <v>Menor</v>
      </c>
      <c r="F12" s="13">
        <v>5</v>
      </c>
      <c r="G12" s="14" t="str">
        <f>IF(F12&lt;1,"Rango &gt;=1 y &lt;=6",
IF(F12=1,"Remoto",
IF(F12=2,"Extremadamente. Improb.",
IF(F12=3,"Muy Improbable",
IF(F12=4,"Improbable",
IF(F12=5,"Probable",
IF(F12=6,"Muy Probable",
IF(F12&gt;6,"Rango &gt;=1 y &lt;=6",
IF(F12=0,"Introduce Rango &gt;=1 y &lt;=6")))))))))</f>
        <v>Probable</v>
      </c>
      <c r="H12" s="13" t="str">
        <f>IF(AND(D12*F12&lt;=9,AND(F12&lt;6,D12&lt;6)),"Nivel riesgo 3",IF(AND(D12*F12=18,D12=6),"Nivel riesgo 1",IF(AND((D12*F12&lt;=18), AND(F12 &lt;= 6,D12 &lt;=6)),"Nivel riesgo 2",IF(AND(AND(D12*F12&gt;=18,D12*F12&lt;37),AND(F12&gt;=3,D12&gt;=4)),"Nivel riesgo 1",IF(D12*F12&gt;36,"")))))</f>
        <v>Nivel riesgo 3</v>
      </c>
      <c r="I12" s="36" t="s">
        <v>43</v>
      </c>
      <c r="J12" s="13">
        <v>1</v>
      </c>
      <c r="K12" s="14" t="str">
        <f>IF(J12&lt;1,"Rango &gt;=1 y &lt;=6",
IF(J12=2,"Moderado",IF(J12=1,"Menor",
IF(J12=3,"Serio",
IF(J12=4,"Muy Serio",
IF(J12=5,"Catastrofico",
IF(J12=6,"Desastroso",IF(J12&gt;6,"Rango &gt;=1 y &lt;=6",
IF(J12=0,"Introduce Rango &gt;=1 y &lt;=6")))))))))</f>
        <v>Menor</v>
      </c>
      <c r="L12" s="13">
        <v>4</v>
      </c>
      <c r="M12" s="14" t="str">
        <f>IF(L12&lt;1,"Rango &gt;=1 y &lt;=6",
IF(L12=1,"Remoto",
IF(L12=2,"Extremadamente. Improb.",
IF(L12=3,"Muy Improbable",
IF(L12=4,"Improbable",
IF(L12=5,"Probable",
IF(L12=6,"Muy Probable",
IF(L12&gt;6,"Rango &gt;=1 y &lt;=6",
IF(L12=0,"Introduce Rango &gt;=1 y &lt;=6")))))))))</f>
        <v>Improbable</v>
      </c>
      <c r="N12" s="13" t="str">
        <f>IF(AND(J12*L12&lt;=9,AND(L12&lt;6,J12&lt;6)),"Nivel riesgo 3",IF(AND(J12*L12=18,J12=6),"Nivel riesgo 1",IF(AND((J12*L12&lt;=18), AND(L12 &lt;= 6,J12 &lt;=6)),"Nivel riesgo 2",IF(AND(AND(J12*L12&gt;=18,J12*L12&lt;37),AND(L12&gt;=3,J12&gt;=4)),"Nivel riesgo 1",IF(J12*L12&gt;36," ")))))</f>
        <v>Nivel riesgo 3</v>
      </c>
      <c r="O12" s="13" t="s">
        <v>28</v>
      </c>
      <c r="P12" s="15"/>
      <c r="Q12" s="16"/>
    </row>
    <row r="13" spans="1:17" s="22" customFormat="1" ht="30" customHeight="1" thickBot="1" x14ac:dyDescent="0.25">
      <c r="A13" s="42" t="s">
        <v>30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3" t="s">
        <v>31</v>
      </c>
      <c r="P13" s="43"/>
      <c r="Q13" s="21" t="s">
        <v>32</v>
      </c>
    </row>
    <row r="14" spans="1:17" ht="28.5" customHeight="1" x14ac:dyDescent="0.2">
      <c r="A14" t="s">
        <v>33</v>
      </c>
      <c r="B14" s="23"/>
    </row>
    <row r="15" spans="1:17" x14ac:dyDescent="0.2">
      <c r="B15" s="37"/>
      <c r="C15" s="37"/>
      <c r="I15" s="24"/>
      <c r="P15" s="44" t="s">
        <v>33</v>
      </c>
      <c r="Q15" s="44"/>
    </row>
    <row r="16" spans="1:17" ht="15.75" x14ac:dyDescent="0.25">
      <c r="A16" s="25"/>
      <c r="B16" s="38"/>
      <c r="C16" s="38"/>
      <c r="D16" s="38"/>
      <c r="E16" s="38"/>
      <c r="F16" s="38"/>
      <c r="G16" s="38"/>
      <c r="P16" s="39" t="s">
        <v>33</v>
      </c>
      <c r="Q16" s="39"/>
    </row>
    <row r="17" spans="1:17" ht="18" x14ac:dyDescent="0.25">
      <c r="A17" s="25"/>
      <c r="B17" s="26"/>
      <c r="C17" s="27"/>
      <c r="D17" s="27"/>
      <c r="E17" s="27"/>
      <c r="F17" s="28"/>
      <c r="G17" s="28"/>
      <c r="P17" s="39" t="s">
        <v>33</v>
      </c>
      <c r="Q17" s="39"/>
    </row>
    <row r="18" spans="1:17" ht="18" x14ac:dyDescent="0.25">
      <c r="A18" s="25"/>
      <c r="B18" s="29"/>
      <c r="C18" s="38"/>
      <c r="D18" s="38"/>
      <c r="E18" s="38"/>
      <c r="F18" s="38"/>
      <c r="G18" s="38"/>
      <c r="P18" s="39" t="s">
        <v>33</v>
      </c>
      <c r="Q18" s="39"/>
    </row>
    <row r="19" spans="1:17" ht="18" x14ac:dyDescent="0.25">
      <c r="A19" s="25"/>
      <c r="B19" s="29"/>
      <c r="C19" s="30"/>
      <c r="D19" s="29"/>
      <c r="E19" s="29"/>
      <c r="F19" s="31"/>
      <c r="G19" s="31"/>
      <c r="P19" s="37"/>
      <c r="Q19" s="37"/>
    </row>
    <row r="20" spans="1:17" ht="18" x14ac:dyDescent="0.25">
      <c r="A20" s="25"/>
      <c r="B20" s="29"/>
      <c r="C20" s="30"/>
      <c r="D20" s="29"/>
      <c r="E20" s="29"/>
      <c r="F20" s="31"/>
      <c r="G20" s="31"/>
    </row>
    <row r="21" spans="1:17" ht="18" x14ac:dyDescent="0.25">
      <c r="A21" s="25"/>
      <c r="B21" s="29"/>
      <c r="C21" s="30"/>
      <c r="D21" s="29"/>
      <c r="E21" s="29"/>
      <c r="F21" s="31"/>
      <c r="G21" s="31"/>
    </row>
    <row r="22" spans="1:17" ht="18" x14ac:dyDescent="0.25">
      <c r="B22" s="29"/>
      <c r="C22" s="30"/>
      <c r="D22" s="29"/>
      <c r="E22" s="27"/>
      <c r="F22" s="28"/>
      <c r="G22" s="28"/>
    </row>
    <row r="23" spans="1:17" ht="18" x14ac:dyDescent="0.25">
      <c r="B23" s="29"/>
      <c r="C23" s="30"/>
      <c r="D23" s="29"/>
      <c r="E23" s="27"/>
      <c r="F23" s="28"/>
      <c r="G23" s="28"/>
    </row>
    <row r="24" spans="1:17" ht="18" x14ac:dyDescent="0.25">
      <c r="B24" s="29"/>
      <c r="C24" s="30"/>
      <c r="D24" s="29"/>
      <c r="E24" s="27"/>
      <c r="F24" s="28"/>
      <c r="G24" s="28"/>
    </row>
    <row r="25" spans="1:17" ht="18" x14ac:dyDescent="0.25">
      <c r="B25" s="29"/>
      <c r="C25" s="32"/>
      <c r="D25" s="32"/>
      <c r="E25" s="27"/>
      <c r="F25" s="28"/>
      <c r="G25" s="28"/>
    </row>
    <row r="26" spans="1:17" ht="18" x14ac:dyDescent="0.2">
      <c r="B26" s="29"/>
      <c r="C26" s="38"/>
      <c r="D26" s="38"/>
      <c r="E26" s="38"/>
      <c r="F26" s="38"/>
      <c r="G26" s="38"/>
    </row>
    <row r="27" spans="1:17" ht="18" x14ac:dyDescent="0.2">
      <c r="B27" s="29"/>
      <c r="C27" s="32"/>
      <c r="D27" s="32"/>
      <c r="E27" s="29"/>
      <c r="F27" s="31"/>
      <c r="G27" s="31"/>
    </row>
    <row r="28" spans="1:17" ht="18" x14ac:dyDescent="0.2">
      <c r="B28" s="29"/>
      <c r="C28" s="30"/>
      <c r="D28" s="29"/>
      <c r="E28" s="29"/>
      <c r="F28" s="31"/>
      <c r="G28" s="31"/>
    </row>
    <row r="29" spans="1:17" ht="18" x14ac:dyDescent="0.2">
      <c r="B29" s="29"/>
      <c r="C29" s="33"/>
      <c r="D29" s="29"/>
      <c r="E29" s="29"/>
      <c r="F29" s="31"/>
      <c r="G29" s="31"/>
    </row>
    <row r="30" spans="1:17" ht="18" x14ac:dyDescent="0.2">
      <c r="B30" s="29"/>
      <c r="C30" s="30"/>
      <c r="D30" s="29"/>
      <c r="E30" s="32"/>
      <c r="F30" s="34"/>
      <c r="G30" s="34"/>
    </row>
    <row r="31" spans="1:17" ht="18" x14ac:dyDescent="0.2">
      <c r="B31" s="29"/>
      <c r="C31" s="30"/>
      <c r="D31" s="29"/>
      <c r="E31" s="32"/>
      <c r="F31" s="34"/>
      <c r="G31" s="34"/>
    </row>
    <row r="32" spans="1:17" ht="18" x14ac:dyDescent="0.2">
      <c r="B32" s="29"/>
      <c r="C32" s="30"/>
      <c r="D32" s="29"/>
      <c r="E32" s="32"/>
      <c r="F32" s="34"/>
      <c r="G32" s="34"/>
    </row>
    <row r="33" spans="2:7" ht="18" x14ac:dyDescent="0.2">
      <c r="B33" s="29"/>
      <c r="C33" s="30"/>
      <c r="D33" s="29"/>
      <c r="E33" s="32"/>
      <c r="F33" s="34"/>
      <c r="G33" s="34"/>
    </row>
  </sheetData>
  <mergeCells count="34">
    <mergeCell ref="B2:O2"/>
    <mergeCell ref="P2:Q2"/>
    <mergeCell ref="A3:B4"/>
    <mergeCell ref="C3:N3"/>
    <mergeCell ref="P3:Q3"/>
    <mergeCell ref="C4:E4"/>
    <mergeCell ref="F4:I4"/>
    <mergeCell ref="J4:K4"/>
    <mergeCell ref="L4:N4"/>
    <mergeCell ref="P4:Q4"/>
    <mergeCell ref="A5:B5"/>
    <mergeCell ref="C5:Q5"/>
    <mergeCell ref="A6:A7"/>
    <mergeCell ref="B6:B7"/>
    <mergeCell ref="C6:C7"/>
    <mergeCell ref="D6:H6"/>
    <mergeCell ref="I6:I7"/>
    <mergeCell ref="J6:N6"/>
    <mergeCell ref="O6:O7"/>
    <mergeCell ref="A8:A10"/>
    <mergeCell ref="B8:B10"/>
    <mergeCell ref="A13:N13"/>
    <mergeCell ref="O13:P13"/>
    <mergeCell ref="B15:C15"/>
    <mergeCell ref="P15:Q15"/>
    <mergeCell ref="P19:Q19"/>
    <mergeCell ref="C26:D26"/>
    <mergeCell ref="E26:G26"/>
    <mergeCell ref="B16:G16"/>
    <mergeCell ref="P16:Q16"/>
    <mergeCell ref="P17:Q17"/>
    <mergeCell ref="C18:D18"/>
    <mergeCell ref="E18:G18"/>
    <mergeCell ref="P18:Q18"/>
  </mergeCells>
  <conditionalFormatting sqref="H10">
    <cfRule type="cellIs" dxfId="112" priority="10" stopIfTrue="1" operator="equal">
      <formula>"Aceptable"</formula>
    </cfRule>
  </conditionalFormatting>
  <conditionalFormatting sqref="H11">
    <cfRule type="cellIs" dxfId="111" priority="25" stopIfTrue="1" operator="equal">
      <formula>"Aceptable"</formula>
    </cfRule>
  </conditionalFormatting>
  <conditionalFormatting sqref="H12">
    <cfRule type="cellIs" dxfId="110" priority="33" stopIfTrue="1" operator="equal">
      <formula>"Aceptable"</formula>
    </cfRule>
  </conditionalFormatting>
  <conditionalFormatting sqref="H11">
    <cfRule type="cellIs" dxfId="109" priority="22" stopIfTrue="1" operator="equal">
      <formula>"Aceptable"</formula>
    </cfRule>
  </conditionalFormatting>
  <conditionalFormatting sqref="H12">
    <cfRule type="cellIs" dxfId="108" priority="39" stopIfTrue="1" operator="equal">
      <formula>"Aceptable"</formula>
    </cfRule>
  </conditionalFormatting>
  <conditionalFormatting sqref="H12">
    <cfRule type="cellIs" dxfId="107" priority="48" stopIfTrue="1" operator="equal">
      <formula>"Aceptable"</formula>
    </cfRule>
  </conditionalFormatting>
  <conditionalFormatting sqref="H8">
    <cfRule type="cellIs" dxfId="106" priority="56" stopIfTrue="1" operator="equal">
      <formula>"Aceptable"</formula>
    </cfRule>
  </conditionalFormatting>
  <conditionalFormatting sqref="H8">
    <cfRule type="cellIs" dxfId="105" priority="59" stopIfTrue="1" operator="equal">
      <formula>"Aceptable"</formula>
    </cfRule>
  </conditionalFormatting>
  <conditionalFormatting sqref="H9">
    <cfRule type="cellIs" dxfId="104" priority="71" stopIfTrue="1" operator="equal">
      <formula>"Aceptable"</formula>
    </cfRule>
  </conditionalFormatting>
  <conditionalFormatting sqref="N9">
    <cfRule type="cellIs" dxfId="103" priority="80" stopIfTrue="1" operator="equal">
      <formula>"Aceptable"</formula>
    </cfRule>
  </conditionalFormatting>
  <conditionalFormatting sqref="N9">
    <cfRule type="cellIs" dxfId="102" priority="83" stopIfTrue="1" operator="equal">
      <formula>"Aceptable"</formula>
    </cfRule>
  </conditionalFormatting>
  <conditionalFormatting sqref="N8 N12">
    <cfRule type="cellIs" dxfId="101" priority="94" stopIfTrue="1" operator="equal">
      <formula>"Aceptable"</formula>
    </cfRule>
  </conditionalFormatting>
  <conditionalFormatting sqref="N8 N12">
    <cfRule type="cellIs" dxfId="100" priority="91" stopIfTrue="1" operator="equal">
      <formula>"Aceptable"</formula>
    </cfRule>
  </conditionalFormatting>
  <conditionalFormatting sqref="N10:N11">
    <cfRule type="cellIs" dxfId="99" priority="108" stopIfTrue="1" operator="equal">
      <formula>"Aceptable"</formula>
    </cfRule>
  </conditionalFormatting>
  <conditionalFormatting sqref="N10:N11">
    <cfRule type="cellIs" dxfId="98" priority="105" stopIfTrue="1" operator="equal">
      <formula>"Aceptable"</formula>
    </cfRule>
  </conditionalFormatting>
  <conditionalFormatting sqref="H9">
    <cfRule type="cellIs" dxfId="97" priority="68" stopIfTrue="1" operator="equal">
      <formula>"Aceptable"</formula>
    </cfRule>
  </conditionalFormatting>
  <conditionalFormatting sqref="H12">
    <cfRule type="cellIs" dxfId="96" priority="45" stopIfTrue="1" operator="equal">
      <formula>"Aceptable"</formula>
    </cfRule>
  </conditionalFormatting>
  <conditionalFormatting sqref="H12">
    <cfRule type="cellIs" dxfId="95" priority="36" stopIfTrue="1" operator="equal">
      <formula>"Aceptable"</formula>
    </cfRule>
  </conditionalFormatting>
  <conditionalFormatting sqref="H10">
    <cfRule type="cellIs" dxfId="94" priority="7" stopIfTrue="1" operator="equal">
      <formula>"Aceptable"</formula>
    </cfRule>
  </conditionalFormatting>
  <conditionalFormatting sqref="H10">
    <cfRule type="cellIs" dxfId="93" priority="12" stopIfTrue="1" operator="equal">
      <formula>"Inaceptable"</formula>
    </cfRule>
  </conditionalFormatting>
  <conditionalFormatting sqref="H11">
    <cfRule type="cellIs" dxfId="92" priority="24" stopIfTrue="1" operator="equal">
      <formula>"Inaceptable"</formula>
    </cfRule>
  </conditionalFormatting>
  <conditionalFormatting sqref="H11">
    <cfRule type="cellIs" dxfId="91" priority="27" stopIfTrue="1" operator="equal">
      <formula>"Inaceptable"</formula>
    </cfRule>
  </conditionalFormatting>
  <conditionalFormatting sqref="H12">
    <cfRule type="cellIs" dxfId="90" priority="50" stopIfTrue="1" operator="equal">
      <formula>"Inaceptable"</formula>
    </cfRule>
  </conditionalFormatting>
  <conditionalFormatting sqref="H8">
    <cfRule type="cellIs" dxfId="89" priority="61" stopIfTrue="1" operator="equal">
      <formula>"Inaceptable"</formula>
    </cfRule>
  </conditionalFormatting>
  <conditionalFormatting sqref="H9">
    <cfRule type="cellIs" dxfId="88" priority="73" stopIfTrue="1" operator="equal">
      <formula>"Inaceptable"</formula>
    </cfRule>
  </conditionalFormatting>
  <conditionalFormatting sqref="N8 N12">
    <cfRule type="cellIs" dxfId="87" priority="96" stopIfTrue="1" operator="equal">
      <formula>"Inaceptable"</formula>
    </cfRule>
  </conditionalFormatting>
  <conditionalFormatting sqref="N9">
    <cfRule type="cellIs" dxfId="86" priority="85" stopIfTrue="1" operator="equal">
      <formula>"Inaceptable"</formula>
    </cfRule>
  </conditionalFormatting>
  <conditionalFormatting sqref="N10:N11">
    <cfRule type="cellIs" dxfId="85" priority="110" stopIfTrue="1" operator="equal">
      <formula>"Inaceptable"</formula>
    </cfRule>
  </conditionalFormatting>
  <conditionalFormatting sqref="N10:N11">
    <cfRule type="cellIs" dxfId="84" priority="107" stopIfTrue="1" operator="equal">
      <formula>"Inaceptable"</formula>
    </cfRule>
  </conditionalFormatting>
  <conditionalFormatting sqref="N8 N12">
    <cfRule type="cellIs" dxfId="83" priority="93" stopIfTrue="1" operator="equal">
      <formula>"Inaceptable"</formula>
    </cfRule>
  </conditionalFormatting>
  <conditionalFormatting sqref="N9">
    <cfRule type="cellIs" dxfId="82" priority="82" stopIfTrue="1" operator="equal">
      <formula>"Inaceptable"</formula>
    </cfRule>
  </conditionalFormatting>
  <conditionalFormatting sqref="H9">
    <cfRule type="cellIs" dxfId="81" priority="70" stopIfTrue="1" operator="equal">
      <formula>"Inaceptable"</formula>
    </cfRule>
  </conditionalFormatting>
  <conditionalFormatting sqref="H8">
    <cfRule type="cellIs" dxfId="80" priority="58" stopIfTrue="1" operator="equal">
      <formula>"Inaceptable"</formula>
    </cfRule>
  </conditionalFormatting>
  <conditionalFormatting sqref="H12">
    <cfRule type="cellIs" dxfId="79" priority="47" stopIfTrue="1" operator="equal">
      <formula>"Inaceptable"</formula>
    </cfRule>
  </conditionalFormatting>
  <conditionalFormatting sqref="H12">
    <cfRule type="cellIs" dxfId="78" priority="41" stopIfTrue="1" operator="equal">
      <formula>"Inaceptable"</formula>
    </cfRule>
  </conditionalFormatting>
  <conditionalFormatting sqref="H12">
    <cfRule type="cellIs" dxfId="77" priority="38" stopIfTrue="1" operator="equal">
      <formula>"Inaceptable"</formula>
    </cfRule>
  </conditionalFormatting>
  <conditionalFormatting sqref="H12">
    <cfRule type="cellIs" dxfId="76" priority="35" stopIfTrue="1" operator="equal">
      <formula>"Inaceptable"</formula>
    </cfRule>
  </conditionalFormatting>
  <conditionalFormatting sqref="H10">
    <cfRule type="cellIs" dxfId="75" priority="9" stopIfTrue="1" operator="equal">
      <formula>"Inaceptable"</formula>
    </cfRule>
  </conditionalFormatting>
  <conditionalFormatting sqref="H11">
    <cfRule type="cellIs" dxfId="74" priority="20" stopIfTrue="1" operator="equal">
      <formula>"Nivel riesgo 1"</formula>
    </cfRule>
  </conditionalFormatting>
  <conditionalFormatting sqref="H8">
    <cfRule type="cellIs" dxfId="73" priority="63" stopIfTrue="1" operator="equal">
      <formula>"Nivel riesgo 1"</formula>
    </cfRule>
  </conditionalFormatting>
  <conditionalFormatting sqref="N9">
    <cfRule type="cellIs" dxfId="72" priority="87" stopIfTrue="1" operator="equal">
      <formula>"Nivel riesgo 1"</formula>
    </cfRule>
  </conditionalFormatting>
  <conditionalFormatting sqref="N8 N12">
    <cfRule type="cellIs" dxfId="71" priority="89" stopIfTrue="1" operator="equal">
      <formula>"Nivel riesgo 1"</formula>
    </cfRule>
  </conditionalFormatting>
  <conditionalFormatting sqref="N10:N11">
    <cfRule type="cellIs" dxfId="70" priority="103" stopIfTrue="1" operator="equal">
      <formula>"Nivel riesgo 1"</formula>
    </cfRule>
  </conditionalFormatting>
  <conditionalFormatting sqref="H9">
    <cfRule type="cellIs" dxfId="69" priority="75" stopIfTrue="1" operator="equal">
      <formula>"Nivel riesgo 1"</formula>
    </cfRule>
  </conditionalFormatting>
  <conditionalFormatting sqref="N9">
    <cfRule type="cellIs" dxfId="68" priority="78" stopIfTrue="1" operator="equal">
      <formula>"Nivel riesgo 1"</formula>
    </cfRule>
  </conditionalFormatting>
  <conditionalFormatting sqref="H9 N9">
    <cfRule type="cellIs" dxfId="67" priority="66" stopIfTrue="1" operator="equal">
      <formula>"Nivel riesgo 1"</formula>
    </cfRule>
  </conditionalFormatting>
  <conditionalFormatting sqref="H9 H12">
    <cfRule type="cellIs" dxfId="66" priority="52" stopIfTrue="1" operator="equal">
      <formula>"Nivel riesgo 1"</formula>
    </cfRule>
  </conditionalFormatting>
  <conditionalFormatting sqref="H8">
    <cfRule type="cellIs" dxfId="65" priority="54" stopIfTrue="1" operator="equal">
      <formula>"Nivel riesgo 1"</formula>
    </cfRule>
  </conditionalFormatting>
  <conditionalFormatting sqref="H11">
    <cfRule type="cellIs" dxfId="64" priority="17" stopIfTrue="1" operator="equal">
      <formula>"Nivel riesgo 1"</formula>
    </cfRule>
  </conditionalFormatting>
  <conditionalFormatting sqref="H12">
    <cfRule type="cellIs" dxfId="63" priority="43" stopIfTrue="1" operator="equal">
      <formula>"Nivel riesgo 1"</formula>
    </cfRule>
  </conditionalFormatting>
  <conditionalFormatting sqref="H10">
    <cfRule type="cellIs" dxfId="62" priority="5" stopIfTrue="1" operator="equal">
      <formula>"Nivel riesgo 1"</formula>
    </cfRule>
  </conditionalFormatting>
  <conditionalFormatting sqref="H11:H12">
    <cfRule type="cellIs" dxfId="61" priority="29" stopIfTrue="1" operator="equal">
      <formula>"Nivel riesgo 1"</formula>
    </cfRule>
  </conditionalFormatting>
  <conditionalFormatting sqref="H10:H11">
    <cfRule type="cellIs" dxfId="60" priority="14" stopIfTrue="1" operator="equal">
      <formula>"Nivel riesgo 1"</formula>
    </cfRule>
  </conditionalFormatting>
  <conditionalFormatting sqref="N8 N12">
    <cfRule type="cellIs" dxfId="59" priority="98" stopIfTrue="1" operator="equal">
      <formula>"Nivel riesgo 1"</formula>
    </cfRule>
  </conditionalFormatting>
  <conditionalFormatting sqref="N10:N11">
    <cfRule type="cellIs" dxfId="58" priority="100" stopIfTrue="1" operator="equal">
      <formula>"Nivel riesgo 1"</formula>
    </cfRule>
  </conditionalFormatting>
  <conditionalFormatting sqref="N10:N11">
    <cfRule type="cellIs" dxfId="57" priority="112" stopIfTrue="1" operator="equal">
      <formula>"Nivel riesgo 1"</formula>
    </cfRule>
  </conditionalFormatting>
  <conditionalFormatting sqref="H10">
    <cfRule type="cellIs" dxfId="56" priority="2" stopIfTrue="1" operator="equal">
      <formula>"Nivel riesgo 1"</formula>
    </cfRule>
  </conditionalFormatting>
  <conditionalFormatting sqref="N8:N9 N12">
    <cfRule type="cellIs" dxfId="55" priority="77" stopIfTrue="1" operator="equal">
      <formula>"Nivel riesgo 2"</formula>
    </cfRule>
  </conditionalFormatting>
  <conditionalFormatting sqref="H9 N9">
    <cfRule type="cellIs" dxfId="54" priority="65" stopIfTrue="1" operator="equal">
      <formula>"Nivel riesgo 2"</formula>
    </cfRule>
  </conditionalFormatting>
  <conditionalFormatting sqref="H8:H9 H12">
    <cfRule type="cellIs" dxfId="53" priority="51" stopIfTrue="1" operator="equal">
      <formula>"Nivel riesgo 2"</formula>
    </cfRule>
  </conditionalFormatting>
  <conditionalFormatting sqref="H12">
    <cfRule type="cellIs" dxfId="52" priority="42" stopIfTrue="1" operator="equal">
      <formula>"Nivel riesgo 2"</formula>
    </cfRule>
  </conditionalFormatting>
  <conditionalFormatting sqref="H11">
    <cfRule type="cellIs" dxfId="51" priority="28" stopIfTrue="1" operator="equal">
      <formula>"Nivel riesgo 2"</formula>
    </cfRule>
  </conditionalFormatting>
  <conditionalFormatting sqref="H11:H12">
    <cfRule type="cellIs" dxfId="50" priority="16" stopIfTrue="1" operator="equal">
      <formula>"Nivel riesgo 2"</formula>
    </cfRule>
  </conditionalFormatting>
  <conditionalFormatting sqref="H11">
    <cfRule type="cellIs" dxfId="49" priority="19" stopIfTrue="1" operator="equal">
      <formula>"Nivel riesgo 2"</formula>
    </cfRule>
  </conditionalFormatting>
  <conditionalFormatting sqref="H10:H11">
    <cfRule type="cellIs" dxfId="48" priority="13" stopIfTrue="1" operator="equal">
      <formula>"Nivel riesgo 2"</formula>
    </cfRule>
  </conditionalFormatting>
  <conditionalFormatting sqref="H10">
    <cfRule type="cellIs" dxfId="47" priority="4" stopIfTrue="1" operator="equal">
      <formula>"Nivel riesgo 2"</formula>
    </cfRule>
  </conditionalFormatting>
  <conditionalFormatting sqref="H8">
    <cfRule type="cellIs" dxfId="46" priority="62" stopIfTrue="1" operator="equal">
      <formula>"Nivel riesgo 2"</formula>
    </cfRule>
  </conditionalFormatting>
  <conditionalFormatting sqref="N9">
    <cfRule type="cellIs" dxfId="45" priority="86" stopIfTrue="1" operator="equal">
      <formula>"Nivel riesgo 2"</formula>
    </cfRule>
  </conditionalFormatting>
  <conditionalFormatting sqref="N8 N12">
    <cfRule type="cellIs" dxfId="44" priority="97" stopIfTrue="1" operator="equal">
      <formula>"Nivel riesgo 2"</formula>
    </cfRule>
  </conditionalFormatting>
  <conditionalFormatting sqref="N10:N11">
    <cfRule type="cellIs" dxfId="43" priority="102" stopIfTrue="1" operator="equal">
      <formula>"Nivel riesgo 2"</formula>
    </cfRule>
  </conditionalFormatting>
  <conditionalFormatting sqref="N10:N11">
    <cfRule type="cellIs" dxfId="42" priority="111" stopIfTrue="1" operator="equal">
      <formula>"Nivel riesgo 2"</formula>
    </cfRule>
  </conditionalFormatting>
  <conditionalFormatting sqref="H9 N10:N11">
    <cfRule type="cellIs" dxfId="41" priority="74" stopIfTrue="1" operator="equal">
      <formula>"Nivel riesgo 2"</formula>
    </cfRule>
  </conditionalFormatting>
  <conditionalFormatting sqref="H10">
    <cfRule type="cellIs" dxfId="40" priority="1" stopIfTrue="1" operator="equal">
      <formula>"Nivel riesgo 2"</formula>
    </cfRule>
  </conditionalFormatting>
  <conditionalFormatting sqref="H10">
    <cfRule type="cellIs" dxfId="39" priority="6" stopIfTrue="1" operator="equal">
      <formula>"Nivel riesgo 3"</formula>
    </cfRule>
  </conditionalFormatting>
  <conditionalFormatting sqref="H11">
    <cfRule type="cellIs" dxfId="38" priority="21" stopIfTrue="1" operator="equal">
      <formula>"Nivel riesgo 3"</formula>
    </cfRule>
  </conditionalFormatting>
  <conditionalFormatting sqref="H11">
    <cfRule type="cellIs" dxfId="37" priority="30" stopIfTrue="1" operator="equal">
      <formula>"Nivel riesgo 3"</formula>
    </cfRule>
  </conditionalFormatting>
  <conditionalFormatting sqref="H12">
    <cfRule type="cellIs" dxfId="36" priority="31" stopIfTrue="1" operator="equal">
      <formula>"Nivel riesgo 3"</formula>
    </cfRule>
  </conditionalFormatting>
  <conditionalFormatting sqref="H12">
    <cfRule type="cellIs" dxfId="35" priority="44" stopIfTrue="1" operator="equal">
      <formula>"Nivel riesgo 3"</formula>
    </cfRule>
  </conditionalFormatting>
  <conditionalFormatting sqref="H12">
    <cfRule type="cellIs" dxfId="34" priority="53" stopIfTrue="1" operator="equal">
      <formula>"Nivel riesgo 3"</formula>
    </cfRule>
  </conditionalFormatting>
  <conditionalFormatting sqref="H8">
    <cfRule type="cellIs" dxfId="33" priority="64" stopIfTrue="1" operator="equal">
      <formula>"Nivel riesgo 3"</formula>
    </cfRule>
  </conditionalFormatting>
  <conditionalFormatting sqref="H9">
    <cfRule type="cellIs" dxfId="32" priority="76" stopIfTrue="1" operator="equal">
      <formula>"Nivel riesgo 3"</formula>
    </cfRule>
  </conditionalFormatting>
  <conditionalFormatting sqref="N9">
    <cfRule type="cellIs" dxfId="31" priority="88" stopIfTrue="1" operator="equal">
      <formula>"Nivel riesgo 3"</formula>
    </cfRule>
  </conditionalFormatting>
  <conditionalFormatting sqref="N8 N12">
    <cfRule type="cellIs" dxfId="30" priority="90" stopIfTrue="1" operator="equal">
      <formula>"Nivel riesgo 3"</formula>
    </cfRule>
  </conditionalFormatting>
  <conditionalFormatting sqref="N10:N11">
    <cfRule type="cellIs" dxfId="29" priority="104" stopIfTrue="1" operator="equal">
      <formula>"Nivel riesgo 3"</formula>
    </cfRule>
  </conditionalFormatting>
  <conditionalFormatting sqref="N10:N11">
    <cfRule type="cellIs" dxfId="28" priority="113" stopIfTrue="1" operator="equal">
      <formula>"Nivel riesgo 3"</formula>
    </cfRule>
  </conditionalFormatting>
  <conditionalFormatting sqref="N10:N11">
    <cfRule type="cellIs" dxfId="27" priority="101" stopIfTrue="1" operator="equal">
      <formula>"Nivel riesgo 3"</formula>
    </cfRule>
  </conditionalFormatting>
  <conditionalFormatting sqref="N8 N12">
    <cfRule type="cellIs" dxfId="26" priority="99" stopIfTrue="1" operator="equal">
      <formula>"Nivel riesgo 3"</formula>
    </cfRule>
  </conditionalFormatting>
  <conditionalFormatting sqref="N9">
    <cfRule type="cellIs" dxfId="25" priority="79" stopIfTrue="1" operator="equal">
      <formula>"Nivel riesgo 3"</formula>
    </cfRule>
  </conditionalFormatting>
  <conditionalFormatting sqref="H9 N9">
    <cfRule type="cellIs" dxfId="24" priority="67" stopIfTrue="1" operator="equal">
      <formula>"Nivel riesgo 3"</formula>
    </cfRule>
  </conditionalFormatting>
  <conditionalFormatting sqref="H8:H9">
    <cfRule type="cellIs" dxfId="23" priority="55" stopIfTrue="1" operator="equal">
      <formula>"Nivel riesgo 3"</formula>
    </cfRule>
  </conditionalFormatting>
  <conditionalFormatting sqref="H11">
    <cfRule type="cellIs" dxfId="22" priority="18" stopIfTrue="1" operator="equal">
      <formula>"Nivel riesgo 3"</formula>
    </cfRule>
  </conditionalFormatting>
  <conditionalFormatting sqref="H10:H11">
    <cfRule type="cellIs" dxfId="21" priority="15" stopIfTrue="1" operator="equal">
      <formula>"Nivel riesgo 3"</formula>
    </cfRule>
  </conditionalFormatting>
  <conditionalFormatting sqref="H10">
    <cfRule type="cellIs" dxfId="20" priority="3" stopIfTrue="1" operator="equal">
      <formula>"Nivel riesgo 3"</formula>
    </cfRule>
  </conditionalFormatting>
  <conditionalFormatting sqref="H8">
    <cfRule type="cellIs" dxfId="19" priority="60" stopIfTrue="1" operator="equal">
      <formula>"Tolerable"</formula>
    </cfRule>
  </conditionalFormatting>
  <conditionalFormatting sqref="H12">
    <cfRule type="cellIs" dxfId="18" priority="49" stopIfTrue="1" operator="equal">
      <formula>"Tolerable"</formula>
    </cfRule>
  </conditionalFormatting>
  <conditionalFormatting sqref="H12">
    <cfRule type="cellIs" dxfId="17" priority="40" stopIfTrue="1" operator="equal">
      <formula>"Tolerable"</formula>
    </cfRule>
  </conditionalFormatting>
  <conditionalFormatting sqref="H11">
    <cfRule type="cellIs" dxfId="16" priority="26" stopIfTrue="1" operator="equal">
      <formula>"Tolerable"</formula>
    </cfRule>
  </conditionalFormatting>
  <conditionalFormatting sqref="H9">
    <cfRule type="cellIs" dxfId="15" priority="72" stopIfTrue="1" operator="equal">
      <formula>"Tolerable"</formula>
    </cfRule>
  </conditionalFormatting>
  <conditionalFormatting sqref="N9">
    <cfRule type="cellIs" dxfId="14" priority="84" stopIfTrue="1" operator="equal">
      <formula>"Tolerable"</formula>
    </cfRule>
  </conditionalFormatting>
  <conditionalFormatting sqref="N10:N11">
    <cfRule type="cellIs" dxfId="13" priority="109" stopIfTrue="1" operator="equal">
      <formula>"Tolerable"</formula>
    </cfRule>
  </conditionalFormatting>
  <conditionalFormatting sqref="N8 N12">
    <cfRule type="cellIs" dxfId="12" priority="95" stopIfTrue="1" operator="equal">
      <formula>"Tolerable"</formula>
    </cfRule>
  </conditionalFormatting>
  <conditionalFormatting sqref="H10">
    <cfRule type="cellIs" dxfId="11" priority="11" stopIfTrue="1" operator="equal">
      <formula>"Tolerable"</formula>
    </cfRule>
  </conditionalFormatting>
  <conditionalFormatting sqref="H12">
    <cfRule type="cellIs" dxfId="10" priority="46" stopIfTrue="1" operator="equal">
      <formula>"Tolerable"</formula>
    </cfRule>
  </conditionalFormatting>
  <conditionalFormatting sqref="H12">
    <cfRule type="cellIs" dxfId="9" priority="37" stopIfTrue="1" operator="equal">
      <formula>"Tolerable"</formula>
    </cfRule>
  </conditionalFormatting>
  <conditionalFormatting sqref="H11">
    <cfRule type="cellIs" dxfId="8" priority="23" stopIfTrue="1" operator="equal">
      <formula>"Tolerable"</formula>
    </cfRule>
  </conditionalFormatting>
  <conditionalFormatting sqref="N9">
    <cfRule type="cellIs" dxfId="7" priority="81" stopIfTrue="1" operator="equal">
      <formula>"Tolerable"</formula>
    </cfRule>
  </conditionalFormatting>
  <conditionalFormatting sqref="N10:N11">
    <cfRule type="cellIs" dxfId="6" priority="106" stopIfTrue="1" operator="equal">
      <formula>"Tolerable"</formula>
    </cfRule>
  </conditionalFormatting>
  <conditionalFormatting sqref="N8 N12">
    <cfRule type="cellIs" dxfId="5" priority="92" stopIfTrue="1" operator="equal">
      <formula>"Tolerable"</formula>
    </cfRule>
  </conditionalFormatting>
  <conditionalFormatting sqref="H9">
    <cfRule type="cellIs" dxfId="4" priority="69" stopIfTrue="1" operator="equal">
      <formula>"Tolerable"</formula>
    </cfRule>
  </conditionalFormatting>
  <conditionalFormatting sqref="H8">
    <cfRule type="cellIs" dxfId="3" priority="57" stopIfTrue="1" operator="equal">
      <formula>"Tolerable"</formula>
    </cfRule>
  </conditionalFormatting>
  <conditionalFormatting sqref="H10">
    <cfRule type="cellIs" dxfId="2" priority="8" stopIfTrue="1" operator="equal">
      <formula>"Tolerable"</formula>
    </cfRule>
  </conditionalFormatting>
  <conditionalFormatting sqref="H12">
    <cfRule type="cellIs" dxfId="1" priority="34" stopIfTrue="1" operator="equal">
      <formula>"Tolerable"</formula>
    </cfRule>
  </conditionalFormatting>
  <conditionalFormatting sqref="H12">
    <cfRule type="cellIs" dxfId="0" priority="32" stopIfTrue="1" operator="equal">
      <formula>"Tolerable"</formula>
    </cfRule>
  </conditionalFormatting>
  <printOptions horizontalCentered="1"/>
  <pageMargins left="0" right="0" top="0" bottom="0" header="0" footer="0"/>
  <pageSetup paperSize="0" scale="70" fitToWidth="0" fitToHeight="0" orientation="landscape" horizontalDpi="0" verticalDpi="0" copie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MODELO ART</vt:lpstr>
      <vt:lpstr>'MODELO ART'!Área_de_impresión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Miletic</dc:creator>
  <cp:lastModifiedBy>Victor Miletic</cp:lastModifiedBy>
  <dcterms:created xsi:type="dcterms:W3CDTF">2018-08-22T20:53:26Z</dcterms:created>
  <dcterms:modified xsi:type="dcterms:W3CDTF">2018-08-30T01:22:45Z</dcterms:modified>
</cp:coreProperties>
</file>