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3-VICTOR\Proyectos Victor\Proyecto Adiestramientos Planificacion\"/>
    </mc:Choice>
  </mc:AlternateContent>
  <xr:revisionPtr revIDLastSave="0" documentId="13_ncr:1_{7F3C46ED-A5C1-4DEE-9747-F64A0408D37C}" xr6:coauthVersionLast="47" xr6:coauthVersionMax="47" xr10:uidLastSave="{00000000-0000-0000-0000-000000000000}"/>
  <bookViews>
    <workbookView xWindow="-120" yWindow="-120" windowWidth="20730" windowHeight="11040" tabRatio="860" xr2:uid="{00000000-000D-0000-FFFF-FFFF00000000}"/>
  </bookViews>
  <sheets>
    <sheet name="DEPARTAMENTO" sheetId="3" r:id="rId1"/>
  </sheets>
  <definedNames>
    <definedName name="_xlnm.Print_Area" localSheetId="0">DEPARTAMENTO!$C$7:$NS$40</definedName>
    <definedName name="_xlnm.Print_Titles" localSheetId="0">DEPARTAMENTO!$7:$8</definedName>
    <definedName name="Z_17D6317E_36F3_40E4_AE12_272614D3E5FA_.wvu.Cols" localSheetId="0" hidden="1">DEPARTAMENTO!$CL:$NS,DEPARTAMENTO!$NX:$NY,DEPARTAMENTO!$OF:$PE</definedName>
    <definedName name="Z_17D6317E_36F3_40E4_AE12_272614D3E5FA_.wvu.PrintArea" localSheetId="0" hidden="1">DEPARTAMENTO!$C$7:$NS$40</definedName>
    <definedName name="Z_17D6317E_36F3_40E4_AE12_272614D3E5FA_.wvu.PrintTitles" localSheetId="0" hidden="1">DEPARTAMENTO!$7:$8</definedName>
    <definedName name="Z_1E8522C1_B56D_4F88_87D4_A6887FF04C37_.wvu.Cols" localSheetId="0" hidden="1">DEPARTAMENTO!$F:$BI,DEPARTAMENTO!$CL:$NS,DEPARTAMENTO!$NX:$NY</definedName>
    <definedName name="Z_1E8522C1_B56D_4F88_87D4_A6887FF04C37_.wvu.PrintArea" localSheetId="0" hidden="1">DEPARTAMENTO!$C$7:$NS$40</definedName>
    <definedName name="Z_1E8522C1_B56D_4F88_87D4_A6887FF04C37_.wvu.PrintTitles" localSheetId="0" hidden="1">DEPARTAMENTO!$7:$8</definedName>
    <definedName name="Z_80649295_6DF8_4EC9_BC01_ABACA7C5D248_.wvu.Cols" localSheetId="0" hidden="1">DEPARTAMENTO!$F:$FN,DEPARTAMENTO!$NV:$OK,DEPARTAMENTO!$OP:$PE</definedName>
    <definedName name="Z_80649295_6DF8_4EC9_BC01_ABACA7C5D248_.wvu.PrintArea" localSheetId="0" hidden="1">DEPARTAMENTO!$C$7:$NS$40</definedName>
    <definedName name="Z_80649295_6DF8_4EC9_BC01_ABACA7C5D248_.wvu.PrintTitles" localSheetId="0" hidden="1">DEPARTAMENTO!$7:$8</definedName>
    <definedName name="Z_80649295_6DF8_4EC9_BC01_ABACA7C5D248_.wvu.Rows" localSheetId="0" hidden="1">DEPARTAMENTO!#REF!</definedName>
    <definedName name="Z_A7969C9E_BFCD_4BDA_BA17_3C68D228318C_.wvu.Cols" localSheetId="0" hidden="1">DEPARTAMENTO!$F:$BI,DEPARTAMENTO!$CL:$NS,DEPARTAMENTO!$NX:$NY</definedName>
    <definedName name="Z_A7969C9E_BFCD_4BDA_BA17_3C68D228318C_.wvu.PrintArea" localSheetId="0" hidden="1">DEPARTAMENTO!$C$7:$NS$40</definedName>
    <definedName name="Z_A7969C9E_BFCD_4BDA_BA17_3C68D228318C_.wvu.PrintTitles" localSheetId="0" hidden="1">DEPARTAMENTO!$7:$8</definedName>
    <definedName name="Z_E0F6AF37_1169_4971_803D_C4A6A70320D1_.wvu.Cols" localSheetId="0" hidden="1">DEPARTAMENTO!$F:$FN,DEPARTAMENTO!$NV:$OK,DEPARTAMENTO!$OP:$PE</definedName>
    <definedName name="Z_E0F6AF37_1169_4971_803D_C4A6A70320D1_.wvu.PrintArea" localSheetId="0" hidden="1">DEPARTAMENTO!$C$7:$NS$40</definedName>
    <definedName name="Z_E0F6AF37_1169_4971_803D_C4A6A70320D1_.wvu.PrintTitles" localSheetId="0" hidden="1">DEPARTAMENTO!$7:$8</definedName>
    <definedName name="Z_E0F6AF37_1169_4971_803D_C4A6A70320D1_.wvu.Rows" localSheetId="0" hidden="1">DEPARTAMENTO!#REF!</definedName>
  </definedNames>
  <calcPr calcId="181029"/>
  <customWorkbookViews>
    <customWorkbookView name="Alexander Ojeda - Vista personalizada" guid="{A7969C9E-BFCD-4BDA-BA17-3C68D228318C}" mergeInterval="0" personalView="1" maximized="1" xWindow="-8" yWindow="-8" windowWidth="1456" windowHeight="876" tabRatio="750" activeSheetId="12"/>
    <customWorkbookView name="Maribel Loreto - Vista personalizada" guid="{E0F6AF37-1169-4971-803D-C4A6A70320D1}" mergeInterval="0" personalView="1" maximized="1" xWindow="-8" yWindow="-8" windowWidth="1456" windowHeight="876" tabRatio="879" activeSheetId="2"/>
    <customWorkbookView name="yp00475 - Vista personalizada" guid="{1E8522C1-B56D-4F88-87D4-A6887FF04C37}" mergeInterval="0" personalView="1" maximized="1" xWindow="-8" yWindow="-8" windowWidth="1456" windowHeight="876" tabRatio="750" activeSheetId="4"/>
    <customWorkbookView name="Gerardo Lopez - Vista personalizada" guid="{17D6317E-36F3-40E4-AE12-272614D3E5FA}" mergeInterval="0" personalView="1" maximized="1" xWindow="-8" yWindow="-8" windowWidth="1456" windowHeight="876" activeSheetId="1"/>
    <customWorkbookView name="Diego Quintana - Vista personalizada" guid="{80649295-6DF8-4EC9-BC01-ABACA7C5D248}" mergeInterval="0" personalView="1" maximized="1" xWindow="-8" yWindow="-8" windowWidth="1296" windowHeight="1000" tabRatio="879" activeSheetId="10"/>
  </customWorkbookViews>
</workbook>
</file>

<file path=xl/calcChain.xml><?xml version="1.0" encoding="utf-8"?>
<calcChain xmlns="http://schemas.openxmlformats.org/spreadsheetml/2006/main">
  <c r="AJ64" i="3" l="1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FT63" i="3"/>
  <c r="FU63" i="3"/>
  <c r="FV63" i="3"/>
  <c r="FW63" i="3"/>
  <c r="FX63" i="3"/>
  <c r="FY63" i="3"/>
  <c r="FZ63" i="3"/>
  <c r="GA63" i="3"/>
  <c r="GB63" i="3"/>
  <c r="GC63" i="3"/>
  <c r="GD63" i="3"/>
  <c r="GE63" i="3"/>
  <c r="GF63" i="3"/>
  <c r="GG63" i="3"/>
  <c r="GH63" i="3"/>
  <c r="GI63" i="3"/>
  <c r="GJ63" i="3"/>
  <c r="GK63" i="3"/>
  <c r="GL63" i="3"/>
  <c r="GM63" i="3"/>
  <c r="GN63" i="3"/>
  <c r="GO63" i="3"/>
  <c r="GP63" i="3"/>
  <c r="GQ63" i="3"/>
  <c r="GR63" i="3"/>
  <c r="GS63" i="3"/>
  <c r="GT63" i="3"/>
  <c r="GU63" i="3"/>
  <c r="GV63" i="3"/>
  <c r="GW63" i="3"/>
  <c r="GX63" i="3"/>
  <c r="GY63" i="3"/>
  <c r="GZ63" i="3"/>
  <c r="HA63" i="3"/>
  <c r="HB63" i="3"/>
  <c r="HC63" i="3"/>
  <c r="HD63" i="3"/>
  <c r="HE63" i="3"/>
  <c r="HF63" i="3"/>
  <c r="HG63" i="3"/>
  <c r="HH63" i="3"/>
  <c r="HI63" i="3"/>
  <c r="HJ63" i="3"/>
  <c r="HK63" i="3"/>
  <c r="HL63" i="3"/>
  <c r="HM63" i="3"/>
  <c r="HN63" i="3"/>
  <c r="HO63" i="3"/>
  <c r="HP63" i="3"/>
  <c r="HQ63" i="3"/>
  <c r="HR63" i="3"/>
  <c r="HS63" i="3"/>
  <c r="HT63" i="3"/>
  <c r="HU63" i="3"/>
  <c r="HV63" i="3"/>
  <c r="HW63" i="3"/>
  <c r="HX63" i="3"/>
  <c r="HY63" i="3"/>
  <c r="HZ63" i="3"/>
  <c r="IA63" i="3"/>
  <c r="IB63" i="3"/>
  <c r="IC63" i="3"/>
  <c r="ID63" i="3"/>
  <c r="IE63" i="3"/>
  <c r="IF63" i="3"/>
  <c r="IG63" i="3"/>
  <c r="IH63" i="3"/>
  <c r="II63" i="3"/>
  <c r="IJ63" i="3"/>
  <c r="IK63" i="3"/>
  <c r="IL63" i="3"/>
  <c r="IM63" i="3"/>
  <c r="IN63" i="3"/>
  <c r="IO63" i="3"/>
  <c r="IP63" i="3"/>
  <c r="IQ63" i="3"/>
  <c r="IR63" i="3"/>
  <c r="IS63" i="3"/>
  <c r="IT63" i="3"/>
  <c r="IU63" i="3"/>
  <c r="IV63" i="3"/>
  <c r="IW63" i="3"/>
  <c r="IX63" i="3"/>
  <c r="IY63" i="3"/>
  <c r="IZ63" i="3"/>
  <c r="JA63" i="3"/>
  <c r="JB63" i="3"/>
  <c r="JC63" i="3"/>
  <c r="JD63" i="3"/>
  <c r="JE63" i="3"/>
  <c r="JF63" i="3"/>
  <c r="JG63" i="3"/>
  <c r="JH63" i="3"/>
  <c r="JI63" i="3"/>
  <c r="JJ63" i="3"/>
  <c r="JK63" i="3"/>
  <c r="JL63" i="3"/>
  <c r="JM63" i="3"/>
  <c r="JN63" i="3"/>
  <c r="JO63" i="3"/>
  <c r="JP63" i="3"/>
  <c r="JQ63" i="3"/>
  <c r="JR63" i="3"/>
  <c r="JS63" i="3"/>
  <c r="JT63" i="3"/>
  <c r="JU63" i="3"/>
  <c r="JV63" i="3"/>
  <c r="JW63" i="3"/>
  <c r="JX63" i="3"/>
  <c r="JY63" i="3"/>
  <c r="JZ63" i="3"/>
  <c r="KA63" i="3"/>
  <c r="KB63" i="3"/>
  <c r="KC63" i="3"/>
  <c r="KD63" i="3"/>
  <c r="KE63" i="3"/>
  <c r="KF63" i="3"/>
  <c r="KG63" i="3"/>
  <c r="KH63" i="3"/>
  <c r="KI63" i="3"/>
  <c r="KJ63" i="3"/>
  <c r="KK63" i="3"/>
  <c r="KL63" i="3"/>
  <c r="KM63" i="3"/>
  <c r="KN63" i="3"/>
  <c r="KO63" i="3"/>
  <c r="KP63" i="3"/>
  <c r="KQ63" i="3"/>
  <c r="KR63" i="3"/>
  <c r="KS63" i="3"/>
  <c r="KT63" i="3"/>
  <c r="KU63" i="3"/>
  <c r="KV63" i="3"/>
  <c r="KW63" i="3"/>
  <c r="KX63" i="3"/>
  <c r="KY63" i="3"/>
  <c r="KZ63" i="3"/>
  <c r="LA63" i="3"/>
  <c r="LB63" i="3"/>
  <c r="LC63" i="3"/>
  <c r="LD63" i="3"/>
  <c r="LE63" i="3"/>
  <c r="LF63" i="3"/>
  <c r="LG63" i="3"/>
  <c r="LH63" i="3"/>
  <c r="LI63" i="3"/>
  <c r="LJ63" i="3"/>
  <c r="LK63" i="3"/>
  <c r="LL63" i="3"/>
  <c r="LM63" i="3"/>
  <c r="LN63" i="3"/>
  <c r="LO63" i="3"/>
  <c r="LP63" i="3"/>
  <c r="LQ63" i="3"/>
  <c r="LR63" i="3"/>
  <c r="LS63" i="3"/>
  <c r="LT63" i="3"/>
  <c r="LU63" i="3"/>
  <c r="LV63" i="3"/>
  <c r="LW63" i="3"/>
  <c r="LX63" i="3"/>
  <c r="LY63" i="3"/>
  <c r="LZ63" i="3"/>
  <c r="MA63" i="3"/>
  <c r="MB63" i="3"/>
  <c r="MC63" i="3"/>
  <c r="MD63" i="3"/>
  <c r="ME63" i="3"/>
  <c r="MF63" i="3"/>
  <c r="MG63" i="3"/>
  <c r="MH63" i="3"/>
  <c r="MI63" i="3"/>
  <c r="MJ63" i="3"/>
  <c r="MK63" i="3"/>
  <c r="ML63" i="3"/>
  <c r="MM63" i="3"/>
  <c r="MN63" i="3"/>
  <c r="MO63" i="3"/>
  <c r="MP63" i="3"/>
  <c r="MQ63" i="3"/>
  <c r="MR63" i="3"/>
  <c r="MS63" i="3"/>
  <c r="MT63" i="3"/>
  <c r="MU63" i="3"/>
  <c r="MV63" i="3"/>
  <c r="MW63" i="3"/>
  <c r="MX63" i="3"/>
  <c r="MY63" i="3"/>
  <c r="MZ63" i="3"/>
  <c r="NA63" i="3"/>
  <c r="NB63" i="3"/>
  <c r="NC63" i="3"/>
  <c r="ND63" i="3"/>
  <c r="NE63" i="3"/>
  <c r="NF63" i="3"/>
  <c r="NG63" i="3"/>
  <c r="NH63" i="3"/>
  <c r="NI63" i="3"/>
  <c r="NJ63" i="3"/>
  <c r="NK63" i="3"/>
  <c r="NL63" i="3"/>
  <c r="NM63" i="3"/>
  <c r="NN63" i="3"/>
  <c r="NO63" i="3"/>
  <c r="NP63" i="3"/>
  <c r="NQ63" i="3"/>
  <c r="NR63" i="3"/>
  <c r="NS63" i="3"/>
  <c r="AF64" i="3"/>
  <c r="AG64" i="3"/>
  <c r="AH64" i="3"/>
  <c r="AI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FT64" i="3"/>
  <c r="FU64" i="3"/>
  <c r="FV64" i="3"/>
  <c r="FW64" i="3"/>
  <c r="FX64" i="3"/>
  <c r="FY64" i="3"/>
  <c r="FZ64" i="3"/>
  <c r="GA64" i="3"/>
  <c r="GB64" i="3"/>
  <c r="GC64" i="3"/>
  <c r="GD64" i="3"/>
  <c r="GE64" i="3"/>
  <c r="GF64" i="3"/>
  <c r="GG64" i="3"/>
  <c r="GH64" i="3"/>
  <c r="GI64" i="3"/>
  <c r="GJ64" i="3"/>
  <c r="GK64" i="3"/>
  <c r="GL64" i="3"/>
  <c r="GM64" i="3"/>
  <c r="GN64" i="3"/>
  <c r="GO64" i="3"/>
  <c r="GP64" i="3"/>
  <c r="GQ64" i="3"/>
  <c r="GR64" i="3"/>
  <c r="GS64" i="3"/>
  <c r="GT64" i="3"/>
  <c r="GU64" i="3"/>
  <c r="GV64" i="3"/>
  <c r="GW64" i="3"/>
  <c r="GX64" i="3"/>
  <c r="GY64" i="3"/>
  <c r="GZ64" i="3"/>
  <c r="HA64" i="3"/>
  <c r="HB64" i="3"/>
  <c r="HC64" i="3"/>
  <c r="HD64" i="3"/>
  <c r="HE64" i="3"/>
  <c r="HF64" i="3"/>
  <c r="HG64" i="3"/>
  <c r="HH64" i="3"/>
  <c r="HI64" i="3"/>
  <c r="HJ64" i="3"/>
  <c r="HK64" i="3"/>
  <c r="HL64" i="3"/>
  <c r="HM64" i="3"/>
  <c r="HN64" i="3"/>
  <c r="HO64" i="3"/>
  <c r="HP64" i="3"/>
  <c r="HQ64" i="3"/>
  <c r="HR64" i="3"/>
  <c r="HS64" i="3"/>
  <c r="HT64" i="3"/>
  <c r="HU64" i="3"/>
  <c r="HV64" i="3"/>
  <c r="HW64" i="3"/>
  <c r="HX64" i="3"/>
  <c r="HY64" i="3"/>
  <c r="HZ64" i="3"/>
  <c r="IA64" i="3"/>
  <c r="IB64" i="3"/>
  <c r="IC64" i="3"/>
  <c r="ID64" i="3"/>
  <c r="IE64" i="3"/>
  <c r="IF64" i="3"/>
  <c r="IG64" i="3"/>
  <c r="IH64" i="3"/>
  <c r="II64" i="3"/>
  <c r="IJ64" i="3"/>
  <c r="IK64" i="3"/>
  <c r="IL64" i="3"/>
  <c r="IM64" i="3"/>
  <c r="IN64" i="3"/>
  <c r="IO64" i="3"/>
  <c r="IP64" i="3"/>
  <c r="IQ64" i="3"/>
  <c r="IR64" i="3"/>
  <c r="IS64" i="3"/>
  <c r="IT64" i="3"/>
  <c r="IU64" i="3"/>
  <c r="IV64" i="3"/>
  <c r="IW64" i="3"/>
  <c r="IX64" i="3"/>
  <c r="IY64" i="3"/>
  <c r="IZ64" i="3"/>
  <c r="JA64" i="3"/>
  <c r="JB64" i="3"/>
  <c r="JC64" i="3"/>
  <c r="JD64" i="3"/>
  <c r="JE64" i="3"/>
  <c r="JF64" i="3"/>
  <c r="JG64" i="3"/>
  <c r="JH64" i="3"/>
  <c r="JI64" i="3"/>
  <c r="JJ64" i="3"/>
  <c r="JK64" i="3"/>
  <c r="JL64" i="3"/>
  <c r="JM64" i="3"/>
  <c r="JN64" i="3"/>
  <c r="JO64" i="3"/>
  <c r="JP64" i="3"/>
  <c r="JQ64" i="3"/>
  <c r="JR64" i="3"/>
  <c r="JS64" i="3"/>
  <c r="JT64" i="3"/>
  <c r="JU64" i="3"/>
  <c r="JV64" i="3"/>
  <c r="JW64" i="3"/>
  <c r="JX64" i="3"/>
  <c r="JY64" i="3"/>
  <c r="JZ64" i="3"/>
  <c r="KA64" i="3"/>
  <c r="KB64" i="3"/>
  <c r="KC64" i="3"/>
  <c r="KD64" i="3"/>
  <c r="KE64" i="3"/>
  <c r="KF64" i="3"/>
  <c r="KG64" i="3"/>
  <c r="KH64" i="3"/>
  <c r="KI64" i="3"/>
  <c r="KJ64" i="3"/>
  <c r="KK64" i="3"/>
  <c r="KL64" i="3"/>
  <c r="KM64" i="3"/>
  <c r="KN64" i="3"/>
  <c r="KO64" i="3"/>
  <c r="KP64" i="3"/>
  <c r="KQ64" i="3"/>
  <c r="KR64" i="3"/>
  <c r="KS64" i="3"/>
  <c r="KT64" i="3"/>
  <c r="KU64" i="3"/>
  <c r="KV64" i="3"/>
  <c r="KW64" i="3"/>
  <c r="KX64" i="3"/>
  <c r="KY64" i="3"/>
  <c r="KZ64" i="3"/>
  <c r="LA64" i="3"/>
  <c r="LB64" i="3"/>
  <c r="LC64" i="3"/>
  <c r="LD64" i="3"/>
  <c r="LE64" i="3"/>
  <c r="LF64" i="3"/>
  <c r="LG64" i="3"/>
  <c r="LH64" i="3"/>
  <c r="LI64" i="3"/>
  <c r="LJ64" i="3"/>
  <c r="LK64" i="3"/>
  <c r="LL64" i="3"/>
  <c r="LM64" i="3"/>
  <c r="LN64" i="3"/>
  <c r="LO64" i="3"/>
  <c r="LP64" i="3"/>
  <c r="LQ64" i="3"/>
  <c r="LR64" i="3"/>
  <c r="LS64" i="3"/>
  <c r="LT64" i="3"/>
  <c r="LU64" i="3"/>
  <c r="LV64" i="3"/>
  <c r="LW64" i="3"/>
  <c r="LX64" i="3"/>
  <c r="LY64" i="3"/>
  <c r="LZ64" i="3"/>
  <c r="MA64" i="3"/>
  <c r="MB64" i="3"/>
  <c r="MC64" i="3"/>
  <c r="MD64" i="3"/>
  <c r="ME64" i="3"/>
  <c r="MF64" i="3"/>
  <c r="MG64" i="3"/>
  <c r="MH64" i="3"/>
  <c r="MI64" i="3"/>
  <c r="MJ64" i="3"/>
  <c r="MK64" i="3"/>
  <c r="ML64" i="3"/>
  <c r="MM64" i="3"/>
  <c r="MN64" i="3"/>
  <c r="MO64" i="3"/>
  <c r="MP64" i="3"/>
  <c r="MQ64" i="3"/>
  <c r="MR64" i="3"/>
  <c r="MS64" i="3"/>
  <c r="MT64" i="3"/>
  <c r="MU64" i="3"/>
  <c r="MV64" i="3"/>
  <c r="MW64" i="3"/>
  <c r="MX64" i="3"/>
  <c r="MY64" i="3"/>
  <c r="MZ64" i="3"/>
  <c r="NA64" i="3"/>
  <c r="NB64" i="3"/>
  <c r="NC64" i="3"/>
  <c r="ND64" i="3"/>
  <c r="NE64" i="3"/>
  <c r="NF64" i="3"/>
  <c r="NG64" i="3"/>
  <c r="NH64" i="3"/>
  <c r="NI64" i="3"/>
  <c r="NJ64" i="3"/>
  <c r="NK64" i="3"/>
  <c r="NL64" i="3"/>
  <c r="NM64" i="3"/>
  <c r="NN64" i="3"/>
  <c r="NO64" i="3"/>
  <c r="NP64" i="3"/>
  <c r="NQ64" i="3"/>
  <c r="NR64" i="3"/>
  <c r="NS64" i="3"/>
  <c r="AE64" i="3"/>
  <c r="AE63" i="3"/>
  <c r="NT45" i="3" l="1"/>
  <c r="NW45" i="3"/>
  <c r="NX45" i="3"/>
  <c r="NV45" i="3" s="1"/>
  <c r="OA45" i="3"/>
  <c r="OB45" i="3"/>
  <c r="NZ45" i="3" s="1"/>
  <c r="NT46" i="3"/>
  <c r="NW46" i="3"/>
  <c r="NX46" i="3"/>
  <c r="OA46" i="3"/>
  <c r="OB46" i="3"/>
  <c r="NZ46" i="3" s="1"/>
  <c r="NT13" i="3"/>
  <c r="NT14" i="3"/>
  <c r="NT15" i="3"/>
  <c r="NT16" i="3"/>
  <c r="NT17" i="3"/>
  <c r="NT18" i="3"/>
  <c r="NT19" i="3"/>
  <c r="NT20" i="3"/>
  <c r="NT21" i="3"/>
  <c r="NT22" i="3"/>
  <c r="NT23" i="3"/>
  <c r="NT24" i="3"/>
  <c r="NT25" i="3"/>
  <c r="NT26" i="3"/>
  <c r="NT27" i="3"/>
  <c r="NT28" i="3"/>
  <c r="NT29" i="3"/>
  <c r="NT30" i="3"/>
  <c r="NT31" i="3"/>
  <c r="NT32" i="3"/>
  <c r="NT33" i="3"/>
  <c r="NT34" i="3"/>
  <c r="NT35" i="3"/>
  <c r="NT36" i="3"/>
  <c r="PD78" i="3"/>
  <c r="PB78" i="3" s="1"/>
  <c r="PC78" i="3"/>
  <c r="OZ78" i="3"/>
  <c r="OX78" i="3" s="1"/>
  <c r="OY78" i="3"/>
  <c r="OV78" i="3"/>
  <c r="OT78" i="3" s="1"/>
  <c r="OU78" i="3"/>
  <c r="OR78" i="3"/>
  <c r="OP78" i="3" s="1"/>
  <c r="OQ78" i="3"/>
  <c r="ON78" i="3"/>
  <c r="OL78" i="3" s="1"/>
  <c r="OM78" i="3"/>
  <c r="OJ78" i="3"/>
  <c r="OH78" i="3" s="1"/>
  <c r="OI78" i="3"/>
  <c r="OF78" i="3"/>
  <c r="OD78" i="3" s="1"/>
  <c r="OE78" i="3"/>
  <c r="OB78" i="3"/>
  <c r="OA78" i="3"/>
  <c r="NX78" i="3"/>
  <c r="NV78" i="3" s="1"/>
  <c r="NW78" i="3"/>
  <c r="NT78" i="3"/>
  <c r="PD77" i="3"/>
  <c r="PC77" i="3"/>
  <c r="OZ77" i="3"/>
  <c r="OY77" i="3"/>
  <c r="OV77" i="3"/>
  <c r="OT77" i="3" s="1"/>
  <c r="OU77" i="3"/>
  <c r="OR77" i="3"/>
  <c r="OQ77" i="3"/>
  <c r="ON77" i="3"/>
  <c r="OM77" i="3"/>
  <c r="OJ77" i="3"/>
  <c r="OI77" i="3"/>
  <c r="OF77" i="3"/>
  <c r="OD77" i="3" s="1"/>
  <c r="OE77" i="3"/>
  <c r="OB77" i="3"/>
  <c r="NZ77" i="3" s="1"/>
  <c r="OA77" i="3"/>
  <c r="NX77" i="3"/>
  <c r="NW77" i="3"/>
  <c r="NT77" i="3"/>
  <c r="PD76" i="3"/>
  <c r="PB76" i="3" s="1"/>
  <c r="PC76" i="3"/>
  <c r="OZ76" i="3"/>
  <c r="OX76" i="3" s="1"/>
  <c r="OY76" i="3"/>
  <c r="OV76" i="3"/>
  <c r="OT76" i="3" s="1"/>
  <c r="OU76" i="3"/>
  <c r="OR76" i="3"/>
  <c r="OP76" i="3" s="1"/>
  <c r="OQ76" i="3"/>
  <c r="ON76" i="3"/>
  <c r="OL76" i="3" s="1"/>
  <c r="OM76" i="3"/>
  <c r="OJ76" i="3"/>
  <c r="OH76" i="3" s="1"/>
  <c r="OI76" i="3"/>
  <c r="OF76" i="3"/>
  <c r="OD76" i="3" s="1"/>
  <c r="OE76" i="3"/>
  <c r="OB76" i="3"/>
  <c r="NZ76" i="3" s="1"/>
  <c r="OA76" i="3"/>
  <c r="NX76" i="3"/>
  <c r="NV76" i="3" s="1"/>
  <c r="NW76" i="3"/>
  <c r="NT76" i="3"/>
  <c r="PD75" i="3"/>
  <c r="PB75" i="3" s="1"/>
  <c r="PC75" i="3"/>
  <c r="OZ75" i="3"/>
  <c r="OX75" i="3" s="1"/>
  <c r="OY75" i="3"/>
  <c r="OV75" i="3"/>
  <c r="OT75" i="3" s="1"/>
  <c r="OU75" i="3"/>
  <c r="OR75" i="3"/>
  <c r="OQ75" i="3"/>
  <c r="ON75" i="3"/>
  <c r="OM75" i="3"/>
  <c r="OJ75" i="3"/>
  <c r="OI75" i="3"/>
  <c r="OF75" i="3"/>
  <c r="OD75" i="3" s="1"/>
  <c r="OE75" i="3"/>
  <c r="OB75" i="3"/>
  <c r="OA75" i="3"/>
  <c r="NX75" i="3"/>
  <c r="NV75" i="3" s="1"/>
  <c r="NW75" i="3"/>
  <c r="NT75" i="3"/>
  <c r="PD60" i="3"/>
  <c r="PB60" i="3" s="1"/>
  <c r="PC60" i="3"/>
  <c r="OZ60" i="3"/>
  <c r="OX60" i="3" s="1"/>
  <c r="OY60" i="3"/>
  <c r="OV60" i="3"/>
  <c r="OT60" i="3" s="1"/>
  <c r="OU60" i="3"/>
  <c r="OR60" i="3"/>
  <c r="OP60" i="3" s="1"/>
  <c r="OQ60" i="3"/>
  <c r="ON60" i="3"/>
  <c r="OL60" i="3" s="1"/>
  <c r="OM60" i="3"/>
  <c r="OJ60" i="3"/>
  <c r="OH60" i="3" s="1"/>
  <c r="OI60" i="3"/>
  <c r="OF60" i="3"/>
  <c r="OD60" i="3" s="1"/>
  <c r="OE60" i="3"/>
  <c r="OB60" i="3"/>
  <c r="NZ60" i="3" s="1"/>
  <c r="OA60" i="3"/>
  <c r="NX60" i="3"/>
  <c r="NW60" i="3"/>
  <c r="NT60" i="3"/>
  <c r="PD59" i="3"/>
  <c r="PB59" i="3" s="1"/>
  <c r="PC59" i="3"/>
  <c r="OZ59" i="3"/>
  <c r="OX59" i="3" s="1"/>
  <c r="OY59" i="3"/>
  <c r="OV59" i="3"/>
  <c r="OT59" i="3" s="1"/>
  <c r="OU59" i="3"/>
  <c r="OR59" i="3"/>
  <c r="OP59" i="3" s="1"/>
  <c r="OQ59" i="3"/>
  <c r="ON59" i="3"/>
  <c r="OL59" i="3" s="1"/>
  <c r="OM59" i="3"/>
  <c r="OJ59" i="3"/>
  <c r="OH59" i="3" s="1"/>
  <c r="OI59" i="3"/>
  <c r="OF59" i="3"/>
  <c r="OD59" i="3" s="1"/>
  <c r="OE59" i="3"/>
  <c r="OB59" i="3"/>
  <c r="NZ59" i="3" s="1"/>
  <c r="OA59" i="3"/>
  <c r="NX59" i="3"/>
  <c r="NV59" i="3" s="1"/>
  <c r="NW59" i="3"/>
  <c r="NT59" i="3"/>
  <c r="PD58" i="3"/>
  <c r="PB58" i="3" s="1"/>
  <c r="PC58" i="3"/>
  <c r="OZ58" i="3"/>
  <c r="OY58" i="3"/>
  <c r="OV58" i="3"/>
  <c r="OT58" i="3" s="1"/>
  <c r="OU58" i="3"/>
  <c r="OR58" i="3"/>
  <c r="OQ58" i="3"/>
  <c r="ON58" i="3"/>
  <c r="OL58" i="3" s="1"/>
  <c r="OM58" i="3"/>
  <c r="OJ58" i="3"/>
  <c r="OH58" i="3" s="1"/>
  <c r="OI58" i="3"/>
  <c r="OF58" i="3"/>
  <c r="OD58" i="3" s="1"/>
  <c r="OE58" i="3"/>
  <c r="OB58" i="3"/>
  <c r="OA58" i="3"/>
  <c r="NX58" i="3"/>
  <c r="NW58" i="3"/>
  <c r="NT58" i="3"/>
  <c r="PD57" i="3"/>
  <c r="PC57" i="3"/>
  <c r="OZ57" i="3"/>
  <c r="OX57" i="3" s="1"/>
  <c r="OY57" i="3"/>
  <c r="OV57" i="3"/>
  <c r="OT57" i="3" s="1"/>
  <c r="OU57" i="3"/>
  <c r="OR57" i="3"/>
  <c r="OP57" i="3" s="1"/>
  <c r="OQ57" i="3"/>
  <c r="ON57" i="3"/>
  <c r="OM57" i="3"/>
  <c r="OJ57" i="3"/>
  <c r="OH57" i="3" s="1"/>
  <c r="OI57" i="3"/>
  <c r="OF57" i="3"/>
  <c r="OD57" i="3" s="1"/>
  <c r="OE57" i="3"/>
  <c r="OB57" i="3"/>
  <c r="NZ57" i="3" s="1"/>
  <c r="OA57" i="3"/>
  <c r="NX57" i="3"/>
  <c r="NW57" i="3"/>
  <c r="NT57" i="3"/>
  <c r="PD56" i="3"/>
  <c r="PB56" i="3" s="1"/>
  <c r="PC56" i="3"/>
  <c r="OZ56" i="3"/>
  <c r="OX56" i="3" s="1"/>
  <c r="OY56" i="3"/>
  <c r="OV56" i="3"/>
  <c r="OT56" i="3" s="1"/>
  <c r="OU56" i="3"/>
  <c r="OR56" i="3"/>
  <c r="OP56" i="3" s="1"/>
  <c r="OQ56" i="3"/>
  <c r="ON56" i="3"/>
  <c r="OL56" i="3" s="1"/>
  <c r="OM56" i="3"/>
  <c r="OJ56" i="3"/>
  <c r="OH56" i="3" s="1"/>
  <c r="OI56" i="3"/>
  <c r="OF56" i="3"/>
  <c r="OD56" i="3" s="1"/>
  <c r="OE56" i="3"/>
  <c r="OB56" i="3"/>
  <c r="NZ56" i="3" s="1"/>
  <c r="OA56" i="3"/>
  <c r="NX56" i="3"/>
  <c r="NW56" i="3"/>
  <c r="NT56" i="3"/>
  <c r="PD55" i="3"/>
  <c r="PB55" i="3" s="1"/>
  <c r="PC55" i="3"/>
  <c r="OZ55" i="3"/>
  <c r="OX55" i="3" s="1"/>
  <c r="OY55" i="3"/>
  <c r="OV55" i="3"/>
  <c r="OT55" i="3" s="1"/>
  <c r="OU55" i="3"/>
  <c r="OR55" i="3"/>
  <c r="OP55" i="3" s="1"/>
  <c r="OQ55" i="3"/>
  <c r="ON55" i="3"/>
  <c r="OL55" i="3" s="1"/>
  <c r="OM55" i="3"/>
  <c r="OJ55" i="3"/>
  <c r="OH55" i="3" s="1"/>
  <c r="OI55" i="3"/>
  <c r="OF55" i="3"/>
  <c r="OD55" i="3" s="1"/>
  <c r="OE55" i="3"/>
  <c r="OB55" i="3"/>
  <c r="NZ55" i="3" s="1"/>
  <c r="OA55" i="3"/>
  <c r="NX55" i="3"/>
  <c r="NV55" i="3" s="1"/>
  <c r="NW55" i="3"/>
  <c r="NT55" i="3"/>
  <c r="PD54" i="3"/>
  <c r="PB54" i="3" s="1"/>
  <c r="PC54" i="3"/>
  <c r="OZ54" i="3"/>
  <c r="OY54" i="3"/>
  <c r="OV54" i="3"/>
  <c r="OT54" i="3" s="1"/>
  <c r="OU54" i="3"/>
  <c r="OR54" i="3"/>
  <c r="OQ54" i="3"/>
  <c r="ON54" i="3"/>
  <c r="OL54" i="3" s="1"/>
  <c r="OM54" i="3"/>
  <c r="OJ54" i="3"/>
  <c r="OH54" i="3" s="1"/>
  <c r="OI54" i="3"/>
  <c r="OF54" i="3"/>
  <c r="OD54" i="3" s="1"/>
  <c r="OE54" i="3"/>
  <c r="OB54" i="3"/>
  <c r="OA54" i="3"/>
  <c r="NX54" i="3"/>
  <c r="NV54" i="3" s="1"/>
  <c r="NW54" i="3"/>
  <c r="NT54" i="3"/>
  <c r="PD53" i="3"/>
  <c r="PC53" i="3"/>
  <c r="OZ53" i="3"/>
  <c r="OX53" i="3" s="1"/>
  <c r="OY53" i="3"/>
  <c r="OV53" i="3"/>
  <c r="OT53" i="3" s="1"/>
  <c r="OU53" i="3"/>
  <c r="OR53" i="3"/>
  <c r="OP53" i="3" s="1"/>
  <c r="OQ53" i="3"/>
  <c r="ON53" i="3"/>
  <c r="OM53" i="3"/>
  <c r="OJ53" i="3"/>
  <c r="OH53" i="3" s="1"/>
  <c r="OI53" i="3"/>
  <c r="OF53" i="3"/>
  <c r="OD53" i="3" s="1"/>
  <c r="OE53" i="3"/>
  <c r="OB53" i="3"/>
  <c r="NZ53" i="3" s="1"/>
  <c r="OA53" i="3"/>
  <c r="NX53" i="3"/>
  <c r="NW53" i="3"/>
  <c r="NT53" i="3"/>
  <c r="OO75" i="3" l="1"/>
  <c r="OS77" i="3"/>
  <c r="NV56" i="3"/>
  <c r="OO57" i="3"/>
  <c r="PE57" i="3"/>
  <c r="OC45" i="3"/>
  <c r="NV60" i="3"/>
  <c r="OC75" i="3"/>
  <c r="OS75" i="3"/>
  <c r="NV58" i="3"/>
  <c r="PA77" i="3"/>
  <c r="NY45" i="3"/>
  <c r="OK75" i="3"/>
  <c r="NY77" i="3"/>
  <c r="NV46" i="3"/>
  <c r="NU45" i="3"/>
  <c r="NU55" i="3"/>
  <c r="NY57" i="3"/>
  <c r="NY75" i="3"/>
  <c r="PA75" i="3"/>
  <c r="PE75" i="3"/>
  <c r="NY53" i="3"/>
  <c r="NU59" i="3"/>
  <c r="NU75" i="3"/>
  <c r="OO77" i="3"/>
  <c r="OL75" i="3"/>
  <c r="OS57" i="3"/>
  <c r="PA57" i="3"/>
  <c r="OH75" i="3"/>
  <c r="NU57" i="3"/>
  <c r="PE77" i="3"/>
  <c r="OS53" i="3"/>
  <c r="PA53" i="3"/>
  <c r="NZ75" i="3"/>
  <c r="OP75" i="3"/>
  <c r="NU77" i="3"/>
  <c r="OO53" i="3"/>
  <c r="PE53" i="3"/>
  <c r="OS55" i="3"/>
  <c r="OK77" i="3"/>
  <c r="OC77" i="3"/>
  <c r="NV77" i="3"/>
  <c r="OH77" i="3"/>
  <c r="OL77" i="3"/>
  <c r="OP77" i="3"/>
  <c r="OX77" i="3"/>
  <c r="PB77" i="3"/>
  <c r="NZ78" i="3"/>
  <c r="OG77" i="3"/>
  <c r="OW77" i="3"/>
  <c r="OG75" i="3"/>
  <c r="OW75" i="3"/>
  <c r="OC53" i="3"/>
  <c r="OC57" i="3"/>
  <c r="NY59" i="3"/>
  <c r="OC59" i="3"/>
  <c r="OG59" i="3"/>
  <c r="OK59" i="3"/>
  <c r="OO59" i="3"/>
  <c r="OS59" i="3"/>
  <c r="OW59" i="3"/>
  <c r="PA59" i="3"/>
  <c r="PE59" i="3"/>
  <c r="NY55" i="3"/>
  <c r="OC55" i="3"/>
  <c r="OG55" i="3"/>
  <c r="OK55" i="3"/>
  <c r="OO55" i="3"/>
  <c r="OW55" i="3"/>
  <c r="PA55" i="3"/>
  <c r="PE55" i="3"/>
  <c r="OK53" i="3"/>
  <c r="OX54" i="3"/>
  <c r="OK57" i="3"/>
  <c r="OX58" i="3"/>
  <c r="NU53" i="3"/>
  <c r="NV53" i="3"/>
  <c r="OL53" i="3"/>
  <c r="PB53" i="3"/>
  <c r="NZ54" i="3"/>
  <c r="OP54" i="3"/>
  <c r="NV57" i="3"/>
  <c r="OL57" i="3"/>
  <c r="PB57" i="3"/>
  <c r="NZ58" i="3"/>
  <c r="OP58" i="3"/>
  <c r="OG53" i="3"/>
  <c r="OW53" i="3"/>
  <c r="OG57" i="3"/>
  <c r="OW57" i="3"/>
  <c r="PD30" i="3" l="1"/>
  <c r="PB30" i="3" s="1"/>
  <c r="PC30" i="3"/>
  <c r="OZ30" i="3"/>
  <c r="OX30" i="3" s="1"/>
  <c r="OY30" i="3"/>
  <c r="OV30" i="3"/>
  <c r="OT30" i="3" s="1"/>
  <c r="OU30" i="3"/>
  <c r="OR30" i="3"/>
  <c r="OP30" i="3" s="1"/>
  <c r="OQ30" i="3"/>
  <c r="ON30" i="3"/>
  <c r="OL30" i="3" s="1"/>
  <c r="OM30" i="3"/>
  <c r="OJ30" i="3"/>
  <c r="OH30" i="3" s="1"/>
  <c r="OI30" i="3"/>
  <c r="OF30" i="3"/>
  <c r="OD30" i="3" s="1"/>
  <c r="OE30" i="3"/>
  <c r="OB30" i="3"/>
  <c r="NZ30" i="3" s="1"/>
  <c r="OA30" i="3"/>
  <c r="NX30" i="3"/>
  <c r="NW30" i="3"/>
  <c r="PD29" i="3"/>
  <c r="PB29" i="3" s="1"/>
  <c r="PC29" i="3"/>
  <c r="OZ29" i="3"/>
  <c r="OX29" i="3" s="1"/>
  <c r="OY29" i="3"/>
  <c r="OV29" i="3"/>
  <c r="OT29" i="3" s="1"/>
  <c r="OU29" i="3"/>
  <c r="OR29" i="3"/>
  <c r="OQ29" i="3"/>
  <c r="ON29" i="3"/>
  <c r="OM29" i="3"/>
  <c r="OJ29" i="3"/>
  <c r="OH29" i="3" s="1"/>
  <c r="OI29" i="3"/>
  <c r="OF29" i="3"/>
  <c r="OD29" i="3" s="1"/>
  <c r="OE29" i="3"/>
  <c r="OB29" i="3"/>
  <c r="OA29" i="3"/>
  <c r="NX29" i="3"/>
  <c r="NW29" i="3"/>
  <c r="NY25" i="3"/>
  <c r="NY65" i="3"/>
  <c r="NT41" i="3"/>
  <c r="NW41" i="3"/>
  <c r="NX41" i="3"/>
  <c r="NV41" i="3" s="1"/>
  <c r="OA41" i="3"/>
  <c r="OB41" i="3"/>
  <c r="NZ41" i="3" s="1"/>
  <c r="OE41" i="3"/>
  <c r="OF41" i="3"/>
  <c r="OD41" i="3" s="1"/>
  <c r="OI41" i="3"/>
  <c r="OJ41" i="3"/>
  <c r="OH41" i="3" s="1"/>
  <c r="OM41" i="3"/>
  <c r="ON41" i="3"/>
  <c r="OL41" i="3" s="1"/>
  <c r="OQ41" i="3"/>
  <c r="OR41" i="3"/>
  <c r="OP41" i="3" s="1"/>
  <c r="OU41" i="3"/>
  <c r="OV41" i="3"/>
  <c r="OT41" i="3" s="1"/>
  <c r="OY41" i="3"/>
  <c r="OZ41" i="3"/>
  <c r="OX41" i="3" s="1"/>
  <c r="PC41" i="3"/>
  <c r="PD41" i="3"/>
  <c r="PB41" i="3" s="1"/>
  <c r="NT42" i="3"/>
  <c r="NW42" i="3"/>
  <c r="NX42" i="3"/>
  <c r="OA42" i="3"/>
  <c r="OB42" i="3"/>
  <c r="OE42" i="3"/>
  <c r="OF42" i="3"/>
  <c r="OD42" i="3" s="1"/>
  <c r="OI42" i="3"/>
  <c r="OJ42" i="3"/>
  <c r="OH42" i="3" s="1"/>
  <c r="OM42" i="3"/>
  <c r="ON42" i="3"/>
  <c r="OQ42" i="3"/>
  <c r="OR42" i="3"/>
  <c r="OU42" i="3"/>
  <c r="OV42" i="3"/>
  <c r="OT42" i="3" s="1"/>
  <c r="OY42" i="3"/>
  <c r="OZ42" i="3"/>
  <c r="OX42" i="3" s="1"/>
  <c r="PC42" i="3"/>
  <c r="PD42" i="3"/>
  <c r="OS41" i="3" l="1"/>
  <c r="NY29" i="3"/>
  <c r="OC29" i="3"/>
  <c r="OO29" i="3"/>
  <c r="PA29" i="3"/>
  <c r="PE29" i="3"/>
  <c r="OK29" i="3"/>
  <c r="OS29" i="3"/>
  <c r="OO41" i="3"/>
  <c r="OP29" i="3"/>
  <c r="OL29" i="3"/>
  <c r="NU29" i="3"/>
  <c r="NV30" i="3"/>
  <c r="NV29" i="3"/>
  <c r="NZ29" i="3"/>
  <c r="OG29" i="3"/>
  <c r="OW29" i="3"/>
  <c r="OP42" i="3"/>
  <c r="OC41" i="3"/>
  <c r="NU41" i="3"/>
  <c r="NZ42" i="3"/>
  <c r="PE41" i="3"/>
  <c r="OW41" i="3"/>
  <c r="NY41" i="3"/>
  <c r="OG41" i="3"/>
  <c r="PB42" i="3"/>
  <c r="OL42" i="3"/>
  <c r="NV42" i="3"/>
  <c r="PA41" i="3"/>
  <c r="OK41" i="3"/>
  <c r="PD156" i="3" l="1"/>
  <c r="PB156" i="3" s="1"/>
  <c r="PC156" i="3"/>
  <c r="OZ156" i="3"/>
  <c r="OX156" i="3" s="1"/>
  <c r="OY156" i="3"/>
  <c r="OV156" i="3"/>
  <c r="OT156" i="3" s="1"/>
  <c r="OU156" i="3"/>
  <c r="OR156" i="3"/>
  <c r="OP156" i="3" s="1"/>
  <c r="OQ156" i="3"/>
  <c r="ON156" i="3"/>
  <c r="OM156" i="3"/>
  <c r="OJ156" i="3"/>
  <c r="OH156" i="3" s="1"/>
  <c r="OI156" i="3"/>
  <c r="OF156" i="3"/>
  <c r="OD156" i="3" s="1"/>
  <c r="OE156" i="3"/>
  <c r="OB156" i="3"/>
  <c r="NZ156" i="3" s="1"/>
  <c r="OA156" i="3"/>
  <c r="NX156" i="3"/>
  <c r="NW156" i="3"/>
  <c r="NT156" i="3"/>
  <c r="PD155" i="3"/>
  <c r="PB155" i="3" s="1"/>
  <c r="PC155" i="3"/>
  <c r="OZ155" i="3"/>
  <c r="OX155" i="3" s="1"/>
  <c r="OY155" i="3"/>
  <c r="OV155" i="3"/>
  <c r="OT155" i="3" s="1"/>
  <c r="OU155" i="3"/>
  <c r="OR155" i="3"/>
  <c r="OP155" i="3" s="1"/>
  <c r="OQ155" i="3"/>
  <c r="ON155" i="3"/>
  <c r="OL155" i="3" s="1"/>
  <c r="OM155" i="3"/>
  <c r="OJ155" i="3"/>
  <c r="OH155" i="3" s="1"/>
  <c r="OI155" i="3"/>
  <c r="OF155" i="3"/>
  <c r="OD155" i="3" s="1"/>
  <c r="OE155" i="3"/>
  <c r="OB155" i="3"/>
  <c r="NZ155" i="3" s="1"/>
  <c r="OA155" i="3"/>
  <c r="NX155" i="3"/>
  <c r="NV155" i="3" s="1"/>
  <c r="NW155" i="3"/>
  <c r="NT155" i="3"/>
  <c r="PD154" i="3"/>
  <c r="PB154" i="3" s="1"/>
  <c r="PC154" i="3"/>
  <c r="OZ154" i="3"/>
  <c r="OX154" i="3" s="1"/>
  <c r="OY154" i="3"/>
  <c r="OV154" i="3"/>
  <c r="OT154" i="3" s="1"/>
  <c r="OU154" i="3"/>
  <c r="OR154" i="3"/>
  <c r="OP154" i="3" s="1"/>
  <c r="OQ154" i="3"/>
  <c r="ON154" i="3"/>
  <c r="OL154" i="3" s="1"/>
  <c r="OM154" i="3"/>
  <c r="OJ154" i="3"/>
  <c r="OH154" i="3" s="1"/>
  <c r="OI154" i="3"/>
  <c r="OF154" i="3"/>
  <c r="OD154" i="3" s="1"/>
  <c r="OE154" i="3"/>
  <c r="OB154" i="3"/>
  <c r="NZ154" i="3" s="1"/>
  <c r="OA154" i="3"/>
  <c r="NX154" i="3"/>
  <c r="NW154" i="3"/>
  <c r="NT154" i="3"/>
  <c r="PD153" i="3"/>
  <c r="PB153" i="3" s="1"/>
  <c r="PC153" i="3"/>
  <c r="OZ153" i="3"/>
  <c r="OX153" i="3" s="1"/>
  <c r="OY153" i="3"/>
  <c r="OV153" i="3"/>
  <c r="OT153" i="3" s="1"/>
  <c r="OU153" i="3"/>
  <c r="OR153" i="3"/>
  <c r="OP153" i="3" s="1"/>
  <c r="OQ153" i="3"/>
  <c r="ON153" i="3"/>
  <c r="OL153" i="3" s="1"/>
  <c r="OM153" i="3"/>
  <c r="OJ153" i="3"/>
  <c r="OH153" i="3" s="1"/>
  <c r="OI153" i="3"/>
  <c r="OF153" i="3"/>
  <c r="OD153" i="3" s="1"/>
  <c r="OE153" i="3"/>
  <c r="OB153" i="3"/>
  <c r="NZ153" i="3" s="1"/>
  <c r="OA153" i="3"/>
  <c r="NX153" i="3"/>
  <c r="NV153" i="3" s="1"/>
  <c r="NW153" i="3"/>
  <c r="NT153" i="3"/>
  <c r="PD152" i="3"/>
  <c r="PB152" i="3" s="1"/>
  <c r="PC152" i="3"/>
  <c r="OZ152" i="3"/>
  <c r="OX152" i="3" s="1"/>
  <c r="OY152" i="3"/>
  <c r="OV152" i="3"/>
  <c r="OU152" i="3"/>
  <c r="OR152" i="3"/>
  <c r="OP152" i="3" s="1"/>
  <c r="OQ152" i="3"/>
  <c r="ON152" i="3"/>
  <c r="OL152" i="3" s="1"/>
  <c r="OM152" i="3"/>
  <c r="OJ152" i="3"/>
  <c r="OH152" i="3" s="1"/>
  <c r="OI152" i="3"/>
  <c r="OF152" i="3"/>
  <c r="OD152" i="3" s="1"/>
  <c r="OE152" i="3"/>
  <c r="OB152" i="3"/>
  <c r="NZ152" i="3" s="1"/>
  <c r="OA152" i="3"/>
  <c r="NX152" i="3"/>
  <c r="NW152" i="3"/>
  <c r="NT152" i="3"/>
  <c r="PD151" i="3"/>
  <c r="PB151" i="3" s="1"/>
  <c r="PC151" i="3"/>
  <c r="OZ151" i="3"/>
  <c r="OX151" i="3" s="1"/>
  <c r="OY151" i="3"/>
  <c r="OV151" i="3"/>
  <c r="OT151" i="3" s="1"/>
  <c r="OU151" i="3"/>
  <c r="OR151" i="3"/>
  <c r="OP151" i="3" s="1"/>
  <c r="OQ151" i="3"/>
  <c r="ON151" i="3"/>
  <c r="OL151" i="3" s="1"/>
  <c r="OM151" i="3"/>
  <c r="OJ151" i="3"/>
  <c r="OH151" i="3" s="1"/>
  <c r="OI151" i="3"/>
  <c r="OF151" i="3"/>
  <c r="OD151" i="3" s="1"/>
  <c r="OE151" i="3"/>
  <c r="OB151" i="3"/>
  <c r="NZ151" i="3" s="1"/>
  <c r="OA151" i="3"/>
  <c r="NX151" i="3"/>
  <c r="NV151" i="3" s="1"/>
  <c r="NW151" i="3"/>
  <c r="NT151" i="3"/>
  <c r="NS150" i="3"/>
  <c r="NR150" i="3"/>
  <c r="NQ150" i="3"/>
  <c r="NP150" i="3"/>
  <c r="NO150" i="3"/>
  <c r="NN150" i="3"/>
  <c r="NM150" i="3"/>
  <c r="NL150" i="3"/>
  <c r="NK150" i="3"/>
  <c r="NJ150" i="3"/>
  <c r="NI150" i="3"/>
  <c r="NH150" i="3"/>
  <c r="NG150" i="3"/>
  <c r="NF150" i="3"/>
  <c r="NE150" i="3"/>
  <c r="ND150" i="3"/>
  <c r="NC150" i="3"/>
  <c r="NB150" i="3"/>
  <c r="NA150" i="3"/>
  <c r="MZ150" i="3"/>
  <c r="MY150" i="3"/>
  <c r="MX150" i="3"/>
  <c r="MW150" i="3"/>
  <c r="MV150" i="3"/>
  <c r="MU150" i="3"/>
  <c r="MT150" i="3"/>
  <c r="MS150" i="3"/>
  <c r="MR150" i="3"/>
  <c r="MQ150" i="3"/>
  <c r="MP150" i="3"/>
  <c r="MO150" i="3"/>
  <c r="MN150" i="3"/>
  <c r="MM150" i="3"/>
  <c r="ML150" i="3"/>
  <c r="MK150" i="3"/>
  <c r="MJ150" i="3"/>
  <c r="MI150" i="3"/>
  <c r="MH150" i="3"/>
  <c r="MG150" i="3"/>
  <c r="MF150" i="3"/>
  <c r="ME150" i="3"/>
  <c r="MD150" i="3"/>
  <c r="MC150" i="3"/>
  <c r="MB150" i="3"/>
  <c r="MA150" i="3"/>
  <c r="LZ150" i="3"/>
  <c r="LY150" i="3"/>
  <c r="LX150" i="3"/>
  <c r="LW150" i="3"/>
  <c r="LV150" i="3"/>
  <c r="LU150" i="3"/>
  <c r="LT150" i="3"/>
  <c r="LS150" i="3"/>
  <c r="LR150" i="3"/>
  <c r="LQ150" i="3"/>
  <c r="LP150" i="3"/>
  <c r="LO150" i="3"/>
  <c r="LN150" i="3"/>
  <c r="LM150" i="3"/>
  <c r="LL150" i="3"/>
  <c r="LK150" i="3"/>
  <c r="LJ150" i="3"/>
  <c r="LI150" i="3"/>
  <c r="LH150" i="3"/>
  <c r="LG150" i="3"/>
  <c r="LF150" i="3"/>
  <c r="LE150" i="3"/>
  <c r="LD150" i="3"/>
  <c r="LC150" i="3"/>
  <c r="LB150" i="3"/>
  <c r="LA150" i="3"/>
  <c r="KZ150" i="3"/>
  <c r="KY150" i="3"/>
  <c r="KX150" i="3"/>
  <c r="KW150" i="3"/>
  <c r="KV150" i="3"/>
  <c r="KU150" i="3"/>
  <c r="KT150" i="3"/>
  <c r="KS150" i="3"/>
  <c r="KR150" i="3"/>
  <c r="KQ150" i="3"/>
  <c r="KP150" i="3"/>
  <c r="KO150" i="3"/>
  <c r="KN150" i="3"/>
  <c r="KM150" i="3"/>
  <c r="KL150" i="3"/>
  <c r="KK150" i="3"/>
  <c r="KJ150" i="3"/>
  <c r="KI150" i="3"/>
  <c r="KH150" i="3"/>
  <c r="KG150" i="3"/>
  <c r="KF150" i="3"/>
  <c r="KE150" i="3"/>
  <c r="KD150" i="3"/>
  <c r="KC150" i="3"/>
  <c r="KB150" i="3"/>
  <c r="KA150" i="3"/>
  <c r="JZ150" i="3"/>
  <c r="JY150" i="3"/>
  <c r="JX150" i="3"/>
  <c r="JW150" i="3"/>
  <c r="JV150" i="3"/>
  <c r="JU150" i="3"/>
  <c r="JT150" i="3"/>
  <c r="JS150" i="3"/>
  <c r="JR150" i="3"/>
  <c r="JQ150" i="3"/>
  <c r="JP150" i="3"/>
  <c r="JO150" i="3"/>
  <c r="JN150" i="3"/>
  <c r="JM150" i="3"/>
  <c r="JL150" i="3"/>
  <c r="JK150" i="3"/>
  <c r="JJ150" i="3"/>
  <c r="JI150" i="3"/>
  <c r="JH150" i="3"/>
  <c r="JG150" i="3"/>
  <c r="JF150" i="3"/>
  <c r="JE150" i="3"/>
  <c r="JD150" i="3"/>
  <c r="JC150" i="3"/>
  <c r="JB150" i="3"/>
  <c r="JA150" i="3"/>
  <c r="IZ150" i="3"/>
  <c r="IY150" i="3"/>
  <c r="IX150" i="3"/>
  <c r="IW150" i="3"/>
  <c r="IV150" i="3"/>
  <c r="IU150" i="3"/>
  <c r="IT150" i="3"/>
  <c r="IS150" i="3"/>
  <c r="IR150" i="3"/>
  <c r="IQ150" i="3"/>
  <c r="IP150" i="3"/>
  <c r="IO150" i="3"/>
  <c r="IN150" i="3"/>
  <c r="IM150" i="3"/>
  <c r="IL150" i="3"/>
  <c r="IK150" i="3"/>
  <c r="IJ150" i="3"/>
  <c r="II150" i="3"/>
  <c r="IH150" i="3"/>
  <c r="IG150" i="3"/>
  <c r="IF150" i="3"/>
  <c r="IE150" i="3"/>
  <c r="ID150" i="3"/>
  <c r="IC150" i="3"/>
  <c r="IB150" i="3"/>
  <c r="IA150" i="3"/>
  <c r="HZ150" i="3"/>
  <c r="HY150" i="3"/>
  <c r="HX150" i="3"/>
  <c r="HW150" i="3"/>
  <c r="HV150" i="3"/>
  <c r="HU150" i="3"/>
  <c r="HT150" i="3"/>
  <c r="HS150" i="3"/>
  <c r="HR150" i="3"/>
  <c r="HQ150" i="3"/>
  <c r="HP150" i="3"/>
  <c r="HO150" i="3"/>
  <c r="HN150" i="3"/>
  <c r="HM150" i="3"/>
  <c r="HL150" i="3"/>
  <c r="HK150" i="3"/>
  <c r="HJ150" i="3"/>
  <c r="HI150" i="3"/>
  <c r="HH150" i="3"/>
  <c r="HG150" i="3"/>
  <c r="HF150" i="3"/>
  <c r="HE150" i="3"/>
  <c r="HD150" i="3"/>
  <c r="HC150" i="3"/>
  <c r="HB150" i="3"/>
  <c r="HA150" i="3"/>
  <c r="GZ150" i="3"/>
  <c r="GY150" i="3"/>
  <c r="GX150" i="3"/>
  <c r="GW150" i="3"/>
  <c r="GV150" i="3"/>
  <c r="GU150" i="3"/>
  <c r="GT150" i="3"/>
  <c r="GS150" i="3"/>
  <c r="GR150" i="3"/>
  <c r="GQ150" i="3"/>
  <c r="GP150" i="3"/>
  <c r="GO150" i="3"/>
  <c r="GN150" i="3"/>
  <c r="GM150" i="3"/>
  <c r="GL150" i="3"/>
  <c r="GK150" i="3"/>
  <c r="GJ150" i="3"/>
  <c r="GI150" i="3"/>
  <c r="GH150" i="3"/>
  <c r="GG150" i="3"/>
  <c r="GF150" i="3"/>
  <c r="GE150" i="3"/>
  <c r="GD150" i="3"/>
  <c r="GC150" i="3"/>
  <c r="GB150" i="3"/>
  <c r="GA150" i="3"/>
  <c r="FZ150" i="3"/>
  <c r="FY150" i="3"/>
  <c r="FX150" i="3"/>
  <c r="FW150" i="3"/>
  <c r="FV150" i="3"/>
  <c r="FU150" i="3"/>
  <c r="FT150" i="3"/>
  <c r="FS150" i="3"/>
  <c r="FR150" i="3"/>
  <c r="FQ150" i="3"/>
  <c r="FP150" i="3"/>
  <c r="FO150" i="3"/>
  <c r="FN150" i="3"/>
  <c r="FM150" i="3"/>
  <c r="FL150" i="3"/>
  <c r="FK150" i="3"/>
  <c r="FJ150" i="3"/>
  <c r="FI150" i="3"/>
  <c r="FH150" i="3"/>
  <c r="FG150" i="3"/>
  <c r="FF150" i="3"/>
  <c r="FE150" i="3"/>
  <c r="FD150" i="3"/>
  <c r="FC150" i="3"/>
  <c r="FB150" i="3"/>
  <c r="FA150" i="3"/>
  <c r="EZ150" i="3"/>
  <c r="EY150" i="3"/>
  <c r="EX150" i="3"/>
  <c r="EW150" i="3"/>
  <c r="EV150" i="3"/>
  <c r="EU150" i="3"/>
  <c r="ET150" i="3"/>
  <c r="ES150" i="3"/>
  <c r="ER150" i="3"/>
  <c r="EQ150" i="3"/>
  <c r="EP150" i="3"/>
  <c r="EO150" i="3"/>
  <c r="EN150" i="3"/>
  <c r="EM150" i="3"/>
  <c r="EL150" i="3"/>
  <c r="EK150" i="3"/>
  <c r="EJ150" i="3"/>
  <c r="EI150" i="3"/>
  <c r="EH150" i="3"/>
  <c r="EG150" i="3"/>
  <c r="EF150" i="3"/>
  <c r="EE150" i="3"/>
  <c r="ED150" i="3"/>
  <c r="EC150" i="3"/>
  <c r="EB150" i="3"/>
  <c r="EA150" i="3"/>
  <c r="DZ150" i="3"/>
  <c r="DY150" i="3"/>
  <c r="DX150" i="3"/>
  <c r="DW150" i="3"/>
  <c r="DV150" i="3"/>
  <c r="DU150" i="3"/>
  <c r="DT150" i="3"/>
  <c r="DS150" i="3"/>
  <c r="DR150" i="3"/>
  <c r="DQ150" i="3"/>
  <c r="DP150" i="3"/>
  <c r="DO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Y150" i="3"/>
  <c r="CX150" i="3"/>
  <c r="CW150" i="3"/>
  <c r="CV150" i="3"/>
  <c r="CU150" i="3"/>
  <c r="CT150" i="3"/>
  <c r="CS150" i="3"/>
  <c r="CR150" i="3"/>
  <c r="CQ150" i="3"/>
  <c r="CP150" i="3"/>
  <c r="CO150" i="3"/>
  <c r="CN150" i="3"/>
  <c r="CM150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NS149" i="3"/>
  <c r="NR149" i="3"/>
  <c r="NQ149" i="3"/>
  <c r="NP149" i="3"/>
  <c r="NO149" i="3"/>
  <c r="NN149" i="3"/>
  <c r="NM149" i="3"/>
  <c r="NL149" i="3"/>
  <c r="NK149" i="3"/>
  <c r="NJ149" i="3"/>
  <c r="NI149" i="3"/>
  <c r="NH149" i="3"/>
  <c r="NG149" i="3"/>
  <c r="NF149" i="3"/>
  <c r="NE149" i="3"/>
  <c r="ND149" i="3"/>
  <c r="NC149" i="3"/>
  <c r="NB149" i="3"/>
  <c r="NA149" i="3"/>
  <c r="MZ149" i="3"/>
  <c r="MY149" i="3"/>
  <c r="MX149" i="3"/>
  <c r="MW149" i="3"/>
  <c r="MV149" i="3"/>
  <c r="MU149" i="3"/>
  <c r="MT149" i="3"/>
  <c r="MS149" i="3"/>
  <c r="MR149" i="3"/>
  <c r="MQ149" i="3"/>
  <c r="MP149" i="3"/>
  <c r="MO149" i="3"/>
  <c r="MN149" i="3"/>
  <c r="MM149" i="3"/>
  <c r="ML149" i="3"/>
  <c r="MK149" i="3"/>
  <c r="MJ149" i="3"/>
  <c r="MI149" i="3"/>
  <c r="MH149" i="3"/>
  <c r="MG149" i="3"/>
  <c r="MF149" i="3"/>
  <c r="ME149" i="3"/>
  <c r="MD149" i="3"/>
  <c r="MC149" i="3"/>
  <c r="MB149" i="3"/>
  <c r="MA149" i="3"/>
  <c r="LZ149" i="3"/>
  <c r="LY149" i="3"/>
  <c r="LX149" i="3"/>
  <c r="LW149" i="3"/>
  <c r="LV149" i="3"/>
  <c r="LU149" i="3"/>
  <c r="LT149" i="3"/>
  <c r="LS149" i="3"/>
  <c r="LR149" i="3"/>
  <c r="LQ149" i="3"/>
  <c r="LP149" i="3"/>
  <c r="LO149" i="3"/>
  <c r="LN149" i="3"/>
  <c r="LM149" i="3"/>
  <c r="LL149" i="3"/>
  <c r="LK149" i="3"/>
  <c r="LJ149" i="3"/>
  <c r="LI149" i="3"/>
  <c r="LH149" i="3"/>
  <c r="LG149" i="3"/>
  <c r="LF149" i="3"/>
  <c r="LE149" i="3"/>
  <c r="LD149" i="3"/>
  <c r="LC149" i="3"/>
  <c r="LB149" i="3"/>
  <c r="LA149" i="3"/>
  <c r="KZ149" i="3"/>
  <c r="KY149" i="3"/>
  <c r="KX149" i="3"/>
  <c r="KW149" i="3"/>
  <c r="KV149" i="3"/>
  <c r="KU149" i="3"/>
  <c r="KT149" i="3"/>
  <c r="KS149" i="3"/>
  <c r="KR149" i="3"/>
  <c r="KQ149" i="3"/>
  <c r="KP149" i="3"/>
  <c r="KO149" i="3"/>
  <c r="KN149" i="3"/>
  <c r="KM149" i="3"/>
  <c r="KL149" i="3"/>
  <c r="KK149" i="3"/>
  <c r="KJ149" i="3"/>
  <c r="KI149" i="3"/>
  <c r="KH149" i="3"/>
  <c r="KG149" i="3"/>
  <c r="KF149" i="3"/>
  <c r="KE149" i="3"/>
  <c r="KD149" i="3"/>
  <c r="KC149" i="3"/>
  <c r="KB149" i="3"/>
  <c r="KA149" i="3"/>
  <c r="JZ149" i="3"/>
  <c r="JY149" i="3"/>
  <c r="JX149" i="3"/>
  <c r="JW149" i="3"/>
  <c r="JV149" i="3"/>
  <c r="JU149" i="3"/>
  <c r="JT149" i="3"/>
  <c r="JS149" i="3"/>
  <c r="JR149" i="3"/>
  <c r="JQ149" i="3"/>
  <c r="JP149" i="3"/>
  <c r="JO149" i="3"/>
  <c r="JN149" i="3"/>
  <c r="JM149" i="3"/>
  <c r="JL149" i="3"/>
  <c r="JK149" i="3"/>
  <c r="JJ149" i="3"/>
  <c r="JI149" i="3"/>
  <c r="JH149" i="3"/>
  <c r="JG149" i="3"/>
  <c r="JF149" i="3"/>
  <c r="JE149" i="3"/>
  <c r="JD149" i="3"/>
  <c r="JC149" i="3"/>
  <c r="JB149" i="3"/>
  <c r="JA149" i="3"/>
  <c r="IZ149" i="3"/>
  <c r="IY149" i="3"/>
  <c r="IX149" i="3"/>
  <c r="IW149" i="3"/>
  <c r="IV149" i="3"/>
  <c r="IU149" i="3"/>
  <c r="IT149" i="3"/>
  <c r="IS149" i="3"/>
  <c r="IR149" i="3"/>
  <c r="IQ149" i="3"/>
  <c r="IP149" i="3"/>
  <c r="IO149" i="3"/>
  <c r="IN149" i="3"/>
  <c r="IM149" i="3"/>
  <c r="IL149" i="3"/>
  <c r="IK149" i="3"/>
  <c r="IJ149" i="3"/>
  <c r="II149" i="3"/>
  <c r="IH149" i="3"/>
  <c r="IG149" i="3"/>
  <c r="IF149" i="3"/>
  <c r="IE149" i="3"/>
  <c r="ID149" i="3"/>
  <c r="IC149" i="3"/>
  <c r="IB149" i="3"/>
  <c r="IA149" i="3"/>
  <c r="HZ149" i="3"/>
  <c r="HY149" i="3"/>
  <c r="HX149" i="3"/>
  <c r="HW149" i="3"/>
  <c r="HV149" i="3"/>
  <c r="HU149" i="3"/>
  <c r="HT149" i="3"/>
  <c r="HS149" i="3"/>
  <c r="HR149" i="3"/>
  <c r="HQ149" i="3"/>
  <c r="HP149" i="3"/>
  <c r="HO149" i="3"/>
  <c r="HN149" i="3"/>
  <c r="HM149" i="3"/>
  <c r="HL149" i="3"/>
  <c r="HK149" i="3"/>
  <c r="HJ149" i="3"/>
  <c r="HI149" i="3"/>
  <c r="HH149" i="3"/>
  <c r="HG149" i="3"/>
  <c r="HF149" i="3"/>
  <c r="HE149" i="3"/>
  <c r="HD149" i="3"/>
  <c r="HC149" i="3"/>
  <c r="HB149" i="3"/>
  <c r="HA149" i="3"/>
  <c r="GZ149" i="3"/>
  <c r="GY149" i="3"/>
  <c r="GX149" i="3"/>
  <c r="GW149" i="3"/>
  <c r="GV149" i="3"/>
  <c r="GU149" i="3"/>
  <c r="GT149" i="3"/>
  <c r="GS149" i="3"/>
  <c r="GR149" i="3"/>
  <c r="GQ149" i="3"/>
  <c r="GP149" i="3"/>
  <c r="GO149" i="3"/>
  <c r="GN149" i="3"/>
  <c r="GM149" i="3"/>
  <c r="GL149" i="3"/>
  <c r="GK149" i="3"/>
  <c r="GJ149" i="3"/>
  <c r="GI149" i="3"/>
  <c r="GH149" i="3"/>
  <c r="GG149" i="3"/>
  <c r="GF149" i="3"/>
  <c r="GE149" i="3"/>
  <c r="GD149" i="3"/>
  <c r="GC149" i="3"/>
  <c r="GB149" i="3"/>
  <c r="GA149" i="3"/>
  <c r="FZ149" i="3"/>
  <c r="FY149" i="3"/>
  <c r="FX149" i="3"/>
  <c r="FW149" i="3"/>
  <c r="FV149" i="3"/>
  <c r="FU149" i="3"/>
  <c r="FT149" i="3"/>
  <c r="FS149" i="3"/>
  <c r="FR149" i="3"/>
  <c r="FQ149" i="3"/>
  <c r="FP149" i="3"/>
  <c r="FO149" i="3"/>
  <c r="FN149" i="3"/>
  <c r="FM149" i="3"/>
  <c r="FL149" i="3"/>
  <c r="FK149" i="3"/>
  <c r="FJ149" i="3"/>
  <c r="FI149" i="3"/>
  <c r="FH149" i="3"/>
  <c r="FG149" i="3"/>
  <c r="FF149" i="3"/>
  <c r="FE149" i="3"/>
  <c r="FD149" i="3"/>
  <c r="FC149" i="3"/>
  <c r="FB149" i="3"/>
  <c r="FA149" i="3"/>
  <c r="EZ149" i="3"/>
  <c r="EY149" i="3"/>
  <c r="EX149" i="3"/>
  <c r="EW149" i="3"/>
  <c r="EV149" i="3"/>
  <c r="EU149" i="3"/>
  <c r="ET149" i="3"/>
  <c r="ES149" i="3"/>
  <c r="ER149" i="3"/>
  <c r="EQ149" i="3"/>
  <c r="EP149" i="3"/>
  <c r="EO149" i="3"/>
  <c r="EN149" i="3"/>
  <c r="EM149" i="3"/>
  <c r="EL149" i="3"/>
  <c r="EK149" i="3"/>
  <c r="EJ149" i="3"/>
  <c r="EI149" i="3"/>
  <c r="EH149" i="3"/>
  <c r="EG149" i="3"/>
  <c r="EF149" i="3"/>
  <c r="EE149" i="3"/>
  <c r="ED149" i="3"/>
  <c r="EC149" i="3"/>
  <c r="EB149" i="3"/>
  <c r="EA149" i="3"/>
  <c r="DZ149" i="3"/>
  <c r="DY149" i="3"/>
  <c r="DX149" i="3"/>
  <c r="DW149" i="3"/>
  <c r="DV149" i="3"/>
  <c r="DU149" i="3"/>
  <c r="DT149" i="3"/>
  <c r="DS149" i="3"/>
  <c r="DR149" i="3"/>
  <c r="DQ149" i="3"/>
  <c r="DP149" i="3"/>
  <c r="DO149" i="3"/>
  <c r="DN149" i="3"/>
  <c r="DM149" i="3"/>
  <c r="DL149" i="3"/>
  <c r="DK149" i="3"/>
  <c r="DJ149" i="3"/>
  <c r="DI149" i="3"/>
  <c r="DH149" i="3"/>
  <c r="DG149" i="3"/>
  <c r="DF149" i="3"/>
  <c r="DE149" i="3"/>
  <c r="DD149" i="3"/>
  <c r="DC149" i="3"/>
  <c r="DB149" i="3"/>
  <c r="DA149" i="3"/>
  <c r="CZ149" i="3"/>
  <c r="CY149" i="3"/>
  <c r="CX149" i="3"/>
  <c r="CW149" i="3"/>
  <c r="CV149" i="3"/>
  <c r="CU149" i="3"/>
  <c r="CT149" i="3"/>
  <c r="CS149" i="3"/>
  <c r="CR149" i="3"/>
  <c r="CQ149" i="3"/>
  <c r="CP149" i="3"/>
  <c r="CO149" i="3"/>
  <c r="CN149" i="3"/>
  <c r="CM149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NV154" i="3" l="1"/>
  <c r="NY153" i="3"/>
  <c r="NV152" i="3"/>
  <c r="NY151" i="3"/>
  <c r="NV156" i="3"/>
  <c r="NY155" i="3"/>
  <c r="OS155" i="3"/>
  <c r="PE155" i="3"/>
  <c r="NU151" i="3"/>
  <c r="PA155" i="3"/>
  <c r="OC155" i="3"/>
  <c r="OK151" i="3"/>
  <c r="OW151" i="3"/>
  <c r="PE151" i="3"/>
  <c r="OG151" i="3"/>
  <c r="NX150" i="3"/>
  <c r="OF150" i="3"/>
  <c r="ON150" i="3"/>
  <c r="PD150" i="3"/>
  <c r="PA151" i="3"/>
  <c r="OK155" i="3"/>
  <c r="OO155" i="3"/>
  <c r="OO151" i="3"/>
  <c r="OC151" i="3"/>
  <c r="OS151" i="3"/>
  <c r="PB150" i="3"/>
  <c r="NU153" i="3"/>
  <c r="PA153" i="3"/>
  <c r="NU155" i="3"/>
  <c r="PC150" i="3"/>
  <c r="NX149" i="3"/>
  <c r="NT150" i="3"/>
  <c r="OB150" i="3"/>
  <c r="OJ150" i="3"/>
  <c r="OR150" i="3"/>
  <c r="OV150" i="3"/>
  <c r="OZ150" i="3"/>
  <c r="OT152" i="3"/>
  <c r="OL156" i="3"/>
  <c r="OM150" i="3" s="1"/>
  <c r="OB149" i="3"/>
  <c r="OF149" i="3"/>
  <c r="OJ149" i="3"/>
  <c r="ON149" i="3"/>
  <c r="OR149" i="3"/>
  <c r="OV149" i="3"/>
  <c r="OZ149" i="3"/>
  <c r="PD149" i="3"/>
  <c r="OK153" i="3"/>
  <c r="NT149" i="3"/>
  <c r="OC153" i="3"/>
  <c r="OG153" i="3"/>
  <c r="OO153" i="3"/>
  <c r="OS153" i="3"/>
  <c r="OW153" i="3"/>
  <c r="PE153" i="3"/>
  <c r="OG155" i="3"/>
  <c r="OW155" i="3"/>
  <c r="OO149" i="3" l="1"/>
  <c r="NU149" i="3"/>
  <c r="OG149" i="3"/>
  <c r="PE149" i="3"/>
  <c r="NV150" i="3"/>
  <c r="NW150" i="3"/>
  <c r="NY149" i="3"/>
  <c r="NV149" i="3"/>
  <c r="PA149" i="3"/>
  <c r="OL150" i="3"/>
  <c r="OC149" i="3"/>
  <c r="OA149" i="3"/>
  <c r="OW149" i="3"/>
  <c r="OD150" i="3"/>
  <c r="OP149" i="3"/>
  <c r="NW149" i="3"/>
  <c r="NZ150" i="3"/>
  <c r="OS149" i="3"/>
  <c r="OK149" i="3"/>
  <c r="PC149" i="3"/>
  <c r="OM149" i="3"/>
  <c r="OU150" i="3"/>
  <c r="OH149" i="3"/>
  <c r="OY150" i="3"/>
  <c r="OT150" i="3"/>
  <c r="OU149" i="3"/>
  <c r="OD149" i="3"/>
  <c r="OP150" i="3"/>
  <c r="OI150" i="3"/>
  <c r="OE149" i="3"/>
  <c r="NZ149" i="3"/>
  <c r="OT149" i="3"/>
  <c r="OA150" i="3"/>
  <c r="OX149" i="3"/>
  <c r="OI149" i="3"/>
  <c r="OL149" i="3"/>
  <c r="OE150" i="3"/>
  <c r="OY149" i="3"/>
  <c r="PB149" i="3"/>
  <c r="OX150" i="3"/>
  <c r="OH150" i="3"/>
  <c r="OQ149" i="3" l="1"/>
  <c r="PD112" i="3"/>
  <c r="PB112" i="3" s="1"/>
  <c r="PC112" i="3"/>
  <c r="OZ112" i="3"/>
  <c r="OX112" i="3" s="1"/>
  <c r="OY112" i="3"/>
  <c r="OV112" i="3"/>
  <c r="OT112" i="3" s="1"/>
  <c r="OU112" i="3"/>
  <c r="OR112" i="3"/>
  <c r="OP112" i="3" s="1"/>
  <c r="OQ112" i="3"/>
  <c r="ON112" i="3"/>
  <c r="OL112" i="3" s="1"/>
  <c r="OM112" i="3"/>
  <c r="OJ112" i="3"/>
  <c r="OH112" i="3" s="1"/>
  <c r="OI112" i="3"/>
  <c r="OF112" i="3"/>
  <c r="OD112" i="3" s="1"/>
  <c r="OE112" i="3"/>
  <c r="OB112" i="3"/>
  <c r="NZ112" i="3" s="1"/>
  <c r="OA112" i="3"/>
  <c r="NX112" i="3"/>
  <c r="NW112" i="3"/>
  <c r="NT112" i="3"/>
  <c r="PD111" i="3"/>
  <c r="PC111" i="3"/>
  <c r="OZ111" i="3"/>
  <c r="OX111" i="3" s="1"/>
  <c r="OY111" i="3"/>
  <c r="OV111" i="3"/>
  <c r="OT111" i="3" s="1"/>
  <c r="OU111" i="3"/>
  <c r="OR111" i="3"/>
  <c r="OQ111" i="3"/>
  <c r="ON111" i="3"/>
  <c r="OM111" i="3"/>
  <c r="OJ111" i="3"/>
  <c r="OH111" i="3" s="1"/>
  <c r="OI111" i="3"/>
  <c r="OF111" i="3"/>
  <c r="OD111" i="3" s="1"/>
  <c r="OE111" i="3"/>
  <c r="OB111" i="3"/>
  <c r="OA111" i="3"/>
  <c r="NX111" i="3"/>
  <c r="NV111" i="3" s="1"/>
  <c r="NW111" i="3"/>
  <c r="NT111" i="3"/>
  <c r="PD110" i="3"/>
  <c r="PB110" i="3" s="1"/>
  <c r="PC110" i="3"/>
  <c r="OZ110" i="3"/>
  <c r="OX110" i="3" s="1"/>
  <c r="OY110" i="3"/>
  <c r="OV110" i="3"/>
  <c r="OT110" i="3" s="1"/>
  <c r="OU110" i="3"/>
  <c r="OR110" i="3"/>
  <c r="OP110" i="3" s="1"/>
  <c r="OQ110" i="3"/>
  <c r="ON110" i="3"/>
  <c r="OL110" i="3" s="1"/>
  <c r="OM110" i="3"/>
  <c r="OJ110" i="3"/>
  <c r="OH110" i="3" s="1"/>
  <c r="OI110" i="3"/>
  <c r="OF110" i="3"/>
  <c r="OD110" i="3" s="1"/>
  <c r="OE110" i="3"/>
  <c r="OB110" i="3"/>
  <c r="NZ110" i="3" s="1"/>
  <c r="OA110" i="3"/>
  <c r="NX110" i="3"/>
  <c r="NW110" i="3"/>
  <c r="NT110" i="3"/>
  <c r="PD109" i="3"/>
  <c r="PB109" i="3" s="1"/>
  <c r="PC109" i="3"/>
  <c r="OZ109" i="3"/>
  <c r="OX109" i="3" s="1"/>
  <c r="OY109" i="3"/>
  <c r="OV109" i="3"/>
  <c r="OT109" i="3" s="1"/>
  <c r="OU109" i="3"/>
  <c r="OR109" i="3"/>
  <c r="OP109" i="3" s="1"/>
  <c r="OQ109" i="3"/>
  <c r="ON109" i="3"/>
  <c r="OL109" i="3" s="1"/>
  <c r="OM109" i="3"/>
  <c r="OJ109" i="3"/>
  <c r="OH109" i="3" s="1"/>
  <c r="OI109" i="3"/>
  <c r="OF109" i="3"/>
  <c r="OD109" i="3" s="1"/>
  <c r="OE109" i="3"/>
  <c r="OB109" i="3"/>
  <c r="NZ109" i="3" s="1"/>
  <c r="OA109" i="3"/>
  <c r="NX109" i="3"/>
  <c r="NV109" i="3" s="1"/>
  <c r="NW109" i="3"/>
  <c r="NT109" i="3"/>
  <c r="PD108" i="3"/>
  <c r="PB108" i="3" s="1"/>
  <c r="PC108" i="3"/>
  <c r="OZ108" i="3"/>
  <c r="OX108" i="3" s="1"/>
  <c r="OY108" i="3"/>
  <c r="OV108" i="3"/>
  <c r="OT108" i="3" s="1"/>
  <c r="OU108" i="3"/>
  <c r="OR108" i="3"/>
  <c r="OP108" i="3" s="1"/>
  <c r="OQ108" i="3"/>
  <c r="ON108" i="3"/>
  <c r="OL108" i="3" s="1"/>
  <c r="OM108" i="3"/>
  <c r="OJ108" i="3"/>
  <c r="OH108" i="3" s="1"/>
  <c r="OI108" i="3"/>
  <c r="OF108" i="3"/>
  <c r="OD108" i="3" s="1"/>
  <c r="OE108" i="3"/>
  <c r="OB108" i="3"/>
  <c r="NZ108" i="3" s="1"/>
  <c r="OA108" i="3"/>
  <c r="NX108" i="3"/>
  <c r="NW108" i="3"/>
  <c r="NT108" i="3"/>
  <c r="PD107" i="3"/>
  <c r="PB107" i="3" s="1"/>
  <c r="PC107" i="3"/>
  <c r="OZ107" i="3"/>
  <c r="OX107" i="3" s="1"/>
  <c r="OY107" i="3"/>
  <c r="OV107" i="3"/>
  <c r="OT107" i="3" s="1"/>
  <c r="OU107" i="3"/>
  <c r="OR107" i="3"/>
  <c r="OP107" i="3" s="1"/>
  <c r="OQ107" i="3"/>
  <c r="ON107" i="3"/>
  <c r="OL107" i="3" s="1"/>
  <c r="OM107" i="3"/>
  <c r="OJ107" i="3"/>
  <c r="OH107" i="3" s="1"/>
  <c r="OI107" i="3"/>
  <c r="OF107" i="3"/>
  <c r="OD107" i="3" s="1"/>
  <c r="OE107" i="3"/>
  <c r="OB107" i="3"/>
  <c r="NZ107" i="3" s="1"/>
  <c r="OA107" i="3"/>
  <c r="NX107" i="3"/>
  <c r="NV107" i="3" s="1"/>
  <c r="NW107" i="3"/>
  <c r="NT107" i="3"/>
  <c r="NV110" i="3" l="1"/>
  <c r="NY109" i="3"/>
  <c r="NV108" i="3"/>
  <c r="NY107" i="3"/>
  <c r="NV112" i="3"/>
  <c r="NY111" i="3"/>
  <c r="OO111" i="3"/>
  <c r="PE111" i="3"/>
  <c r="OC111" i="3"/>
  <c r="OS111" i="3"/>
  <c r="PB111" i="3"/>
  <c r="OG107" i="3"/>
  <c r="NU109" i="3"/>
  <c r="OK111" i="3"/>
  <c r="OL111" i="3"/>
  <c r="OC107" i="3"/>
  <c r="OK107" i="3"/>
  <c r="OO107" i="3"/>
  <c r="OS107" i="3"/>
  <c r="OW107" i="3"/>
  <c r="PA107" i="3"/>
  <c r="PE107" i="3"/>
  <c r="NU111" i="3"/>
  <c r="NZ111" i="3"/>
  <c r="OP111" i="3"/>
  <c r="NU107" i="3"/>
  <c r="PA111" i="3"/>
  <c r="OC109" i="3"/>
  <c r="OG109" i="3"/>
  <c r="OK109" i="3"/>
  <c r="OO109" i="3"/>
  <c r="OS109" i="3"/>
  <c r="OW109" i="3"/>
  <c r="PA109" i="3"/>
  <c r="PE109" i="3"/>
  <c r="OG111" i="3"/>
  <c r="OW111" i="3"/>
  <c r="PD164" i="3" l="1"/>
  <c r="PB164" i="3" s="1"/>
  <c r="PC164" i="3"/>
  <c r="OZ164" i="3"/>
  <c r="OX164" i="3" s="1"/>
  <c r="OY164" i="3"/>
  <c r="OV164" i="3"/>
  <c r="OU164" i="3"/>
  <c r="OR164" i="3"/>
  <c r="OQ164" i="3"/>
  <c r="ON164" i="3"/>
  <c r="OM164" i="3"/>
  <c r="OJ164" i="3"/>
  <c r="OI164" i="3"/>
  <c r="OF164" i="3"/>
  <c r="OE164" i="3"/>
  <c r="OB164" i="3"/>
  <c r="OA164" i="3"/>
  <c r="NX164" i="3"/>
  <c r="NW164" i="3"/>
  <c r="NT164" i="3"/>
  <c r="PD163" i="3"/>
  <c r="PB163" i="3" s="1"/>
  <c r="PC163" i="3"/>
  <c r="OZ163" i="3"/>
  <c r="OX163" i="3" s="1"/>
  <c r="OY163" i="3"/>
  <c r="OV163" i="3"/>
  <c r="OT163" i="3" s="1"/>
  <c r="OU163" i="3"/>
  <c r="OR163" i="3"/>
  <c r="OP163" i="3" s="1"/>
  <c r="OQ163" i="3"/>
  <c r="ON163" i="3"/>
  <c r="OL163" i="3" s="1"/>
  <c r="OM163" i="3"/>
  <c r="OJ163" i="3"/>
  <c r="OI163" i="3"/>
  <c r="OF163" i="3"/>
  <c r="OE163" i="3"/>
  <c r="OB163" i="3"/>
  <c r="NZ163" i="3" s="1"/>
  <c r="OA163" i="3"/>
  <c r="NX163" i="3"/>
  <c r="NV163" i="3" s="1"/>
  <c r="NW163" i="3"/>
  <c r="NT163" i="3"/>
  <c r="PD162" i="3"/>
  <c r="PB162" i="3" s="1"/>
  <c r="PC162" i="3"/>
  <c r="OZ162" i="3"/>
  <c r="OY162" i="3"/>
  <c r="OV162" i="3"/>
  <c r="OU162" i="3"/>
  <c r="OR162" i="3"/>
  <c r="OQ162" i="3"/>
  <c r="ON162" i="3"/>
  <c r="OM162" i="3"/>
  <c r="OJ162" i="3"/>
  <c r="OI162" i="3"/>
  <c r="OF162" i="3"/>
  <c r="OE162" i="3"/>
  <c r="OB162" i="3"/>
  <c r="OA162" i="3"/>
  <c r="NX162" i="3"/>
  <c r="NW162" i="3"/>
  <c r="NT162" i="3"/>
  <c r="PD161" i="3"/>
  <c r="PC161" i="3"/>
  <c r="OZ161" i="3"/>
  <c r="OX161" i="3" s="1"/>
  <c r="OY161" i="3"/>
  <c r="OV161" i="3"/>
  <c r="OT161" i="3" s="1"/>
  <c r="OU161" i="3"/>
  <c r="OR161" i="3"/>
  <c r="OQ161" i="3"/>
  <c r="ON161" i="3"/>
  <c r="OM161" i="3"/>
  <c r="OJ161" i="3"/>
  <c r="OH161" i="3" s="1"/>
  <c r="OI161" i="3"/>
  <c r="OF161" i="3"/>
  <c r="OD161" i="3" s="1"/>
  <c r="OE161" i="3"/>
  <c r="OB161" i="3"/>
  <c r="NZ161" i="3" s="1"/>
  <c r="OA161" i="3"/>
  <c r="NX161" i="3"/>
  <c r="NW161" i="3"/>
  <c r="NT161" i="3"/>
  <c r="PD160" i="3"/>
  <c r="PB160" i="3" s="1"/>
  <c r="PC160" i="3"/>
  <c r="OZ160" i="3"/>
  <c r="OX160" i="3" s="1"/>
  <c r="OY160" i="3"/>
  <c r="OV160" i="3"/>
  <c r="OU160" i="3"/>
  <c r="OR160" i="3"/>
  <c r="OQ160" i="3"/>
  <c r="ON160" i="3"/>
  <c r="OM160" i="3"/>
  <c r="OJ160" i="3"/>
  <c r="OI160" i="3"/>
  <c r="OF160" i="3"/>
  <c r="OE160" i="3"/>
  <c r="OB160" i="3"/>
  <c r="OA160" i="3"/>
  <c r="NX160" i="3"/>
  <c r="NW160" i="3"/>
  <c r="NT160" i="3"/>
  <c r="PD159" i="3"/>
  <c r="PC159" i="3"/>
  <c r="OZ159" i="3"/>
  <c r="OY159" i="3"/>
  <c r="OV159" i="3"/>
  <c r="OU159" i="3"/>
  <c r="OR159" i="3"/>
  <c r="OP159" i="3" s="1"/>
  <c r="OQ159" i="3"/>
  <c r="ON159" i="3"/>
  <c r="OM159" i="3"/>
  <c r="OJ159" i="3"/>
  <c r="OI159" i="3"/>
  <c r="OF159" i="3"/>
  <c r="OE159" i="3"/>
  <c r="OB159" i="3"/>
  <c r="NZ159" i="3" s="1"/>
  <c r="OA159" i="3"/>
  <c r="NX159" i="3"/>
  <c r="NV159" i="3" s="1"/>
  <c r="NW159" i="3"/>
  <c r="NT159" i="3"/>
  <c r="NY161" i="3" l="1"/>
  <c r="NY159" i="3"/>
  <c r="NY163" i="3"/>
  <c r="PE159" i="3"/>
  <c r="PA159" i="3"/>
  <c r="NV162" i="3"/>
  <c r="OS161" i="3"/>
  <c r="OD162" i="3"/>
  <c r="OT162" i="3"/>
  <c r="OP162" i="3"/>
  <c r="NV160" i="3"/>
  <c r="OL160" i="3"/>
  <c r="PE161" i="3"/>
  <c r="NU163" i="3"/>
  <c r="OH164" i="3"/>
  <c r="OC159" i="3"/>
  <c r="OP160" i="3"/>
  <c r="OO161" i="3"/>
  <c r="OD164" i="3"/>
  <c r="NZ162" i="3"/>
  <c r="OP161" i="3"/>
  <c r="NU161" i="3"/>
  <c r="PA161" i="3"/>
  <c r="NU159" i="3"/>
  <c r="OK159" i="3"/>
  <c r="NV161" i="3"/>
  <c r="OL161" i="3"/>
  <c r="PB161" i="3"/>
  <c r="NV164" i="3"/>
  <c r="OL164" i="3"/>
  <c r="OC161" i="3"/>
  <c r="OK161" i="3"/>
  <c r="OG159" i="3"/>
  <c r="OO159" i="3"/>
  <c r="OT160" i="3"/>
  <c r="OL162" i="3"/>
  <c r="NZ164" i="3"/>
  <c r="OP164" i="3"/>
  <c r="OH160" i="3"/>
  <c r="OD160" i="3"/>
  <c r="OC163" i="3"/>
  <c r="OK163" i="3"/>
  <c r="OO163" i="3"/>
  <c r="OS163" i="3"/>
  <c r="OW163" i="3"/>
  <c r="PA163" i="3"/>
  <c r="PE163" i="3"/>
  <c r="OT164" i="3"/>
  <c r="OD159" i="3"/>
  <c r="OH159" i="3"/>
  <c r="OL159" i="3"/>
  <c r="OT159" i="3"/>
  <c r="OX159" i="3"/>
  <c r="PB159" i="3"/>
  <c r="NZ160" i="3"/>
  <c r="OH162" i="3"/>
  <c r="OX162" i="3"/>
  <c r="OD163" i="3"/>
  <c r="OH163" i="3"/>
  <c r="OS159" i="3"/>
  <c r="OW159" i="3"/>
  <c r="OG163" i="3"/>
  <c r="OG161" i="3"/>
  <c r="OW161" i="3"/>
  <c r="F173" i="3" l="1"/>
  <c r="F168" i="3"/>
  <c r="F167" i="3"/>
  <c r="F158" i="3"/>
  <c r="F157" i="3"/>
  <c r="F121" i="3"/>
  <c r="F99" i="3"/>
  <c r="F63" i="3"/>
  <c r="F11" i="3"/>
  <c r="F9" i="3" l="1"/>
  <c r="PD142" i="3"/>
  <c r="PB142" i="3" s="1"/>
  <c r="PC142" i="3"/>
  <c r="OZ142" i="3"/>
  <c r="OX142" i="3" s="1"/>
  <c r="OY142" i="3"/>
  <c r="OV142" i="3"/>
  <c r="OT142" i="3" s="1"/>
  <c r="OU142" i="3"/>
  <c r="OR142" i="3"/>
  <c r="OP142" i="3" s="1"/>
  <c r="OQ142" i="3"/>
  <c r="ON142" i="3"/>
  <c r="OL142" i="3" s="1"/>
  <c r="OM142" i="3"/>
  <c r="OJ142" i="3"/>
  <c r="OI142" i="3"/>
  <c r="OF142" i="3"/>
  <c r="OD142" i="3" s="1"/>
  <c r="OE142" i="3"/>
  <c r="OB142" i="3"/>
  <c r="NZ142" i="3" s="1"/>
  <c r="OA142" i="3"/>
  <c r="NX142" i="3"/>
  <c r="NW142" i="3"/>
  <c r="NT142" i="3"/>
  <c r="PD141" i="3"/>
  <c r="PB141" i="3" s="1"/>
  <c r="PC141" i="3"/>
  <c r="OZ141" i="3"/>
  <c r="OX141" i="3" s="1"/>
  <c r="OY141" i="3"/>
  <c r="OV141" i="3"/>
  <c r="OT141" i="3" s="1"/>
  <c r="OU141" i="3"/>
  <c r="OR141" i="3"/>
  <c r="OQ141" i="3"/>
  <c r="ON141" i="3"/>
  <c r="OM141" i="3"/>
  <c r="OJ141" i="3"/>
  <c r="OH141" i="3" s="1"/>
  <c r="OI141" i="3"/>
  <c r="OF141" i="3"/>
  <c r="OD141" i="3" s="1"/>
  <c r="OE141" i="3"/>
  <c r="OB141" i="3"/>
  <c r="NZ141" i="3" s="1"/>
  <c r="OA141" i="3"/>
  <c r="NX141" i="3"/>
  <c r="NV141" i="3" s="1"/>
  <c r="NW141" i="3"/>
  <c r="NT141" i="3"/>
  <c r="PD144" i="3"/>
  <c r="PB144" i="3" s="1"/>
  <c r="PC144" i="3"/>
  <c r="OZ144" i="3"/>
  <c r="OX144" i="3" s="1"/>
  <c r="OY144" i="3"/>
  <c r="OV144" i="3"/>
  <c r="OT144" i="3" s="1"/>
  <c r="OU144" i="3"/>
  <c r="OR144" i="3"/>
  <c r="OP144" i="3" s="1"/>
  <c r="OQ144" i="3"/>
  <c r="ON144" i="3"/>
  <c r="OL144" i="3" s="1"/>
  <c r="OM144" i="3"/>
  <c r="OJ144" i="3"/>
  <c r="OH144" i="3" s="1"/>
  <c r="OI144" i="3"/>
  <c r="OF144" i="3"/>
  <c r="OD144" i="3" s="1"/>
  <c r="OE144" i="3"/>
  <c r="OB144" i="3"/>
  <c r="NZ144" i="3" s="1"/>
  <c r="OA144" i="3"/>
  <c r="NX144" i="3"/>
  <c r="NW144" i="3"/>
  <c r="NT144" i="3"/>
  <c r="PD143" i="3"/>
  <c r="PC143" i="3"/>
  <c r="OZ143" i="3"/>
  <c r="OY143" i="3"/>
  <c r="OV143" i="3"/>
  <c r="OT143" i="3" s="1"/>
  <c r="OU143" i="3"/>
  <c r="OR143" i="3"/>
  <c r="OP143" i="3" s="1"/>
  <c r="OQ143" i="3"/>
  <c r="ON143" i="3"/>
  <c r="OL143" i="3" s="1"/>
  <c r="OM143" i="3"/>
  <c r="OJ143" i="3"/>
  <c r="OI143" i="3"/>
  <c r="OF143" i="3"/>
  <c r="OD143" i="3" s="1"/>
  <c r="OE143" i="3"/>
  <c r="OB143" i="3"/>
  <c r="OA143" i="3"/>
  <c r="NX143" i="3"/>
  <c r="NV143" i="3" s="1"/>
  <c r="NW143" i="3"/>
  <c r="NT143" i="3"/>
  <c r="PD148" i="3"/>
  <c r="PB148" i="3" s="1"/>
  <c r="PC148" i="3"/>
  <c r="OZ148" i="3"/>
  <c r="OY148" i="3"/>
  <c r="OV148" i="3"/>
  <c r="OT148" i="3" s="1"/>
  <c r="OU148" i="3"/>
  <c r="OR148" i="3"/>
  <c r="OP148" i="3" s="1"/>
  <c r="OQ148" i="3"/>
  <c r="ON148" i="3"/>
  <c r="OL148" i="3" s="1"/>
  <c r="OM148" i="3"/>
  <c r="OJ148" i="3"/>
  <c r="OI148" i="3"/>
  <c r="OF148" i="3"/>
  <c r="OD148" i="3" s="1"/>
  <c r="OE148" i="3"/>
  <c r="OB148" i="3"/>
  <c r="NZ148" i="3" s="1"/>
  <c r="OA148" i="3"/>
  <c r="NX148" i="3"/>
  <c r="NW148" i="3"/>
  <c r="NT148" i="3"/>
  <c r="PD147" i="3"/>
  <c r="PB147" i="3" s="1"/>
  <c r="PC147" i="3"/>
  <c r="OZ147" i="3"/>
  <c r="OX147" i="3" s="1"/>
  <c r="OY147" i="3"/>
  <c r="OV147" i="3"/>
  <c r="OU147" i="3"/>
  <c r="OR147" i="3"/>
  <c r="OP147" i="3" s="1"/>
  <c r="OQ147" i="3"/>
  <c r="ON147" i="3"/>
  <c r="OM147" i="3"/>
  <c r="OJ147" i="3"/>
  <c r="OH147" i="3" s="1"/>
  <c r="OI147" i="3"/>
  <c r="OF147" i="3"/>
  <c r="OE147" i="3"/>
  <c r="OB147" i="3"/>
  <c r="NZ147" i="3" s="1"/>
  <c r="OA147" i="3"/>
  <c r="NX147" i="3"/>
  <c r="NV147" i="3" s="1"/>
  <c r="NW147" i="3"/>
  <c r="NT147" i="3"/>
  <c r="PD146" i="3"/>
  <c r="PB146" i="3" s="1"/>
  <c r="PC146" i="3"/>
  <c r="OZ146" i="3"/>
  <c r="OX146" i="3" s="1"/>
  <c r="OY146" i="3"/>
  <c r="OV146" i="3"/>
  <c r="OT146" i="3" s="1"/>
  <c r="OU146" i="3"/>
  <c r="OR146" i="3"/>
  <c r="OP146" i="3" s="1"/>
  <c r="OQ146" i="3"/>
  <c r="ON146" i="3"/>
  <c r="OL146" i="3" s="1"/>
  <c r="OM146" i="3"/>
  <c r="OJ146" i="3"/>
  <c r="OH146" i="3" s="1"/>
  <c r="OI146" i="3"/>
  <c r="OF146" i="3"/>
  <c r="OD146" i="3" s="1"/>
  <c r="OE146" i="3"/>
  <c r="OB146" i="3"/>
  <c r="OA146" i="3"/>
  <c r="NX146" i="3"/>
  <c r="NW146" i="3"/>
  <c r="NT146" i="3"/>
  <c r="PD145" i="3"/>
  <c r="PB145" i="3" s="1"/>
  <c r="PC145" i="3"/>
  <c r="OZ145" i="3"/>
  <c r="OX145" i="3" s="1"/>
  <c r="OY145" i="3"/>
  <c r="OV145" i="3"/>
  <c r="OT145" i="3" s="1"/>
  <c r="OU145" i="3"/>
  <c r="OR145" i="3"/>
  <c r="OP145" i="3" s="1"/>
  <c r="OQ145" i="3"/>
  <c r="ON145" i="3"/>
  <c r="OL145" i="3" s="1"/>
  <c r="OM145" i="3"/>
  <c r="OJ145" i="3"/>
  <c r="OH145" i="3" s="1"/>
  <c r="OI145" i="3"/>
  <c r="OF145" i="3"/>
  <c r="OD145" i="3" s="1"/>
  <c r="OE145" i="3"/>
  <c r="OB145" i="3"/>
  <c r="NZ145" i="3" s="1"/>
  <c r="OA145" i="3"/>
  <c r="NX145" i="3"/>
  <c r="NV145" i="3" s="1"/>
  <c r="NW145" i="3"/>
  <c r="NT145" i="3"/>
  <c r="PD140" i="3"/>
  <c r="PB140" i="3" s="1"/>
  <c r="PC140" i="3"/>
  <c r="OZ140" i="3"/>
  <c r="OY140" i="3"/>
  <c r="OV140" i="3"/>
  <c r="OU140" i="3"/>
  <c r="OR140" i="3"/>
  <c r="OP140" i="3" s="1"/>
  <c r="OQ140" i="3"/>
  <c r="ON140" i="3"/>
  <c r="OM140" i="3"/>
  <c r="OJ140" i="3"/>
  <c r="OI140" i="3"/>
  <c r="OF140" i="3"/>
  <c r="OD140" i="3" s="1"/>
  <c r="OE140" i="3"/>
  <c r="OB140" i="3"/>
  <c r="OA140" i="3"/>
  <c r="NX140" i="3"/>
  <c r="NW140" i="3"/>
  <c r="NT140" i="3"/>
  <c r="PD139" i="3"/>
  <c r="PB139" i="3" s="1"/>
  <c r="PC139" i="3"/>
  <c r="OZ139" i="3"/>
  <c r="OX139" i="3" s="1"/>
  <c r="OY139" i="3"/>
  <c r="OV139" i="3"/>
  <c r="OT139" i="3" s="1"/>
  <c r="OU139" i="3"/>
  <c r="OR139" i="3"/>
  <c r="OP139" i="3" s="1"/>
  <c r="OQ139" i="3"/>
  <c r="ON139" i="3"/>
  <c r="OL139" i="3" s="1"/>
  <c r="OM139" i="3"/>
  <c r="OJ139" i="3"/>
  <c r="OH139" i="3" s="1"/>
  <c r="OI139" i="3"/>
  <c r="OF139" i="3"/>
  <c r="OE139" i="3"/>
  <c r="OB139" i="3"/>
  <c r="NZ139" i="3" s="1"/>
  <c r="OA139" i="3"/>
  <c r="NX139" i="3"/>
  <c r="NV139" i="3" s="1"/>
  <c r="NW139" i="3"/>
  <c r="NT139" i="3"/>
  <c r="PD138" i="3"/>
  <c r="PB138" i="3" s="1"/>
  <c r="PC138" i="3"/>
  <c r="OZ138" i="3"/>
  <c r="OY138" i="3"/>
  <c r="OV138" i="3"/>
  <c r="OU138" i="3"/>
  <c r="OR138" i="3"/>
  <c r="OP138" i="3" s="1"/>
  <c r="OQ138" i="3"/>
  <c r="ON138" i="3"/>
  <c r="OL138" i="3" s="1"/>
  <c r="OM138" i="3"/>
  <c r="OJ138" i="3"/>
  <c r="OI138" i="3"/>
  <c r="OF138" i="3"/>
  <c r="OD138" i="3" s="1"/>
  <c r="OE138" i="3"/>
  <c r="OB138" i="3"/>
  <c r="NZ138" i="3" s="1"/>
  <c r="OA138" i="3"/>
  <c r="NX138" i="3"/>
  <c r="NW138" i="3"/>
  <c r="NT138" i="3"/>
  <c r="PD137" i="3"/>
  <c r="PC137" i="3"/>
  <c r="OZ137" i="3"/>
  <c r="OX137" i="3" s="1"/>
  <c r="OY137" i="3"/>
  <c r="OV137" i="3"/>
  <c r="OT137" i="3" s="1"/>
  <c r="OU137" i="3"/>
  <c r="OR137" i="3"/>
  <c r="OP137" i="3" s="1"/>
  <c r="OQ137" i="3"/>
  <c r="ON137" i="3"/>
  <c r="OM137" i="3"/>
  <c r="OJ137" i="3"/>
  <c r="OH137" i="3" s="1"/>
  <c r="OI137" i="3"/>
  <c r="OF137" i="3"/>
  <c r="OD137" i="3" s="1"/>
  <c r="OE137" i="3"/>
  <c r="OB137" i="3"/>
  <c r="NZ137" i="3" s="1"/>
  <c r="OA137" i="3"/>
  <c r="NX137" i="3"/>
  <c r="NV137" i="3" s="1"/>
  <c r="NW137" i="3"/>
  <c r="NT137" i="3"/>
  <c r="PD136" i="3"/>
  <c r="PB136" i="3" s="1"/>
  <c r="PC136" i="3"/>
  <c r="OZ136" i="3"/>
  <c r="OX136" i="3" s="1"/>
  <c r="OY136" i="3"/>
  <c r="OV136" i="3"/>
  <c r="OU136" i="3"/>
  <c r="OR136" i="3"/>
  <c r="OP136" i="3" s="1"/>
  <c r="OQ136" i="3"/>
  <c r="ON136" i="3"/>
  <c r="OL136" i="3" s="1"/>
  <c r="OM136" i="3"/>
  <c r="OJ136" i="3"/>
  <c r="OI136" i="3"/>
  <c r="OF136" i="3"/>
  <c r="OD136" i="3" s="1"/>
  <c r="OE136" i="3"/>
  <c r="OB136" i="3"/>
  <c r="NZ136" i="3" s="1"/>
  <c r="OA136" i="3"/>
  <c r="NX136" i="3"/>
  <c r="NW136" i="3"/>
  <c r="NT136" i="3"/>
  <c r="PD135" i="3"/>
  <c r="PB135" i="3" s="1"/>
  <c r="PC135" i="3"/>
  <c r="OZ135" i="3"/>
  <c r="OX135" i="3" s="1"/>
  <c r="OY135" i="3"/>
  <c r="OV135" i="3"/>
  <c r="OT135" i="3" s="1"/>
  <c r="OU135" i="3"/>
  <c r="OR135" i="3"/>
  <c r="OP135" i="3" s="1"/>
  <c r="OQ135" i="3"/>
  <c r="ON135" i="3"/>
  <c r="OL135" i="3" s="1"/>
  <c r="OM135" i="3"/>
  <c r="OJ135" i="3"/>
  <c r="OI135" i="3"/>
  <c r="OF135" i="3"/>
  <c r="OD135" i="3" s="1"/>
  <c r="OE135" i="3"/>
  <c r="OB135" i="3"/>
  <c r="NZ135" i="3" s="1"/>
  <c r="OA135" i="3"/>
  <c r="NX135" i="3"/>
  <c r="NV135" i="3" s="1"/>
  <c r="NW135" i="3"/>
  <c r="NT135" i="3"/>
  <c r="PD126" i="3"/>
  <c r="PB126" i="3" s="1"/>
  <c r="PC126" i="3"/>
  <c r="OZ126" i="3"/>
  <c r="OY126" i="3"/>
  <c r="OV126" i="3"/>
  <c r="OU126" i="3"/>
  <c r="OR126" i="3"/>
  <c r="OQ126" i="3"/>
  <c r="ON126" i="3"/>
  <c r="OL126" i="3" s="1"/>
  <c r="OM126" i="3"/>
  <c r="OJ126" i="3"/>
  <c r="OH126" i="3" s="1"/>
  <c r="OI126" i="3"/>
  <c r="OF126" i="3"/>
  <c r="OD126" i="3" s="1"/>
  <c r="OE126" i="3"/>
  <c r="OB126" i="3"/>
  <c r="OA126" i="3"/>
  <c r="NX126" i="3"/>
  <c r="NW126" i="3"/>
  <c r="NT126" i="3"/>
  <c r="PD125" i="3"/>
  <c r="PB125" i="3" s="1"/>
  <c r="PC125" i="3"/>
  <c r="OZ125" i="3"/>
  <c r="OY125" i="3"/>
  <c r="OV125" i="3"/>
  <c r="OT125" i="3" s="1"/>
  <c r="OU125" i="3"/>
  <c r="OR125" i="3"/>
  <c r="OP125" i="3" s="1"/>
  <c r="OQ125" i="3"/>
  <c r="ON125" i="3"/>
  <c r="OL125" i="3" s="1"/>
  <c r="OM125" i="3"/>
  <c r="OJ125" i="3"/>
  <c r="OH125" i="3" s="1"/>
  <c r="OI125" i="3"/>
  <c r="OF125" i="3"/>
  <c r="OD125" i="3" s="1"/>
  <c r="OE125" i="3"/>
  <c r="OB125" i="3"/>
  <c r="NZ125" i="3" s="1"/>
  <c r="OA125" i="3"/>
  <c r="NX125" i="3"/>
  <c r="NV125" i="3" s="1"/>
  <c r="NW125" i="3"/>
  <c r="NT125" i="3"/>
  <c r="PD134" i="3"/>
  <c r="PB134" i="3" s="1"/>
  <c r="PC134" i="3"/>
  <c r="OZ134" i="3"/>
  <c r="OY134" i="3"/>
  <c r="OV134" i="3"/>
  <c r="OU134" i="3"/>
  <c r="OR134" i="3"/>
  <c r="OP134" i="3" s="1"/>
  <c r="OQ134" i="3"/>
  <c r="ON134" i="3"/>
  <c r="OL134" i="3" s="1"/>
  <c r="OM134" i="3"/>
  <c r="OJ134" i="3"/>
  <c r="OI134" i="3"/>
  <c r="OF134" i="3"/>
  <c r="OD134" i="3" s="1"/>
  <c r="OE134" i="3"/>
  <c r="OB134" i="3"/>
  <c r="NZ134" i="3" s="1"/>
  <c r="OA134" i="3"/>
  <c r="NX134" i="3"/>
  <c r="NW134" i="3"/>
  <c r="NT134" i="3"/>
  <c r="PD133" i="3"/>
  <c r="PC133" i="3"/>
  <c r="OZ133" i="3"/>
  <c r="OX133" i="3" s="1"/>
  <c r="OY133" i="3"/>
  <c r="OV133" i="3"/>
  <c r="OT133" i="3" s="1"/>
  <c r="OU133" i="3"/>
  <c r="OR133" i="3"/>
  <c r="OP133" i="3" s="1"/>
  <c r="OQ133" i="3"/>
  <c r="ON133" i="3"/>
  <c r="OL133" i="3" s="1"/>
  <c r="OM133" i="3"/>
  <c r="OJ133" i="3"/>
  <c r="OH133" i="3" s="1"/>
  <c r="OI133" i="3"/>
  <c r="OF133" i="3"/>
  <c r="OD133" i="3" s="1"/>
  <c r="OE133" i="3"/>
  <c r="OB133" i="3"/>
  <c r="NZ133" i="3" s="1"/>
  <c r="OA133" i="3"/>
  <c r="NX133" i="3"/>
  <c r="NV133" i="3" s="1"/>
  <c r="NW133" i="3"/>
  <c r="NT133" i="3"/>
  <c r="PD124" i="3"/>
  <c r="PB124" i="3" s="1"/>
  <c r="PC124" i="3"/>
  <c r="OZ124" i="3"/>
  <c r="OY124" i="3"/>
  <c r="OV124" i="3"/>
  <c r="OU124" i="3"/>
  <c r="OR124" i="3"/>
  <c r="OP124" i="3" s="1"/>
  <c r="OQ124" i="3"/>
  <c r="ON124" i="3"/>
  <c r="OL124" i="3" s="1"/>
  <c r="OM124" i="3"/>
  <c r="OJ124" i="3"/>
  <c r="OI124" i="3"/>
  <c r="OF124" i="3"/>
  <c r="OD124" i="3" s="1"/>
  <c r="OE124" i="3"/>
  <c r="OB124" i="3"/>
  <c r="NZ124" i="3" s="1"/>
  <c r="OA124" i="3"/>
  <c r="NX124" i="3"/>
  <c r="NW124" i="3"/>
  <c r="NT124" i="3"/>
  <c r="PD123" i="3"/>
  <c r="PB123" i="3" s="1"/>
  <c r="PC123" i="3"/>
  <c r="OZ123" i="3"/>
  <c r="OX123" i="3" s="1"/>
  <c r="OY123" i="3"/>
  <c r="OV123" i="3"/>
  <c r="OT123" i="3" s="1"/>
  <c r="OU123" i="3"/>
  <c r="OR123" i="3"/>
  <c r="OP123" i="3" s="1"/>
  <c r="OQ123" i="3"/>
  <c r="ON123" i="3"/>
  <c r="OL123" i="3" s="1"/>
  <c r="OM123" i="3"/>
  <c r="OJ123" i="3"/>
  <c r="OH123" i="3" s="1"/>
  <c r="OI123" i="3"/>
  <c r="OF123" i="3"/>
  <c r="OD123" i="3" s="1"/>
  <c r="OE123" i="3"/>
  <c r="OB123" i="3"/>
  <c r="NZ123" i="3" s="1"/>
  <c r="OA123" i="3"/>
  <c r="NX123" i="3"/>
  <c r="NV123" i="3" s="1"/>
  <c r="NW123" i="3"/>
  <c r="NT123" i="3"/>
  <c r="NS122" i="3"/>
  <c r="NR122" i="3"/>
  <c r="NQ122" i="3"/>
  <c r="NP122" i="3"/>
  <c r="NO122" i="3"/>
  <c r="NN122" i="3"/>
  <c r="NM122" i="3"/>
  <c r="NL122" i="3"/>
  <c r="NK122" i="3"/>
  <c r="NJ122" i="3"/>
  <c r="NI122" i="3"/>
  <c r="NH122" i="3"/>
  <c r="NG122" i="3"/>
  <c r="NF122" i="3"/>
  <c r="NE122" i="3"/>
  <c r="ND122" i="3"/>
  <c r="NC122" i="3"/>
  <c r="NB122" i="3"/>
  <c r="NA122" i="3"/>
  <c r="MZ122" i="3"/>
  <c r="MY122" i="3"/>
  <c r="MX122" i="3"/>
  <c r="MW122" i="3"/>
  <c r="MV122" i="3"/>
  <c r="MU122" i="3"/>
  <c r="MT122" i="3"/>
  <c r="MS122" i="3"/>
  <c r="MR122" i="3"/>
  <c r="MQ122" i="3"/>
  <c r="MP122" i="3"/>
  <c r="MO122" i="3"/>
  <c r="MN122" i="3"/>
  <c r="MM122" i="3"/>
  <c r="ML122" i="3"/>
  <c r="MK122" i="3"/>
  <c r="MJ122" i="3"/>
  <c r="MI122" i="3"/>
  <c r="MH122" i="3"/>
  <c r="MG122" i="3"/>
  <c r="MF122" i="3"/>
  <c r="ME122" i="3"/>
  <c r="MD122" i="3"/>
  <c r="MC122" i="3"/>
  <c r="MB122" i="3"/>
  <c r="MA122" i="3"/>
  <c r="LZ122" i="3"/>
  <c r="LY122" i="3"/>
  <c r="LX122" i="3"/>
  <c r="LW122" i="3"/>
  <c r="LV122" i="3"/>
  <c r="LU122" i="3"/>
  <c r="LT122" i="3"/>
  <c r="LS122" i="3"/>
  <c r="LR122" i="3"/>
  <c r="LQ122" i="3"/>
  <c r="LP122" i="3"/>
  <c r="LO122" i="3"/>
  <c r="LN122" i="3"/>
  <c r="LM122" i="3"/>
  <c r="LL122" i="3"/>
  <c r="LK122" i="3"/>
  <c r="LJ122" i="3"/>
  <c r="LI122" i="3"/>
  <c r="LH122" i="3"/>
  <c r="LG122" i="3"/>
  <c r="LF122" i="3"/>
  <c r="LE122" i="3"/>
  <c r="LD122" i="3"/>
  <c r="LC122" i="3"/>
  <c r="LB122" i="3"/>
  <c r="LA122" i="3"/>
  <c r="KZ122" i="3"/>
  <c r="KY122" i="3"/>
  <c r="KX122" i="3"/>
  <c r="KW122" i="3"/>
  <c r="KV122" i="3"/>
  <c r="KU122" i="3"/>
  <c r="KT122" i="3"/>
  <c r="KS122" i="3"/>
  <c r="KR122" i="3"/>
  <c r="KQ122" i="3"/>
  <c r="KP122" i="3"/>
  <c r="KO122" i="3"/>
  <c r="KN122" i="3"/>
  <c r="KM122" i="3"/>
  <c r="KL122" i="3"/>
  <c r="KK122" i="3"/>
  <c r="KJ122" i="3"/>
  <c r="KI122" i="3"/>
  <c r="KH122" i="3"/>
  <c r="KG122" i="3"/>
  <c r="KF122" i="3"/>
  <c r="KE122" i="3"/>
  <c r="KD122" i="3"/>
  <c r="KC122" i="3"/>
  <c r="KB122" i="3"/>
  <c r="KA122" i="3"/>
  <c r="JZ122" i="3"/>
  <c r="JY122" i="3"/>
  <c r="JX122" i="3"/>
  <c r="JW122" i="3"/>
  <c r="JV122" i="3"/>
  <c r="JU122" i="3"/>
  <c r="JT122" i="3"/>
  <c r="JS122" i="3"/>
  <c r="JR122" i="3"/>
  <c r="JQ122" i="3"/>
  <c r="JP122" i="3"/>
  <c r="JO122" i="3"/>
  <c r="JN122" i="3"/>
  <c r="JM122" i="3"/>
  <c r="JL122" i="3"/>
  <c r="JK122" i="3"/>
  <c r="JJ122" i="3"/>
  <c r="JI122" i="3"/>
  <c r="JH122" i="3"/>
  <c r="JG122" i="3"/>
  <c r="JF122" i="3"/>
  <c r="JE122" i="3"/>
  <c r="JD122" i="3"/>
  <c r="JC122" i="3"/>
  <c r="JB122" i="3"/>
  <c r="JA122" i="3"/>
  <c r="IZ122" i="3"/>
  <c r="IY122" i="3"/>
  <c r="IX122" i="3"/>
  <c r="IW122" i="3"/>
  <c r="IV122" i="3"/>
  <c r="IU122" i="3"/>
  <c r="IT122" i="3"/>
  <c r="IS122" i="3"/>
  <c r="IR122" i="3"/>
  <c r="IQ122" i="3"/>
  <c r="IP122" i="3"/>
  <c r="IO122" i="3"/>
  <c r="IN122" i="3"/>
  <c r="IM122" i="3"/>
  <c r="IL122" i="3"/>
  <c r="IK122" i="3"/>
  <c r="IJ122" i="3"/>
  <c r="II122" i="3"/>
  <c r="IH122" i="3"/>
  <c r="IG122" i="3"/>
  <c r="IF122" i="3"/>
  <c r="IE122" i="3"/>
  <c r="ID122" i="3"/>
  <c r="IC122" i="3"/>
  <c r="IB122" i="3"/>
  <c r="IA122" i="3"/>
  <c r="HZ122" i="3"/>
  <c r="HY122" i="3"/>
  <c r="HX122" i="3"/>
  <c r="HW122" i="3"/>
  <c r="HV122" i="3"/>
  <c r="HU122" i="3"/>
  <c r="HT122" i="3"/>
  <c r="HS122" i="3"/>
  <c r="HR122" i="3"/>
  <c r="HQ122" i="3"/>
  <c r="HP122" i="3"/>
  <c r="HO122" i="3"/>
  <c r="HN122" i="3"/>
  <c r="HM122" i="3"/>
  <c r="HL122" i="3"/>
  <c r="HK122" i="3"/>
  <c r="HJ122" i="3"/>
  <c r="HI122" i="3"/>
  <c r="HH122" i="3"/>
  <c r="HG122" i="3"/>
  <c r="HF122" i="3"/>
  <c r="HE122" i="3"/>
  <c r="HD122" i="3"/>
  <c r="HC122" i="3"/>
  <c r="HB122" i="3"/>
  <c r="HA122" i="3"/>
  <c r="GZ122" i="3"/>
  <c r="GY122" i="3"/>
  <c r="GX122" i="3"/>
  <c r="GW122" i="3"/>
  <c r="GV122" i="3"/>
  <c r="GU122" i="3"/>
  <c r="GT122" i="3"/>
  <c r="GS122" i="3"/>
  <c r="GR122" i="3"/>
  <c r="GQ122" i="3"/>
  <c r="GP122" i="3"/>
  <c r="GO122" i="3"/>
  <c r="GN122" i="3"/>
  <c r="GM122" i="3"/>
  <c r="GL122" i="3"/>
  <c r="GK122" i="3"/>
  <c r="GJ122" i="3"/>
  <c r="GI122" i="3"/>
  <c r="GH122" i="3"/>
  <c r="GG122" i="3"/>
  <c r="GF122" i="3"/>
  <c r="GE122" i="3"/>
  <c r="GD122" i="3"/>
  <c r="GC122" i="3"/>
  <c r="GB122" i="3"/>
  <c r="GA122" i="3"/>
  <c r="FZ122" i="3"/>
  <c r="FY122" i="3"/>
  <c r="FX122" i="3"/>
  <c r="FW122" i="3"/>
  <c r="FV122" i="3"/>
  <c r="FU122" i="3"/>
  <c r="FT122" i="3"/>
  <c r="FS122" i="3"/>
  <c r="FR122" i="3"/>
  <c r="FQ122" i="3"/>
  <c r="FP122" i="3"/>
  <c r="FO122" i="3"/>
  <c r="FN122" i="3"/>
  <c r="FM122" i="3"/>
  <c r="FL122" i="3"/>
  <c r="FK122" i="3"/>
  <c r="FJ122" i="3"/>
  <c r="FI122" i="3"/>
  <c r="FH122" i="3"/>
  <c r="FG122" i="3"/>
  <c r="FF122" i="3"/>
  <c r="FE122" i="3"/>
  <c r="FD122" i="3"/>
  <c r="FC122" i="3"/>
  <c r="FB122" i="3"/>
  <c r="FA122" i="3"/>
  <c r="EZ122" i="3"/>
  <c r="EY122" i="3"/>
  <c r="EX122" i="3"/>
  <c r="EW122" i="3"/>
  <c r="EV122" i="3"/>
  <c r="EU122" i="3"/>
  <c r="ET122" i="3"/>
  <c r="ES122" i="3"/>
  <c r="ER122" i="3"/>
  <c r="EQ122" i="3"/>
  <c r="EP122" i="3"/>
  <c r="EO122" i="3"/>
  <c r="EN122" i="3"/>
  <c r="EM122" i="3"/>
  <c r="EL122" i="3"/>
  <c r="EK122" i="3"/>
  <c r="EJ122" i="3"/>
  <c r="EI122" i="3"/>
  <c r="EH122" i="3"/>
  <c r="EG122" i="3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NS121" i="3"/>
  <c r="NR121" i="3"/>
  <c r="NQ121" i="3"/>
  <c r="NP121" i="3"/>
  <c r="NO121" i="3"/>
  <c r="NN121" i="3"/>
  <c r="NM121" i="3"/>
  <c r="NL121" i="3"/>
  <c r="NK121" i="3"/>
  <c r="NJ121" i="3"/>
  <c r="NI121" i="3"/>
  <c r="NH121" i="3"/>
  <c r="NG121" i="3"/>
  <c r="NF121" i="3"/>
  <c r="NE121" i="3"/>
  <c r="ND121" i="3"/>
  <c r="NC121" i="3"/>
  <c r="NB121" i="3"/>
  <c r="NA121" i="3"/>
  <c r="MZ121" i="3"/>
  <c r="MY121" i="3"/>
  <c r="MX121" i="3"/>
  <c r="MW121" i="3"/>
  <c r="MV121" i="3"/>
  <c r="MU121" i="3"/>
  <c r="MT121" i="3"/>
  <c r="MS121" i="3"/>
  <c r="MR121" i="3"/>
  <c r="MQ121" i="3"/>
  <c r="MP121" i="3"/>
  <c r="MO121" i="3"/>
  <c r="MN121" i="3"/>
  <c r="MM121" i="3"/>
  <c r="ML121" i="3"/>
  <c r="MK121" i="3"/>
  <c r="MJ121" i="3"/>
  <c r="MI121" i="3"/>
  <c r="MH121" i="3"/>
  <c r="MG121" i="3"/>
  <c r="MF121" i="3"/>
  <c r="ME121" i="3"/>
  <c r="MD121" i="3"/>
  <c r="MC121" i="3"/>
  <c r="MB121" i="3"/>
  <c r="MA121" i="3"/>
  <c r="LZ121" i="3"/>
  <c r="LY121" i="3"/>
  <c r="LX121" i="3"/>
  <c r="LW121" i="3"/>
  <c r="LV121" i="3"/>
  <c r="LU121" i="3"/>
  <c r="LT121" i="3"/>
  <c r="LS121" i="3"/>
  <c r="LR121" i="3"/>
  <c r="LQ121" i="3"/>
  <c r="LP121" i="3"/>
  <c r="LO121" i="3"/>
  <c r="LN121" i="3"/>
  <c r="LM121" i="3"/>
  <c r="LL121" i="3"/>
  <c r="LK121" i="3"/>
  <c r="LJ121" i="3"/>
  <c r="LI121" i="3"/>
  <c r="LH121" i="3"/>
  <c r="LG121" i="3"/>
  <c r="LF121" i="3"/>
  <c r="LE121" i="3"/>
  <c r="LD121" i="3"/>
  <c r="LC121" i="3"/>
  <c r="LB121" i="3"/>
  <c r="LA121" i="3"/>
  <c r="KZ121" i="3"/>
  <c r="KY121" i="3"/>
  <c r="KX121" i="3"/>
  <c r="KW121" i="3"/>
  <c r="KV121" i="3"/>
  <c r="KU121" i="3"/>
  <c r="KT121" i="3"/>
  <c r="KS121" i="3"/>
  <c r="KR121" i="3"/>
  <c r="KQ121" i="3"/>
  <c r="KP121" i="3"/>
  <c r="KO121" i="3"/>
  <c r="KN121" i="3"/>
  <c r="KM121" i="3"/>
  <c r="KL121" i="3"/>
  <c r="KK121" i="3"/>
  <c r="KJ121" i="3"/>
  <c r="KI121" i="3"/>
  <c r="KH121" i="3"/>
  <c r="KG121" i="3"/>
  <c r="KF121" i="3"/>
  <c r="KE121" i="3"/>
  <c r="KD121" i="3"/>
  <c r="KC121" i="3"/>
  <c r="KB121" i="3"/>
  <c r="KA121" i="3"/>
  <c r="JZ121" i="3"/>
  <c r="JY121" i="3"/>
  <c r="JX121" i="3"/>
  <c r="JW121" i="3"/>
  <c r="JV121" i="3"/>
  <c r="JU121" i="3"/>
  <c r="JT121" i="3"/>
  <c r="JS121" i="3"/>
  <c r="JR121" i="3"/>
  <c r="JQ121" i="3"/>
  <c r="JP121" i="3"/>
  <c r="JO121" i="3"/>
  <c r="JN121" i="3"/>
  <c r="JM121" i="3"/>
  <c r="JL121" i="3"/>
  <c r="JK121" i="3"/>
  <c r="JJ121" i="3"/>
  <c r="JI121" i="3"/>
  <c r="JH121" i="3"/>
  <c r="JG121" i="3"/>
  <c r="JF121" i="3"/>
  <c r="JE121" i="3"/>
  <c r="JD121" i="3"/>
  <c r="JC121" i="3"/>
  <c r="JB121" i="3"/>
  <c r="JA121" i="3"/>
  <c r="IZ121" i="3"/>
  <c r="IY121" i="3"/>
  <c r="IX121" i="3"/>
  <c r="IW121" i="3"/>
  <c r="IV121" i="3"/>
  <c r="IU121" i="3"/>
  <c r="IT121" i="3"/>
  <c r="IS121" i="3"/>
  <c r="IR121" i="3"/>
  <c r="IQ121" i="3"/>
  <c r="IP121" i="3"/>
  <c r="IO121" i="3"/>
  <c r="IN121" i="3"/>
  <c r="IM121" i="3"/>
  <c r="IL121" i="3"/>
  <c r="IK121" i="3"/>
  <c r="IJ121" i="3"/>
  <c r="II121" i="3"/>
  <c r="IH121" i="3"/>
  <c r="IG121" i="3"/>
  <c r="IF121" i="3"/>
  <c r="IE121" i="3"/>
  <c r="ID121" i="3"/>
  <c r="IC121" i="3"/>
  <c r="IB121" i="3"/>
  <c r="IA121" i="3"/>
  <c r="HZ121" i="3"/>
  <c r="HY121" i="3"/>
  <c r="HX121" i="3"/>
  <c r="HW121" i="3"/>
  <c r="HV121" i="3"/>
  <c r="HU121" i="3"/>
  <c r="HT121" i="3"/>
  <c r="HS121" i="3"/>
  <c r="HR121" i="3"/>
  <c r="HQ121" i="3"/>
  <c r="HP121" i="3"/>
  <c r="HO121" i="3"/>
  <c r="HN121" i="3"/>
  <c r="HM121" i="3"/>
  <c r="HL121" i="3"/>
  <c r="HK121" i="3"/>
  <c r="HJ121" i="3"/>
  <c r="HI121" i="3"/>
  <c r="HH121" i="3"/>
  <c r="HG121" i="3"/>
  <c r="HF121" i="3"/>
  <c r="HE121" i="3"/>
  <c r="HD121" i="3"/>
  <c r="HC121" i="3"/>
  <c r="HB121" i="3"/>
  <c r="HA121" i="3"/>
  <c r="GZ121" i="3"/>
  <c r="GY121" i="3"/>
  <c r="GX121" i="3"/>
  <c r="GW121" i="3"/>
  <c r="GV121" i="3"/>
  <c r="GU121" i="3"/>
  <c r="GT121" i="3"/>
  <c r="GS121" i="3"/>
  <c r="GR121" i="3"/>
  <c r="GQ121" i="3"/>
  <c r="GP121" i="3"/>
  <c r="GO121" i="3"/>
  <c r="GN121" i="3"/>
  <c r="GM121" i="3"/>
  <c r="GL121" i="3"/>
  <c r="GK121" i="3"/>
  <c r="GJ121" i="3"/>
  <c r="GI121" i="3"/>
  <c r="GH121" i="3"/>
  <c r="GG121" i="3"/>
  <c r="GF121" i="3"/>
  <c r="GE121" i="3"/>
  <c r="GD121" i="3"/>
  <c r="GC121" i="3"/>
  <c r="GB121" i="3"/>
  <c r="GA121" i="3"/>
  <c r="FZ121" i="3"/>
  <c r="FY121" i="3"/>
  <c r="FX121" i="3"/>
  <c r="FW121" i="3"/>
  <c r="FV121" i="3"/>
  <c r="FU121" i="3"/>
  <c r="FT121" i="3"/>
  <c r="FS121" i="3"/>
  <c r="FR121" i="3"/>
  <c r="FQ121" i="3"/>
  <c r="FP121" i="3"/>
  <c r="FO121" i="3"/>
  <c r="FN121" i="3"/>
  <c r="FM121" i="3"/>
  <c r="FL121" i="3"/>
  <c r="FK121" i="3"/>
  <c r="FJ121" i="3"/>
  <c r="FI121" i="3"/>
  <c r="FH121" i="3"/>
  <c r="FG121" i="3"/>
  <c r="FF121" i="3"/>
  <c r="FE121" i="3"/>
  <c r="FD121" i="3"/>
  <c r="FC121" i="3"/>
  <c r="FB121" i="3"/>
  <c r="FA121" i="3"/>
  <c r="EZ121" i="3"/>
  <c r="EY121" i="3"/>
  <c r="EX121" i="3"/>
  <c r="EW121" i="3"/>
  <c r="EV121" i="3"/>
  <c r="EU121" i="3"/>
  <c r="ET121" i="3"/>
  <c r="ES121" i="3"/>
  <c r="ER121" i="3"/>
  <c r="EQ121" i="3"/>
  <c r="EP121" i="3"/>
  <c r="EO121" i="3"/>
  <c r="EN121" i="3"/>
  <c r="EM121" i="3"/>
  <c r="EL121" i="3"/>
  <c r="EK121" i="3"/>
  <c r="EJ121" i="3"/>
  <c r="EI121" i="3"/>
  <c r="EH121" i="3"/>
  <c r="EG121" i="3"/>
  <c r="EF121" i="3"/>
  <c r="EE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DQ121" i="3"/>
  <c r="DP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NV134" i="3" l="1"/>
  <c r="NY133" i="3"/>
  <c r="NV136" i="3"/>
  <c r="NY135" i="3"/>
  <c r="NV140" i="3"/>
  <c r="NY139" i="3"/>
  <c r="NV148" i="3"/>
  <c r="NY147" i="3"/>
  <c r="NV142" i="3"/>
  <c r="NY141" i="3"/>
  <c r="NV124" i="3"/>
  <c r="NY123" i="3"/>
  <c r="NV126" i="3"/>
  <c r="NY125" i="3"/>
  <c r="NV138" i="3"/>
  <c r="NY137" i="3"/>
  <c r="NV146" i="3"/>
  <c r="NY145" i="3"/>
  <c r="NV144" i="3"/>
  <c r="NY143" i="3"/>
  <c r="OT138" i="3"/>
  <c r="OX124" i="3"/>
  <c r="OX126" i="3"/>
  <c r="OT140" i="3"/>
  <c r="OO147" i="3"/>
  <c r="PE143" i="3"/>
  <c r="OS141" i="3"/>
  <c r="OO141" i="3"/>
  <c r="OT136" i="3"/>
  <c r="OL141" i="3"/>
  <c r="OS145" i="3"/>
  <c r="OL147" i="3"/>
  <c r="NU143" i="3"/>
  <c r="OC143" i="3"/>
  <c r="OK143" i="3"/>
  <c r="NU141" i="3"/>
  <c r="OO145" i="3"/>
  <c r="OG147" i="3"/>
  <c r="OS143" i="3"/>
  <c r="PA143" i="3"/>
  <c r="OK145" i="3"/>
  <c r="OC145" i="3"/>
  <c r="NZ143" i="3"/>
  <c r="OT134" i="3"/>
  <c r="OW147" i="3"/>
  <c r="PB143" i="3"/>
  <c r="OP141" i="3"/>
  <c r="PE145" i="3"/>
  <c r="NZ146" i="3"/>
  <c r="PE147" i="3"/>
  <c r="OC147" i="3"/>
  <c r="OS147" i="3"/>
  <c r="OK147" i="3"/>
  <c r="OH143" i="3"/>
  <c r="OX143" i="3"/>
  <c r="PA141" i="3"/>
  <c r="PE141" i="3"/>
  <c r="NU145" i="3"/>
  <c r="OD147" i="3"/>
  <c r="OT147" i="3"/>
  <c r="OO143" i="3"/>
  <c r="OC141" i="3"/>
  <c r="OK141" i="3"/>
  <c r="PA145" i="3"/>
  <c r="NU147" i="3"/>
  <c r="PA147" i="3"/>
  <c r="OG143" i="3"/>
  <c r="OW143" i="3"/>
  <c r="OH142" i="3"/>
  <c r="OG141" i="3"/>
  <c r="OW141" i="3"/>
  <c r="OG145" i="3"/>
  <c r="OW145" i="3"/>
  <c r="OH148" i="3"/>
  <c r="OX148" i="3"/>
  <c r="OG139" i="3"/>
  <c r="PA133" i="3"/>
  <c r="OS139" i="3"/>
  <c r="OW125" i="3"/>
  <c r="NU125" i="3"/>
  <c r="PE133" i="3"/>
  <c r="PA125" i="3"/>
  <c r="OC133" i="3"/>
  <c r="NU123" i="3"/>
  <c r="OG125" i="3"/>
  <c r="OO137" i="3"/>
  <c r="PB133" i="3"/>
  <c r="NU133" i="3"/>
  <c r="OX125" i="3"/>
  <c r="OS125" i="3"/>
  <c r="PE137" i="3"/>
  <c r="OD139" i="3"/>
  <c r="OK133" i="3"/>
  <c r="OO125" i="3"/>
  <c r="NU137" i="3"/>
  <c r="OO139" i="3"/>
  <c r="OC125" i="3"/>
  <c r="NU135" i="3"/>
  <c r="OH136" i="3"/>
  <c r="OC137" i="3"/>
  <c r="OC139" i="3"/>
  <c r="OK139" i="3"/>
  <c r="OB121" i="3"/>
  <c r="OJ121" i="3"/>
  <c r="OR121" i="3"/>
  <c r="OZ121" i="3"/>
  <c r="NT122" i="3"/>
  <c r="OF122" i="3"/>
  <c r="OV122" i="3"/>
  <c r="PD122" i="3"/>
  <c r="OO133" i="3"/>
  <c r="OS133" i="3"/>
  <c r="NZ126" i="3"/>
  <c r="OP126" i="3"/>
  <c r="OT126" i="3"/>
  <c r="OL137" i="3"/>
  <c r="PB137" i="3"/>
  <c r="PE139" i="3"/>
  <c r="OL140" i="3"/>
  <c r="PA137" i="3"/>
  <c r="NX122" i="3"/>
  <c r="ON122" i="3"/>
  <c r="OZ122" i="3"/>
  <c r="OK125" i="3"/>
  <c r="PE125" i="3"/>
  <c r="OS137" i="3"/>
  <c r="OK137" i="3"/>
  <c r="OW139" i="3"/>
  <c r="NU139" i="3"/>
  <c r="NZ140" i="3"/>
  <c r="PA139" i="3"/>
  <c r="NX121" i="3"/>
  <c r="OF121" i="3"/>
  <c r="ON121" i="3"/>
  <c r="OV121" i="3"/>
  <c r="PD121" i="3"/>
  <c r="OB122" i="3"/>
  <c r="OJ122" i="3"/>
  <c r="OR122" i="3"/>
  <c r="OH124" i="3"/>
  <c r="OC123" i="3"/>
  <c r="OG123" i="3"/>
  <c r="OK123" i="3"/>
  <c r="OO123" i="3"/>
  <c r="OS123" i="3"/>
  <c r="OW123" i="3"/>
  <c r="PA123" i="3"/>
  <c r="PE123" i="3"/>
  <c r="OT124" i="3"/>
  <c r="OC135" i="3"/>
  <c r="OG135" i="3"/>
  <c r="OK135" i="3"/>
  <c r="OO135" i="3"/>
  <c r="OS135" i="3"/>
  <c r="OW135" i="3"/>
  <c r="PA135" i="3"/>
  <c r="PE135" i="3"/>
  <c r="OH138" i="3"/>
  <c r="OX138" i="3"/>
  <c r="NT121" i="3"/>
  <c r="OH134" i="3"/>
  <c r="OX134" i="3"/>
  <c r="OH135" i="3"/>
  <c r="OG137" i="3"/>
  <c r="OW137" i="3"/>
  <c r="OH140" i="3"/>
  <c r="OX140" i="3"/>
  <c r="OG133" i="3"/>
  <c r="OW133" i="3"/>
  <c r="NY121" i="3" l="1"/>
  <c r="NU121" i="3"/>
  <c r="OW121" i="3"/>
  <c r="OG121" i="3"/>
  <c r="OK121" i="3"/>
  <c r="OO121" i="3"/>
  <c r="OC121" i="3"/>
  <c r="PE121" i="3"/>
  <c r="OS121" i="3"/>
  <c r="PA121" i="3"/>
  <c r="JL11" i="3" l="1"/>
  <c r="JL12" i="3"/>
  <c r="JE12" i="3"/>
  <c r="JE11" i="3"/>
  <c r="IN173" i="3" l="1"/>
  <c r="PD202" i="3"/>
  <c r="PC202" i="3"/>
  <c r="OZ202" i="3"/>
  <c r="OY202" i="3"/>
  <c r="OV202" i="3"/>
  <c r="OU202" i="3"/>
  <c r="OR202" i="3"/>
  <c r="OQ202" i="3"/>
  <c r="ON202" i="3"/>
  <c r="OM202" i="3"/>
  <c r="OJ202" i="3"/>
  <c r="OI202" i="3"/>
  <c r="OF202" i="3"/>
  <c r="OE202" i="3"/>
  <c r="OB202" i="3"/>
  <c r="OA202" i="3"/>
  <c r="NX202" i="3"/>
  <c r="NW202" i="3"/>
  <c r="NT202" i="3"/>
  <c r="PD201" i="3"/>
  <c r="PC201" i="3"/>
  <c r="OZ201" i="3"/>
  <c r="OX202" i="3" s="1"/>
  <c r="OY201" i="3"/>
  <c r="OV201" i="3"/>
  <c r="OU201" i="3"/>
  <c r="OR201" i="3"/>
  <c r="OQ201" i="3"/>
  <c r="ON201" i="3"/>
  <c r="OM201" i="3"/>
  <c r="OJ201" i="3"/>
  <c r="OH202" i="3" s="1"/>
  <c r="OI201" i="3"/>
  <c r="OF201" i="3"/>
  <c r="OD202" i="3" s="1"/>
  <c r="OE201" i="3"/>
  <c r="OB201" i="3"/>
  <c r="NZ202" i="3" s="1"/>
  <c r="OA201" i="3"/>
  <c r="NX201" i="3"/>
  <c r="NW201" i="3"/>
  <c r="NT201" i="3"/>
  <c r="PD200" i="3"/>
  <c r="PC200" i="3"/>
  <c r="OZ200" i="3"/>
  <c r="OY200" i="3"/>
  <c r="OV200" i="3"/>
  <c r="OU200" i="3"/>
  <c r="OR200" i="3"/>
  <c r="OQ200" i="3"/>
  <c r="ON200" i="3"/>
  <c r="OM200" i="3"/>
  <c r="OJ200" i="3"/>
  <c r="OI200" i="3"/>
  <c r="OF200" i="3"/>
  <c r="OE200" i="3"/>
  <c r="OB200" i="3"/>
  <c r="OA200" i="3"/>
  <c r="NX200" i="3"/>
  <c r="NW200" i="3"/>
  <c r="NT200" i="3"/>
  <c r="PD199" i="3"/>
  <c r="PB200" i="3" s="1"/>
  <c r="PC199" i="3"/>
  <c r="OZ199" i="3"/>
  <c r="OX199" i="3" s="1"/>
  <c r="OY199" i="3"/>
  <c r="OV199" i="3"/>
  <c r="OT199" i="3" s="1"/>
  <c r="OU199" i="3"/>
  <c r="OR199" i="3"/>
  <c r="OP200" i="3" s="1"/>
  <c r="OQ199" i="3"/>
  <c r="ON199" i="3"/>
  <c r="OL200" i="3" s="1"/>
  <c r="OM199" i="3"/>
  <c r="OJ199" i="3"/>
  <c r="OH199" i="3" s="1"/>
  <c r="OI199" i="3"/>
  <c r="OF199" i="3"/>
  <c r="OD199" i="3" s="1"/>
  <c r="OE199" i="3"/>
  <c r="OB199" i="3"/>
  <c r="NZ200" i="3" s="1"/>
  <c r="OA199" i="3"/>
  <c r="NX199" i="3"/>
  <c r="NV200" i="3" s="1"/>
  <c r="NW199" i="3"/>
  <c r="NT199" i="3"/>
  <c r="NY199" i="3" l="1"/>
  <c r="NY201" i="3"/>
  <c r="OT202" i="3"/>
  <c r="OS201" i="3"/>
  <c r="PE201" i="3"/>
  <c r="OD201" i="3"/>
  <c r="NZ201" i="3"/>
  <c r="OP202" i="3"/>
  <c r="OO201" i="3"/>
  <c r="OT201" i="3"/>
  <c r="NU199" i="3"/>
  <c r="OC199" i="3"/>
  <c r="OK199" i="3"/>
  <c r="OS199" i="3"/>
  <c r="PA199" i="3"/>
  <c r="OP201" i="3"/>
  <c r="NU201" i="3"/>
  <c r="NV201" i="3"/>
  <c r="OL201" i="3"/>
  <c r="PB201" i="3"/>
  <c r="OC201" i="3"/>
  <c r="OK201" i="3"/>
  <c r="OH201" i="3"/>
  <c r="OX201" i="3"/>
  <c r="PA201" i="3"/>
  <c r="OH200" i="3"/>
  <c r="OG199" i="3"/>
  <c r="OO199" i="3"/>
  <c r="OW199" i="3"/>
  <c r="PE199" i="3"/>
  <c r="OD200" i="3"/>
  <c r="OT200" i="3"/>
  <c r="NV202" i="3"/>
  <c r="OL202" i="3"/>
  <c r="PB202" i="3"/>
  <c r="OX200" i="3"/>
  <c r="NV199" i="3"/>
  <c r="NZ199" i="3"/>
  <c r="OL199" i="3"/>
  <c r="OP199" i="3"/>
  <c r="PB199" i="3"/>
  <c r="OG201" i="3"/>
  <c r="OW201" i="3"/>
  <c r="HJ174" i="3" l="1"/>
  <c r="HJ173" i="3"/>
  <c r="HJ168" i="3"/>
  <c r="HJ167" i="3"/>
  <c r="HJ12" i="3"/>
  <c r="HJ11" i="3"/>
  <c r="OR14" i="3" l="1"/>
  <c r="PD170" i="3" l="1"/>
  <c r="PB170" i="3" s="1"/>
  <c r="PC170" i="3"/>
  <c r="OZ170" i="3"/>
  <c r="OY170" i="3"/>
  <c r="OV170" i="3"/>
  <c r="OU170" i="3"/>
  <c r="OR170" i="3"/>
  <c r="OQ170" i="3"/>
  <c r="ON170" i="3"/>
  <c r="OM170" i="3"/>
  <c r="OJ170" i="3"/>
  <c r="OI170" i="3"/>
  <c r="OF170" i="3"/>
  <c r="OD170" i="3" s="1"/>
  <c r="OE170" i="3"/>
  <c r="OB170" i="3"/>
  <c r="OA170" i="3"/>
  <c r="NX170" i="3"/>
  <c r="NW170" i="3"/>
  <c r="NT170" i="3"/>
  <c r="PD169" i="3"/>
  <c r="PB169" i="3" s="1"/>
  <c r="PC169" i="3"/>
  <c r="OZ169" i="3"/>
  <c r="OX169" i="3" s="1"/>
  <c r="OY169" i="3"/>
  <c r="OV169" i="3"/>
  <c r="OT169" i="3" s="1"/>
  <c r="OU169" i="3"/>
  <c r="OR169" i="3"/>
  <c r="OP169" i="3" s="1"/>
  <c r="OQ169" i="3"/>
  <c r="ON169" i="3"/>
  <c r="OM169" i="3"/>
  <c r="OJ169" i="3"/>
  <c r="OH169" i="3" s="1"/>
  <c r="OI169" i="3"/>
  <c r="OF169" i="3"/>
  <c r="OD169" i="3" s="1"/>
  <c r="OE169" i="3"/>
  <c r="OB169" i="3"/>
  <c r="NZ169" i="3" s="1"/>
  <c r="OA169" i="3"/>
  <c r="NX169" i="3"/>
  <c r="NV169" i="3" s="1"/>
  <c r="NW169" i="3"/>
  <c r="NT169" i="3"/>
  <c r="NV170" i="3" l="1"/>
  <c r="NY169" i="3"/>
  <c r="OT170" i="3"/>
  <c r="OP170" i="3"/>
  <c r="OO169" i="3"/>
  <c r="OC169" i="3"/>
  <c r="OK169" i="3"/>
  <c r="PE169" i="3"/>
  <c r="OS169" i="3"/>
  <c r="PA169" i="3"/>
  <c r="NZ170" i="3"/>
  <c r="NU169" i="3"/>
  <c r="OL170" i="3"/>
  <c r="OL169" i="3"/>
  <c r="OH170" i="3"/>
  <c r="OX170" i="3"/>
  <c r="OG169" i="3"/>
  <c r="OW169" i="3"/>
  <c r="NS100" i="3" l="1"/>
  <c r="PD132" i="3" l="1"/>
  <c r="PB132" i="3" s="1"/>
  <c r="PC132" i="3"/>
  <c r="OZ132" i="3"/>
  <c r="OX132" i="3" s="1"/>
  <c r="OY132" i="3"/>
  <c r="OV132" i="3"/>
  <c r="OU132" i="3"/>
  <c r="OR132" i="3"/>
  <c r="OP132" i="3" s="1"/>
  <c r="OQ132" i="3"/>
  <c r="ON132" i="3"/>
  <c r="OM132" i="3"/>
  <c r="OJ132" i="3"/>
  <c r="OI132" i="3"/>
  <c r="OF132" i="3"/>
  <c r="OD132" i="3" s="1"/>
  <c r="OE132" i="3"/>
  <c r="OB132" i="3"/>
  <c r="NZ132" i="3" s="1"/>
  <c r="OA132" i="3"/>
  <c r="NX132" i="3"/>
  <c r="NW132" i="3"/>
  <c r="NT132" i="3"/>
  <c r="PD131" i="3"/>
  <c r="PB131" i="3" s="1"/>
  <c r="PC131" i="3"/>
  <c r="OZ131" i="3"/>
  <c r="OX131" i="3" s="1"/>
  <c r="OY131" i="3"/>
  <c r="OV131" i="3"/>
  <c r="OT131" i="3" s="1"/>
  <c r="OU131" i="3"/>
  <c r="OR131" i="3"/>
  <c r="OP131" i="3" s="1"/>
  <c r="OQ131" i="3"/>
  <c r="ON131" i="3"/>
  <c r="OL131" i="3" s="1"/>
  <c r="OM131" i="3"/>
  <c r="OJ131" i="3"/>
  <c r="OH131" i="3" s="1"/>
  <c r="OI131" i="3"/>
  <c r="OF131" i="3"/>
  <c r="OD131" i="3" s="1"/>
  <c r="OE131" i="3"/>
  <c r="OB131" i="3"/>
  <c r="NZ131" i="3" s="1"/>
  <c r="OA131" i="3"/>
  <c r="NX131" i="3"/>
  <c r="NV131" i="3" s="1"/>
  <c r="NW131" i="3"/>
  <c r="NT131" i="3"/>
  <c r="PD26" i="3"/>
  <c r="PB26" i="3" s="1"/>
  <c r="PC26" i="3"/>
  <c r="OZ26" i="3"/>
  <c r="OY26" i="3"/>
  <c r="OV26" i="3"/>
  <c r="OU26" i="3"/>
  <c r="OR26" i="3"/>
  <c r="OQ26" i="3"/>
  <c r="ON26" i="3"/>
  <c r="OM26" i="3"/>
  <c r="OJ26" i="3"/>
  <c r="OI26" i="3"/>
  <c r="OF26" i="3"/>
  <c r="OD26" i="3" s="1"/>
  <c r="OE26" i="3"/>
  <c r="OB26" i="3"/>
  <c r="NZ26" i="3" s="1"/>
  <c r="OA26" i="3"/>
  <c r="NX26" i="3"/>
  <c r="NW26" i="3"/>
  <c r="PD25" i="3"/>
  <c r="PB25" i="3" s="1"/>
  <c r="PC25" i="3"/>
  <c r="OZ25" i="3"/>
  <c r="OX25" i="3" s="1"/>
  <c r="OY25" i="3"/>
  <c r="OV25" i="3"/>
  <c r="OT25" i="3" s="1"/>
  <c r="OU25" i="3"/>
  <c r="OR25" i="3"/>
  <c r="OP25" i="3" s="1"/>
  <c r="OQ25" i="3"/>
  <c r="ON25" i="3"/>
  <c r="OL25" i="3" s="1"/>
  <c r="OM25" i="3"/>
  <c r="OJ25" i="3"/>
  <c r="OH25" i="3" s="1"/>
  <c r="OI25" i="3"/>
  <c r="OF25" i="3"/>
  <c r="OD25" i="3" s="1"/>
  <c r="OE25" i="3"/>
  <c r="OB25" i="3"/>
  <c r="NZ25" i="3" s="1"/>
  <c r="OA25" i="3"/>
  <c r="NX25" i="3"/>
  <c r="NV25" i="3" s="1"/>
  <c r="NW25" i="3"/>
  <c r="PD198" i="3"/>
  <c r="PB198" i="3" s="1"/>
  <c r="PC198" i="3"/>
  <c r="OZ198" i="3"/>
  <c r="OY198" i="3"/>
  <c r="OV198" i="3"/>
  <c r="OT198" i="3" s="1"/>
  <c r="OU198" i="3"/>
  <c r="OR198" i="3"/>
  <c r="OP198" i="3" s="1"/>
  <c r="OQ198" i="3"/>
  <c r="ON198" i="3"/>
  <c r="OL198" i="3" s="1"/>
  <c r="OM198" i="3"/>
  <c r="OJ198" i="3"/>
  <c r="OH198" i="3" s="1"/>
  <c r="OI198" i="3"/>
  <c r="OF198" i="3"/>
  <c r="OD198" i="3" s="1"/>
  <c r="OE198" i="3"/>
  <c r="OB198" i="3"/>
  <c r="OA198" i="3"/>
  <c r="NX198" i="3"/>
  <c r="NW198" i="3"/>
  <c r="NT198" i="3"/>
  <c r="PD197" i="3"/>
  <c r="PB197" i="3" s="1"/>
  <c r="PC197" i="3"/>
  <c r="OZ197" i="3"/>
  <c r="OX197" i="3" s="1"/>
  <c r="OY197" i="3"/>
  <c r="OV197" i="3"/>
  <c r="OT197" i="3" s="1"/>
  <c r="OU197" i="3"/>
  <c r="OR197" i="3"/>
  <c r="OP197" i="3" s="1"/>
  <c r="OQ197" i="3"/>
  <c r="ON197" i="3"/>
  <c r="OL197" i="3" s="1"/>
  <c r="OM197" i="3"/>
  <c r="OJ197" i="3"/>
  <c r="OH197" i="3" s="1"/>
  <c r="OI197" i="3"/>
  <c r="OF197" i="3"/>
  <c r="OD197" i="3" s="1"/>
  <c r="OE197" i="3"/>
  <c r="OB197" i="3"/>
  <c r="NZ197" i="3" s="1"/>
  <c r="OA197" i="3"/>
  <c r="NX197" i="3"/>
  <c r="NV197" i="3" s="1"/>
  <c r="NW197" i="3"/>
  <c r="NT197" i="3"/>
  <c r="PD196" i="3"/>
  <c r="PC196" i="3"/>
  <c r="OZ196" i="3"/>
  <c r="OY196" i="3"/>
  <c r="OV196" i="3"/>
  <c r="OU196" i="3"/>
  <c r="OR196" i="3"/>
  <c r="OQ196" i="3"/>
  <c r="ON196" i="3"/>
  <c r="OM196" i="3"/>
  <c r="OJ196" i="3"/>
  <c r="OH196" i="3" s="1"/>
  <c r="OI196" i="3"/>
  <c r="OF196" i="3"/>
  <c r="OD196" i="3" s="1"/>
  <c r="OE196" i="3"/>
  <c r="OB196" i="3"/>
  <c r="OA196" i="3"/>
  <c r="NX196" i="3"/>
  <c r="NW196" i="3"/>
  <c r="NT196" i="3"/>
  <c r="PD195" i="3"/>
  <c r="PB195" i="3" s="1"/>
  <c r="PC195" i="3"/>
  <c r="OZ195" i="3"/>
  <c r="OX195" i="3" s="1"/>
  <c r="OY195" i="3"/>
  <c r="OV195" i="3"/>
  <c r="OT195" i="3" s="1"/>
  <c r="OU195" i="3"/>
  <c r="OR195" i="3"/>
  <c r="OP195" i="3" s="1"/>
  <c r="OQ195" i="3"/>
  <c r="ON195" i="3"/>
  <c r="OL195" i="3" s="1"/>
  <c r="OM195" i="3"/>
  <c r="OJ195" i="3"/>
  <c r="OH195" i="3" s="1"/>
  <c r="OI195" i="3"/>
  <c r="OF195" i="3"/>
  <c r="OE195" i="3"/>
  <c r="OB195" i="3"/>
  <c r="NZ195" i="3" s="1"/>
  <c r="OA195" i="3"/>
  <c r="NX195" i="3"/>
  <c r="NV195" i="3" s="1"/>
  <c r="NW195" i="3"/>
  <c r="NT195" i="3"/>
  <c r="PD194" i="3"/>
  <c r="PB194" i="3" s="1"/>
  <c r="PC194" i="3"/>
  <c r="OZ194" i="3"/>
  <c r="OY194" i="3"/>
  <c r="OV194" i="3"/>
  <c r="OT194" i="3" s="1"/>
  <c r="OU194" i="3"/>
  <c r="OR194" i="3"/>
  <c r="OP194" i="3" s="1"/>
  <c r="OQ194" i="3"/>
  <c r="ON194" i="3"/>
  <c r="OL194" i="3" s="1"/>
  <c r="OM194" i="3"/>
  <c r="OJ194" i="3"/>
  <c r="OI194" i="3"/>
  <c r="OF194" i="3"/>
  <c r="OD194" i="3" s="1"/>
  <c r="OE194" i="3"/>
  <c r="OB194" i="3"/>
  <c r="OA194" i="3"/>
  <c r="NX194" i="3"/>
  <c r="NW194" i="3"/>
  <c r="NT194" i="3"/>
  <c r="PD193" i="3"/>
  <c r="PC193" i="3"/>
  <c r="OZ193" i="3"/>
  <c r="OX193" i="3" s="1"/>
  <c r="OY193" i="3"/>
  <c r="OV193" i="3"/>
  <c r="OT193" i="3" s="1"/>
  <c r="OU193" i="3"/>
  <c r="OR193" i="3"/>
  <c r="OP193" i="3" s="1"/>
  <c r="OQ193" i="3"/>
  <c r="ON193" i="3"/>
  <c r="OM193" i="3"/>
  <c r="OJ193" i="3"/>
  <c r="OH193" i="3" s="1"/>
  <c r="OI193" i="3"/>
  <c r="OF193" i="3"/>
  <c r="OD193" i="3" s="1"/>
  <c r="OE193" i="3"/>
  <c r="OB193" i="3"/>
  <c r="NZ193" i="3" s="1"/>
  <c r="OA193" i="3"/>
  <c r="NX193" i="3"/>
  <c r="NV193" i="3" s="1"/>
  <c r="NW193" i="3"/>
  <c r="NT193" i="3"/>
  <c r="PD192" i="3"/>
  <c r="PB192" i="3" s="1"/>
  <c r="PC192" i="3"/>
  <c r="OZ192" i="3"/>
  <c r="OX192" i="3" s="1"/>
  <c r="OY192" i="3"/>
  <c r="OV192" i="3"/>
  <c r="OT192" i="3" s="1"/>
  <c r="OU192" i="3"/>
  <c r="OR192" i="3"/>
  <c r="OP192" i="3" s="1"/>
  <c r="OQ192" i="3"/>
  <c r="ON192" i="3"/>
  <c r="OL192" i="3" s="1"/>
  <c r="OM192" i="3"/>
  <c r="OJ192" i="3"/>
  <c r="OH192" i="3" s="1"/>
  <c r="OI192" i="3"/>
  <c r="OF192" i="3"/>
  <c r="OD192" i="3" s="1"/>
  <c r="OE192" i="3"/>
  <c r="OB192" i="3"/>
  <c r="OA192" i="3"/>
  <c r="NX192" i="3"/>
  <c r="NW192" i="3"/>
  <c r="NT192" i="3"/>
  <c r="PD191" i="3"/>
  <c r="PB191" i="3" s="1"/>
  <c r="PC191" i="3"/>
  <c r="OZ191" i="3"/>
  <c r="OX191" i="3" s="1"/>
  <c r="OY191" i="3"/>
  <c r="OV191" i="3"/>
  <c r="OT191" i="3" s="1"/>
  <c r="OU191" i="3"/>
  <c r="OR191" i="3"/>
  <c r="OP191" i="3" s="1"/>
  <c r="OQ191" i="3"/>
  <c r="ON191" i="3"/>
  <c r="OL191" i="3" s="1"/>
  <c r="OM191" i="3"/>
  <c r="OJ191" i="3"/>
  <c r="OH191" i="3" s="1"/>
  <c r="OI191" i="3"/>
  <c r="OF191" i="3"/>
  <c r="OD191" i="3" s="1"/>
  <c r="OE191" i="3"/>
  <c r="OB191" i="3"/>
  <c r="NZ191" i="3" s="1"/>
  <c r="OA191" i="3"/>
  <c r="NX191" i="3"/>
  <c r="NV191" i="3" s="1"/>
  <c r="NW191" i="3"/>
  <c r="NT191" i="3"/>
  <c r="PD190" i="3"/>
  <c r="PB190" i="3" s="1"/>
  <c r="PC190" i="3"/>
  <c r="OZ190" i="3"/>
  <c r="OY190" i="3"/>
  <c r="OV190" i="3"/>
  <c r="OT190" i="3" s="1"/>
  <c r="OU190" i="3"/>
  <c r="OR190" i="3"/>
  <c r="OP190" i="3" s="1"/>
  <c r="OQ190" i="3"/>
  <c r="ON190" i="3"/>
  <c r="OL190" i="3" s="1"/>
  <c r="OM190" i="3"/>
  <c r="OJ190" i="3"/>
  <c r="OH190" i="3" s="1"/>
  <c r="OI190" i="3"/>
  <c r="OF190" i="3"/>
  <c r="OD190" i="3" s="1"/>
  <c r="OE190" i="3"/>
  <c r="OB190" i="3"/>
  <c r="OA190" i="3"/>
  <c r="NX190" i="3"/>
  <c r="NW190" i="3"/>
  <c r="NT190" i="3"/>
  <c r="PD189" i="3"/>
  <c r="PB189" i="3" s="1"/>
  <c r="PC189" i="3"/>
  <c r="OZ189" i="3"/>
  <c r="OX189" i="3" s="1"/>
  <c r="OY189" i="3"/>
  <c r="OV189" i="3"/>
  <c r="OT189" i="3" s="1"/>
  <c r="OU189" i="3"/>
  <c r="OR189" i="3"/>
  <c r="OP189" i="3" s="1"/>
  <c r="OQ189" i="3"/>
  <c r="ON189" i="3"/>
  <c r="OL189" i="3" s="1"/>
  <c r="OM189" i="3"/>
  <c r="OJ189" i="3"/>
  <c r="OH189" i="3" s="1"/>
  <c r="OI189" i="3"/>
  <c r="OF189" i="3"/>
  <c r="OD189" i="3" s="1"/>
  <c r="OE189" i="3"/>
  <c r="OB189" i="3"/>
  <c r="NZ189" i="3" s="1"/>
  <c r="OA189" i="3"/>
  <c r="NX189" i="3"/>
  <c r="NV189" i="3" s="1"/>
  <c r="NW189" i="3"/>
  <c r="NT189" i="3"/>
  <c r="PD188" i="3"/>
  <c r="PB188" i="3" s="1"/>
  <c r="PC188" i="3"/>
  <c r="OZ188" i="3"/>
  <c r="OY188" i="3"/>
  <c r="OV188" i="3"/>
  <c r="OT188" i="3" s="1"/>
  <c r="OU188" i="3"/>
  <c r="OR188" i="3"/>
  <c r="OP188" i="3" s="1"/>
  <c r="OQ188" i="3"/>
  <c r="ON188" i="3"/>
  <c r="OL188" i="3" s="1"/>
  <c r="OM188" i="3"/>
  <c r="OJ188" i="3"/>
  <c r="OH188" i="3" s="1"/>
  <c r="OI188" i="3"/>
  <c r="OF188" i="3"/>
  <c r="OD188" i="3" s="1"/>
  <c r="OE188" i="3"/>
  <c r="OB188" i="3"/>
  <c r="OA188" i="3"/>
  <c r="NX188" i="3"/>
  <c r="NW188" i="3"/>
  <c r="NT188" i="3"/>
  <c r="PD187" i="3"/>
  <c r="PC187" i="3"/>
  <c r="OZ187" i="3"/>
  <c r="OX187" i="3" s="1"/>
  <c r="OY187" i="3"/>
  <c r="OV187" i="3"/>
  <c r="OU187" i="3"/>
  <c r="OR187" i="3"/>
  <c r="OQ187" i="3"/>
  <c r="ON187" i="3"/>
  <c r="OM187" i="3"/>
  <c r="OJ187" i="3"/>
  <c r="OI187" i="3"/>
  <c r="OF187" i="3"/>
  <c r="OE187" i="3"/>
  <c r="OB187" i="3"/>
  <c r="OA187" i="3"/>
  <c r="NX187" i="3"/>
  <c r="NV187" i="3" s="1"/>
  <c r="NW187" i="3"/>
  <c r="NT187" i="3"/>
  <c r="PD186" i="3"/>
  <c r="PB186" i="3" s="1"/>
  <c r="PC186" i="3"/>
  <c r="OZ186" i="3"/>
  <c r="OY186" i="3"/>
  <c r="OV186" i="3"/>
  <c r="OT186" i="3" s="1"/>
  <c r="OU186" i="3"/>
  <c r="OR186" i="3"/>
  <c r="OP186" i="3" s="1"/>
  <c r="OQ186" i="3"/>
  <c r="ON186" i="3"/>
  <c r="OL186" i="3" s="1"/>
  <c r="OM186" i="3"/>
  <c r="OJ186" i="3"/>
  <c r="OI186" i="3"/>
  <c r="OF186" i="3"/>
  <c r="OE186" i="3"/>
  <c r="OB186" i="3"/>
  <c r="OA186" i="3"/>
  <c r="NX186" i="3"/>
  <c r="NW186" i="3"/>
  <c r="NT186" i="3"/>
  <c r="PD185" i="3"/>
  <c r="PC185" i="3"/>
  <c r="OZ185" i="3"/>
  <c r="OX185" i="3" s="1"/>
  <c r="OY185" i="3"/>
  <c r="OV185" i="3"/>
  <c r="OT185" i="3" s="1"/>
  <c r="OU185" i="3"/>
  <c r="OR185" i="3"/>
  <c r="OP185" i="3" s="1"/>
  <c r="OQ185" i="3"/>
  <c r="ON185" i="3"/>
  <c r="OM185" i="3"/>
  <c r="OJ185" i="3"/>
  <c r="OH185" i="3" s="1"/>
  <c r="OI185" i="3"/>
  <c r="OF185" i="3"/>
  <c r="OD185" i="3" s="1"/>
  <c r="OE185" i="3"/>
  <c r="OB185" i="3"/>
  <c r="NZ185" i="3" s="1"/>
  <c r="OA185" i="3"/>
  <c r="NX185" i="3"/>
  <c r="NV185" i="3" s="1"/>
  <c r="NW185" i="3"/>
  <c r="NT185" i="3"/>
  <c r="PD184" i="3"/>
  <c r="PC184" i="3"/>
  <c r="OZ184" i="3"/>
  <c r="OX184" i="3" s="1"/>
  <c r="OY184" i="3"/>
  <c r="OV184" i="3"/>
  <c r="OT184" i="3" s="1"/>
  <c r="OU184" i="3"/>
  <c r="OR184" i="3"/>
  <c r="OP184" i="3" s="1"/>
  <c r="OQ184" i="3"/>
  <c r="ON184" i="3"/>
  <c r="OL184" i="3" s="1"/>
  <c r="OM184" i="3"/>
  <c r="OJ184" i="3"/>
  <c r="OH184" i="3" s="1"/>
  <c r="OI184" i="3"/>
  <c r="OF184" i="3"/>
  <c r="OD184" i="3" s="1"/>
  <c r="OE184" i="3"/>
  <c r="OB184" i="3"/>
  <c r="OA184" i="3"/>
  <c r="NX184" i="3"/>
  <c r="NW184" i="3"/>
  <c r="NT184" i="3"/>
  <c r="PD183" i="3"/>
  <c r="PB183" i="3" s="1"/>
  <c r="PC183" i="3"/>
  <c r="OZ183" i="3"/>
  <c r="OX183" i="3" s="1"/>
  <c r="OY183" i="3"/>
  <c r="OV183" i="3"/>
  <c r="OT183" i="3" s="1"/>
  <c r="OU183" i="3"/>
  <c r="OR183" i="3"/>
  <c r="OP183" i="3" s="1"/>
  <c r="OQ183" i="3"/>
  <c r="ON183" i="3"/>
  <c r="OL183" i="3" s="1"/>
  <c r="OM183" i="3"/>
  <c r="OJ183" i="3"/>
  <c r="OH183" i="3" s="1"/>
  <c r="OI183" i="3"/>
  <c r="OF183" i="3"/>
  <c r="OD183" i="3" s="1"/>
  <c r="OE183" i="3"/>
  <c r="OB183" i="3"/>
  <c r="NZ183" i="3" s="1"/>
  <c r="OA183" i="3"/>
  <c r="NX183" i="3"/>
  <c r="NV183" i="3" s="1"/>
  <c r="NW183" i="3"/>
  <c r="NT183" i="3"/>
  <c r="PD182" i="3"/>
  <c r="PB182" i="3" s="1"/>
  <c r="PC182" i="3"/>
  <c r="OZ182" i="3"/>
  <c r="OY182" i="3"/>
  <c r="OV182" i="3"/>
  <c r="OT182" i="3" s="1"/>
  <c r="OU182" i="3"/>
  <c r="OR182" i="3"/>
  <c r="OP182" i="3" s="1"/>
  <c r="OQ182" i="3"/>
  <c r="ON182" i="3"/>
  <c r="OL182" i="3" s="1"/>
  <c r="OM182" i="3"/>
  <c r="OJ182" i="3"/>
  <c r="OH182" i="3" s="1"/>
  <c r="OI182" i="3"/>
  <c r="OF182" i="3"/>
  <c r="OD182" i="3" s="1"/>
  <c r="OE182" i="3"/>
  <c r="OB182" i="3"/>
  <c r="OA182" i="3"/>
  <c r="NX182" i="3"/>
  <c r="NW182" i="3"/>
  <c r="NT182" i="3"/>
  <c r="PD181" i="3"/>
  <c r="PB181" i="3" s="1"/>
  <c r="PC181" i="3"/>
  <c r="OZ181" i="3"/>
  <c r="OX181" i="3" s="1"/>
  <c r="OY181" i="3"/>
  <c r="OV181" i="3"/>
  <c r="OT181" i="3" s="1"/>
  <c r="OU181" i="3"/>
  <c r="OR181" i="3"/>
  <c r="OP181" i="3" s="1"/>
  <c r="OQ181" i="3"/>
  <c r="ON181" i="3"/>
  <c r="OL181" i="3" s="1"/>
  <c r="OM181" i="3"/>
  <c r="OJ181" i="3"/>
  <c r="OH181" i="3" s="1"/>
  <c r="OI181" i="3"/>
  <c r="OF181" i="3"/>
  <c r="OD181" i="3" s="1"/>
  <c r="OE181" i="3"/>
  <c r="OB181" i="3"/>
  <c r="NZ181" i="3" s="1"/>
  <c r="OA181" i="3"/>
  <c r="NX181" i="3"/>
  <c r="NV181" i="3" s="1"/>
  <c r="NW181" i="3"/>
  <c r="NT181" i="3"/>
  <c r="PD180" i="3"/>
  <c r="PB180" i="3" s="1"/>
  <c r="PC180" i="3"/>
  <c r="OZ180" i="3"/>
  <c r="OY180" i="3"/>
  <c r="OV180" i="3"/>
  <c r="OT180" i="3" s="1"/>
  <c r="OU180" i="3"/>
  <c r="OR180" i="3"/>
  <c r="OP180" i="3" s="1"/>
  <c r="OQ180" i="3"/>
  <c r="ON180" i="3"/>
  <c r="OL180" i="3" s="1"/>
  <c r="OM180" i="3"/>
  <c r="OJ180" i="3"/>
  <c r="OH180" i="3" s="1"/>
  <c r="OI180" i="3"/>
  <c r="OF180" i="3"/>
  <c r="OD180" i="3" s="1"/>
  <c r="OE180" i="3"/>
  <c r="OB180" i="3"/>
  <c r="OA180" i="3"/>
  <c r="NX180" i="3"/>
  <c r="NW180" i="3"/>
  <c r="NT180" i="3"/>
  <c r="PD179" i="3"/>
  <c r="PC179" i="3"/>
  <c r="OZ179" i="3"/>
  <c r="OX179" i="3" s="1"/>
  <c r="OY179" i="3"/>
  <c r="OV179" i="3"/>
  <c r="OT179" i="3" s="1"/>
  <c r="OU179" i="3"/>
  <c r="OR179" i="3"/>
  <c r="OP179" i="3" s="1"/>
  <c r="OQ179" i="3"/>
  <c r="ON179" i="3"/>
  <c r="OM179" i="3"/>
  <c r="OJ179" i="3"/>
  <c r="OI179" i="3"/>
  <c r="OF179" i="3"/>
  <c r="OE179" i="3"/>
  <c r="OB179" i="3"/>
  <c r="NZ179" i="3" s="1"/>
  <c r="OA179" i="3"/>
  <c r="NX179" i="3"/>
  <c r="NV179" i="3" s="1"/>
  <c r="NW179" i="3"/>
  <c r="NT179" i="3"/>
  <c r="PD178" i="3"/>
  <c r="PB178" i="3" s="1"/>
  <c r="PC178" i="3"/>
  <c r="OZ178" i="3"/>
  <c r="OY178" i="3"/>
  <c r="OV178" i="3"/>
  <c r="OT178" i="3" s="1"/>
  <c r="OU178" i="3"/>
  <c r="OR178" i="3"/>
  <c r="OP178" i="3" s="1"/>
  <c r="OQ178" i="3"/>
  <c r="ON178" i="3"/>
  <c r="OM178" i="3"/>
  <c r="OJ178" i="3"/>
  <c r="OI178" i="3"/>
  <c r="OF178" i="3"/>
  <c r="OE178" i="3"/>
  <c r="OB178" i="3"/>
  <c r="OA178" i="3"/>
  <c r="NX178" i="3"/>
  <c r="NW178" i="3"/>
  <c r="NT178" i="3"/>
  <c r="PD177" i="3"/>
  <c r="PC177" i="3"/>
  <c r="OZ177" i="3"/>
  <c r="OX177" i="3" s="1"/>
  <c r="OY177" i="3"/>
  <c r="OV177" i="3"/>
  <c r="OT177" i="3" s="1"/>
  <c r="OU177" i="3"/>
  <c r="OR177" i="3"/>
  <c r="OP177" i="3" s="1"/>
  <c r="OQ177" i="3"/>
  <c r="ON177" i="3"/>
  <c r="OM177" i="3"/>
  <c r="OJ177" i="3"/>
  <c r="OH177" i="3" s="1"/>
  <c r="OI177" i="3"/>
  <c r="OF177" i="3"/>
  <c r="OD177" i="3" s="1"/>
  <c r="OE177" i="3"/>
  <c r="OB177" i="3"/>
  <c r="NZ177" i="3" s="1"/>
  <c r="OA177" i="3"/>
  <c r="NX177" i="3"/>
  <c r="NV177" i="3" s="1"/>
  <c r="NW177" i="3"/>
  <c r="NT177" i="3"/>
  <c r="PD176" i="3"/>
  <c r="PB176" i="3" s="1"/>
  <c r="PC176" i="3"/>
  <c r="OZ176" i="3"/>
  <c r="OX176" i="3" s="1"/>
  <c r="OY176" i="3"/>
  <c r="OV176" i="3"/>
  <c r="OT176" i="3" s="1"/>
  <c r="OU176" i="3"/>
  <c r="OR176" i="3"/>
  <c r="OP176" i="3" s="1"/>
  <c r="OQ176" i="3"/>
  <c r="ON176" i="3"/>
  <c r="OL176" i="3" s="1"/>
  <c r="OM176" i="3"/>
  <c r="OJ176" i="3"/>
  <c r="OH176" i="3" s="1"/>
  <c r="OI176" i="3"/>
  <c r="OF176" i="3"/>
  <c r="OD176" i="3" s="1"/>
  <c r="OE176" i="3"/>
  <c r="OB176" i="3"/>
  <c r="NZ176" i="3" s="1"/>
  <c r="OA176" i="3"/>
  <c r="NX176" i="3"/>
  <c r="NW176" i="3"/>
  <c r="NT176" i="3"/>
  <c r="PD175" i="3"/>
  <c r="PB175" i="3" s="1"/>
  <c r="PC175" i="3"/>
  <c r="OZ175" i="3"/>
  <c r="OX175" i="3" s="1"/>
  <c r="OY175" i="3"/>
  <c r="OV175" i="3"/>
  <c r="OT175" i="3" s="1"/>
  <c r="OU175" i="3"/>
  <c r="OR175" i="3"/>
  <c r="OQ175" i="3"/>
  <c r="ON175" i="3"/>
  <c r="OL175" i="3" s="1"/>
  <c r="OM175" i="3"/>
  <c r="OJ175" i="3"/>
  <c r="OH175" i="3" s="1"/>
  <c r="OI175" i="3"/>
  <c r="OF175" i="3"/>
  <c r="OD175" i="3" s="1"/>
  <c r="OE175" i="3"/>
  <c r="OB175" i="3"/>
  <c r="NZ175" i="3" s="1"/>
  <c r="OA175" i="3"/>
  <c r="NX175" i="3"/>
  <c r="NV175" i="3" s="1"/>
  <c r="NW175" i="3"/>
  <c r="NT175" i="3"/>
  <c r="NS174" i="3"/>
  <c r="NR174" i="3"/>
  <c r="NQ174" i="3"/>
  <c r="NP174" i="3"/>
  <c r="NO174" i="3"/>
  <c r="NN174" i="3"/>
  <c r="NM174" i="3"/>
  <c r="NL174" i="3"/>
  <c r="NK174" i="3"/>
  <c r="NJ174" i="3"/>
  <c r="NI174" i="3"/>
  <c r="NH174" i="3"/>
  <c r="NG174" i="3"/>
  <c r="NF174" i="3"/>
  <c r="NE174" i="3"/>
  <c r="ND174" i="3"/>
  <c r="NC174" i="3"/>
  <c r="NB174" i="3"/>
  <c r="NA174" i="3"/>
  <c r="MZ174" i="3"/>
  <c r="MY174" i="3"/>
  <c r="MX174" i="3"/>
  <c r="MW174" i="3"/>
  <c r="MV174" i="3"/>
  <c r="MU174" i="3"/>
  <c r="MT174" i="3"/>
  <c r="MS174" i="3"/>
  <c r="MR174" i="3"/>
  <c r="MQ174" i="3"/>
  <c r="MP174" i="3"/>
  <c r="MO174" i="3"/>
  <c r="MN174" i="3"/>
  <c r="MM174" i="3"/>
  <c r="ML174" i="3"/>
  <c r="MK174" i="3"/>
  <c r="MJ174" i="3"/>
  <c r="MI174" i="3"/>
  <c r="MH174" i="3"/>
  <c r="MG174" i="3"/>
  <c r="MF174" i="3"/>
  <c r="ME174" i="3"/>
  <c r="MD174" i="3"/>
  <c r="MC174" i="3"/>
  <c r="MB174" i="3"/>
  <c r="MA174" i="3"/>
  <c r="LZ174" i="3"/>
  <c r="LY174" i="3"/>
  <c r="LX174" i="3"/>
  <c r="LW174" i="3"/>
  <c r="LV174" i="3"/>
  <c r="LU174" i="3"/>
  <c r="LT174" i="3"/>
  <c r="LS174" i="3"/>
  <c r="LR174" i="3"/>
  <c r="LQ174" i="3"/>
  <c r="LP174" i="3"/>
  <c r="LO174" i="3"/>
  <c r="LN174" i="3"/>
  <c r="LM174" i="3"/>
  <c r="LL174" i="3"/>
  <c r="LK174" i="3"/>
  <c r="LJ174" i="3"/>
  <c r="LI174" i="3"/>
  <c r="LH174" i="3"/>
  <c r="LG174" i="3"/>
  <c r="LF174" i="3"/>
  <c r="LE174" i="3"/>
  <c r="LD174" i="3"/>
  <c r="LC174" i="3"/>
  <c r="LB174" i="3"/>
  <c r="LA174" i="3"/>
  <c r="KZ174" i="3"/>
  <c r="KY174" i="3"/>
  <c r="KX174" i="3"/>
  <c r="KW174" i="3"/>
  <c r="KV174" i="3"/>
  <c r="KU174" i="3"/>
  <c r="KT174" i="3"/>
  <c r="KS174" i="3"/>
  <c r="KR174" i="3"/>
  <c r="KQ174" i="3"/>
  <c r="KP174" i="3"/>
  <c r="KO174" i="3"/>
  <c r="KN174" i="3"/>
  <c r="KM174" i="3"/>
  <c r="KL174" i="3"/>
  <c r="KK174" i="3"/>
  <c r="KJ174" i="3"/>
  <c r="KI174" i="3"/>
  <c r="KH174" i="3"/>
  <c r="KG174" i="3"/>
  <c r="KF174" i="3"/>
  <c r="KE174" i="3"/>
  <c r="KD174" i="3"/>
  <c r="KC174" i="3"/>
  <c r="KB174" i="3"/>
  <c r="KA174" i="3"/>
  <c r="JZ174" i="3"/>
  <c r="JY174" i="3"/>
  <c r="JX174" i="3"/>
  <c r="JW174" i="3"/>
  <c r="JV174" i="3"/>
  <c r="JU174" i="3"/>
  <c r="JT174" i="3"/>
  <c r="JS174" i="3"/>
  <c r="JR174" i="3"/>
  <c r="JQ174" i="3"/>
  <c r="JP174" i="3"/>
  <c r="JO174" i="3"/>
  <c r="JN174" i="3"/>
  <c r="JM174" i="3"/>
  <c r="JL174" i="3"/>
  <c r="JK174" i="3"/>
  <c r="JJ174" i="3"/>
  <c r="JI174" i="3"/>
  <c r="JH174" i="3"/>
  <c r="JG174" i="3"/>
  <c r="JF174" i="3"/>
  <c r="JE174" i="3"/>
  <c r="JD174" i="3"/>
  <c r="JC174" i="3"/>
  <c r="JB174" i="3"/>
  <c r="JA174" i="3"/>
  <c r="IZ174" i="3"/>
  <c r="IY174" i="3"/>
  <c r="IX174" i="3"/>
  <c r="IW174" i="3"/>
  <c r="IV174" i="3"/>
  <c r="IU174" i="3"/>
  <c r="IT174" i="3"/>
  <c r="IS174" i="3"/>
  <c r="IR174" i="3"/>
  <c r="IQ174" i="3"/>
  <c r="IP174" i="3"/>
  <c r="IO174" i="3"/>
  <c r="IN174" i="3"/>
  <c r="IM174" i="3"/>
  <c r="IL174" i="3"/>
  <c r="IK174" i="3"/>
  <c r="IJ174" i="3"/>
  <c r="II174" i="3"/>
  <c r="IH174" i="3"/>
  <c r="IG174" i="3"/>
  <c r="IF174" i="3"/>
  <c r="IE174" i="3"/>
  <c r="ID174" i="3"/>
  <c r="IC174" i="3"/>
  <c r="IB174" i="3"/>
  <c r="IA174" i="3"/>
  <c r="HZ174" i="3"/>
  <c r="HY174" i="3"/>
  <c r="HX174" i="3"/>
  <c r="HW174" i="3"/>
  <c r="HV174" i="3"/>
  <c r="HU174" i="3"/>
  <c r="HT174" i="3"/>
  <c r="HS174" i="3"/>
  <c r="HR174" i="3"/>
  <c r="HQ174" i="3"/>
  <c r="HP174" i="3"/>
  <c r="HO174" i="3"/>
  <c r="HN174" i="3"/>
  <c r="HM174" i="3"/>
  <c r="HL174" i="3"/>
  <c r="HK174" i="3"/>
  <c r="HI174" i="3"/>
  <c r="HH174" i="3"/>
  <c r="HG174" i="3"/>
  <c r="HF174" i="3"/>
  <c r="HE174" i="3"/>
  <c r="HD174" i="3"/>
  <c r="HC174" i="3"/>
  <c r="HB174" i="3"/>
  <c r="HA174" i="3"/>
  <c r="GZ174" i="3"/>
  <c r="GY174" i="3"/>
  <c r="GX174" i="3"/>
  <c r="GW174" i="3"/>
  <c r="GV174" i="3"/>
  <c r="GU174" i="3"/>
  <c r="GT174" i="3"/>
  <c r="GS174" i="3"/>
  <c r="GR174" i="3"/>
  <c r="GQ174" i="3"/>
  <c r="GP174" i="3"/>
  <c r="GO174" i="3"/>
  <c r="GN174" i="3"/>
  <c r="GM174" i="3"/>
  <c r="GL174" i="3"/>
  <c r="GK174" i="3"/>
  <c r="GJ174" i="3"/>
  <c r="GI174" i="3"/>
  <c r="GH174" i="3"/>
  <c r="GG174" i="3"/>
  <c r="GF174" i="3"/>
  <c r="GE174" i="3"/>
  <c r="GD174" i="3"/>
  <c r="GC174" i="3"/>
  <c r="GB174" i="3"/>
  <c r="GA174" i="3"/>
  <c r="FZ174" i="3"/>
  <c r="FY174" i="3"/>
  <c r="FX174" i="3"/>
  <c r="FW174" i="3"/>
  <c r="FV174" i="3"/>
  <c r="FU174" i="3"/>
  <c r="FT174" i="3"/>
  <c r="FS174" i="3"/>
  <c r="FR174" i="3"/>
  <c r="FQ174" i="3"/>
  <c r="FP174" i="3"/>
  <c r="FO174" i="3"/>
  <c r="FN174" i="3"/>
  <c r="FM174" i="3"/>
  <c r="FL174" i="3"/>
  <c r="FK174" i="3"/>
  <c r="FJ174" i="3"/>
  <c r="FI174" i="3"/>
  <c r="FH174" i="3"/>
  <c r="FG174" i="3"/>
  <c r="FF174" i="3"/>
  <c r="FE174" i="3"/>
  <c r="FD174" i="3"/>
  <c r="FC174" i="3"/>
  <c r="FB174" i="3"/>
  <c r="FA174" i="3"/>
  <c r="EZ174" i="3"/>
  <c r="EY174" i="3"/>
  <c r="EX174" i="3"/>
  <c r="EW174" i="3"/>
  <c r="EV174" i="3"/>
  <c r="EU174" i="3"/>
  <c r="ET174" i="3"/>
  <c r="ES174" i="3"/>
  <c r="ER174" i="3"/>
  <c r="EQ174" i="3"/>
  <c r="EP174" i="3"/>
  <c r="EO174" i="3"/>
  <c r="EN174" i="3"/>
  <c r="EM174" i="3"/>
  <c r="EL174" i="3"/>
  <c r="EK174" i="3"/>
  <c r="EJ174" i="3"/>
  <c r="EI174" i="3"/>
  <c r="EH174" i="3"/>
  <c r="EG174" i="3"/>
  <c r="EF174" i="3"/>
  <c r="EE174" i="3"/>
  <c r="ED174" i="3"/>
  <c r="EC174" i="3"/>
  <c r="EB174" i="3"/>
  <c r="EA174" i="3"/>
  <c r="DZ174" i="3"/>
  <c r="DY174" i="3"/>
  <c r="DX174" i="3"/>
  <c r="DW174" i="3"/>
  <c r="DV174" i="3"/>
  <c r="DU174" i="3"/>
  <c r="DT174" i="3"/>
  <c r="DS174" i="3"/>
  <c r="DR174" i="3"/>
  <c r="DQ174" i="3"/>
  <c r="DP174" i="3"/>
  <c r="DO174" i="3"/>
  <c r="DN174" i="3"/>
  <c r="DM174" i="3"/>
  <c r="DL174" i="3"/>
  <c r="DK174" i="3"/>
  <c r="DJ174" i="3"/>
  <c r="DI174" i="3"/>
  <c r="DH174" i="3"/>
  <c r="DG174" i="3"/>
  <c r="DF174" i="3"/>
  <c r="DE174" i="3"/>
  <c r="DD174" i="3"/>
  <c r="DC174" i="3"/>
  <c r="DB174" i="3"/>
  <c r="DA174" i="3"/>
  <c r="CZ174" i="3"/>
  <c r="CY174" i="3"/>
  <c r="CX174" i="3"/>
  <c r="CW174" i="3"/>
  <c r="CV174" i="3"/>
  <c r="CU174" i="3"/>
  <c r="CT174" i="3"/>
  <c r="CS174" i="3"/>
  <c r="CR174" i="3"/>
  <c r="CQ174" i="3"/>
  <c r="CP174" i="3"/>
  <c r="CO174" i="3"/>
  <c r="CN174" i="3"/>
  <c r="CM174" i="3"/>
  <c r="CL174" i="3"/>
  <c r="CK174" i="3"/>
  <c r="CJ174" i="3"/>
  <c r="CI174" i="3"/>
  <c r="CH174" i="3"/>
  <c r="CG174" i="3"/>
  <c r="CF174" i="3"/>
  <c r="CE174" i="3"/>
  <c r="CD174" i="3"/>
  <c r="CC174" i="3"/>
  <c r="CB174" i="3"/>
  <c r="CA174" i="3"/>
  <c r="BZ174" i="3"/>
  <c r="BY174" i="3"/>
  <c r="BX174" i="3"/>
  <c r="BW174" i="3"/>
  <c r="BV174" i="3"/>
  <c r="BU174" i="3"/>
  <c r="BT174" i="3"/>
  <c r="BS174" i="3"/>
  <c r="BR174" i="3"/>
  <c r="BQ174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NS173" i="3"/>
  <c r="NR173" i="3"/>
  <c r="NQ173" i="3"/>
  <c r="NP173" i="3"/>
  <c r="NO173" i="3"/>
  <c r="NN173" i="3"/>
  <c r="NM173" i="3"/>
  <c r="NL173" i="3"/>
  <c r="NK173" i="3"/>
  <c r="NJ173" i="3"/>
  <c r="NI173" i="3"/>
  <c r="NH173" i="3"/>
  <c r="NG173" i="3"/>
  <c r="NF173" i="3"/>
  <c r="NE173" i="3"/>
  <c r="ND173" i="3"/>
  <c r="NC173" i="3"/>
  <c r="NB173" i="3"/>
  <c r="NA173" i="3"/>
  <c r="MZ173" i="3"/>
  <c r="MY173" i="3"/>
  <c r="MX173" i="3"/>
  <c r="MW173" i="3"/>
  <c r="MV173" i="3"/>
  <c r="MU173" i="3"/>
  <c r="MT173" i="3"/>
  <c r="MS173" i="3"/>
  <c r="MR173" i="3"/>
  <c r="MQ173" i="3"/>
  <c r="MP173" i="3"/>
  <c r="MO173" i="3"/>
  <c r="MN173" i="3"/>
  <c r="MM173" i="3"/>
  <c r="ML173" i="3"/>
  <c r="MK173" i="3"/>
  <c r="MJ173" i="3"/>
  <c r="MI173" i="3"/>
  <c r="MH173" i="3"/>
  <c r="MG173" i="3"/>
  <c r="MF173" i="3"/>
  <c r="ME173" i="3"/>
  <c r="MD173" i="3"/>
  <c r="MC173" i="3"/>
  <c r="MB173" i="3"/>
  <c r="MA173" i="3"/>
  <c r="LZ173" i="3"/>
  <c r="LY173" i="3"/>
  <c r="LX173" i="3"/>
  <c r="LW173" i="3"/>
  <c r="LV173" i="3"/>
  <c r="LU173" i="3"/>
  <c r="LT173" i="3"/>
  <c r="LS173" i="3"/>
  <c r="LR173" i="3"/>
  <c r="LQ173" i="3"/>
  <c r="LP173" i="3"/>
  <c r="LO173" i="3"/>
  <c r="LN173" i="3"/>
  <c r="LM173" i="3"/>
  <c r="LL173" i="3"/>
  <c r="LK173" i="3"/>
  <c r="LJ173" i="3"/>
  <c r="LI173" i="3"/>
  <c r="LH173" i="3"/>
  <c r="LG173" i="3"/>
  <c r="LF173" i="3"/>
  <c r="LE173" i="3"/>
  <c r="LD173" i="3"/>
  <c r="LC173" i="3"/>
  <c r="LB173" i="3"/>
  <c r="LA173" i="3"/>
  <c r="KZ173" i="3"/>
  <c r="KY173" i="3"/>
  <c r="KX173" i="3"/>
  <c r="KW173" i="3"/>
  <c r="KV173" i="3"/>
  <c r="KU173" i="3"/>
  <c r="KT173" i="3"/>
  <c r="KS173" i="3"/>
  <c r="KR173" i="3"/>
  <c r="KQ173" i="3"/>
  <c r="KP173" i="3"/>
  <c r="KO173" i="3"/>
  <c r="KN173" i="3"/>
  <c r="KM173" i="3"/>
  <c r="KL173" i="3"/>
  <c r="KK173" i="3"/>
  <c r="KJ173" i="3"/>
  <c r="KI173" i="3"/>
  <c r="KH173" i="3"/>
  <c r="KG173" i="3"/>
  <c r="KF173" i="3"/>
  <c r="KE173" i="3"/>
  <c r="KD173" i="3"/>
  <c r="KC173" i="3"/>
  <c r="KB173" i="3"/>
  <c r="KA173" i="3"/>
  <c r="JZ173" i="3"/>
  <c r="JY173" i="3"/>
  <c r="JX173" i="3"/>
  <c r="JW173" i="3"/>
  <c r="JV173" i="3"/>
  <c r="JU173" i="3"/>
  <c r="JT173" i="3"/>
  <c r="JS173" i="3"/>
  <c r="JR173" i="3"/>
  <c r="JQ173" i="3"/>
  <c r="JP173" i="3"/>
  <c r="JO173" i="3"/>
  <c r="JN173" i="3"/>
  <c r="JM173" i="3"/>
  <c r="JL173" i="3"/>
  <c r="JK173" i="3"/>
  <c r="JJ173" i="3"/>
  <c r="JI173" i="3"/>
  <c r="JH173" i="3"/>
  <c r="JG173" i="3"/>
  <c r="JF173" i="3"/>
  <c r="JE173" i="3"/>
  <c r="JD173" i="3"/>
  <c r="JC173" i="3"/>
  <c r="JB173" i="3"/>
  <c r="JA173" i="3"/>
  <c r="IZ173" i="3"/>
  <c r="IY173" i="3"/>
  <c r="IX173" i="3"/>
  <c r="IW173" i="3"/>
  <c r="IV173" i="3"/>
  <c r="IU173" i="3"/>
  <c r="IT173" i="3"/>
  <c r="IS173" i="3"/>
  <c r="IR173" i="3"/>
  <c r="IQ173" i="3"/>
  <c r="IP173" i="3"/>
  <c r="IO173" i="3"/>
  <c r="IM173" i="3"/>
  <c r="IL173" i="3"/>
  <c r="IK173" i="3"/>
  <c r="IJ173" i="3"/>
  <c r="II173" i="3"/>
  <c r="IH173" i="3"/>
  <c r="IG173" i="3"/>
  <c r="IF173" i="3"/>
  <c r="IE173" i="3"/>
  <c r="ID173" i="3"/>
  <c r="IC173" i="3"/>
  <c r="IB173" i="3"/>
  <c r="IA173" i="3"/>
  <c r="HZ173" i="3"/>
  <c r="HY173" i="3"/>
  <c r="HX173" i="3"/>
  <c r="HW173" i="3"/>
  <c r="HV173" i="3"/>
  <c r="HU173" i="3"/>
  <c r="HT173" i="3"/>
  <c r="HS173" i="3"/>
  <c r="HR173" i="3"/>
  <c r="HQ173" i="3"/>
  <c r="HP173" i="3"/>
  <c r="HO173" i="3"/>
  <c r="HN173" i="3"/>
  <c r="HM173" i="3"/>
  <c r="HL173" i="3"/>
  <c r="HK173" i="3"/>
  <c r="HI173" i="3"/>
  <c r="HH173" i="3"/>
  <c r="HG173" i="3"/>
  <c r="HF173" i="3"/>
  <c r="HE173" i="3"/>
  <c r="HD173" i="3"/>
  <c r="HC173" i="3"/>
  <c r="HB173" i="3"/>
  <c r="HA173" i="3"/>
  <c r="GZ173" i="3"/>
  <c r="GY173" i="3"/>
  <c r="GX173" i="3"/>
  <c r="GW173" i="3"/>
  <c r="GV173" i="3"/>
  <c r="GU173" i="3"/>
  <c r="GT173" i="3"/>
  <c r="GS173" i="3"/>
  <c r="GR173" i="3"/>
  <c r="GQ173" i="3"/>
  <c r="GP173" i="3"/>
  <c r="GO173" i="3"/>
  <c r="GN173" i="3"/>
  <c r="GM173" i="3"/>
  <c r="GL173" i="3"/>
  <c r="GK173" i="3"/>
  <c r="GJ173" i="3"/>
  <c r="GI173" i="3"/>
  <c r="GH173" i="3"/>
  <c r="GG173" i="3"/>
  <c r="GF173" i="3"/>
  <c r="GE173" i="3"/>
  <c r="GD173" i="3"/>
  <c r="GC173" i="3"/>
  <c r="GB173" i="3"/>
  <c r="GA173" i="3"/>
  <c r="FZ173" i="3"/>
  <c r="FY173" i="3"/>
  <c r="FX173" i="3"/>
  <c r="FW173" i="3"/>
  <c r="FV173" i="3"/>
  <c r="FU173" i="3"/>
  <c r="FT173" i="3"/>
  <c r="FS173" i="3"/>
  <c r="FR173" i="3"/>
  <c r="FQ173" i="3"/>
  <c r="FP173" i="3"/>
  <c r="FO173" i="3"/>
  <c r="FN173" i="3"/>
  <c r="FM173" i="3"/>
  <c r="FL173" i="3"/>
  <c r="FK173" i="3"/>
  <c r="FJ173" i="3"/>
  <c r="FI173" i="3"/>
  <c r="FH173" i="3"/>
  <c r="FG173" i="3"/>
  <c r="FF173" i="3"/>
  <c r="FE173" i="3"/>
  <c r="FD173" i="3"/>
  <c r="FC173" i="3"/>
  <c r="FB173" i="3"/>
  <c r="FA173" i="3"/>
  <c r="EZ173" i="3"/>
  <c r="EY173" i="3"/>
  <c r="EX173" i="3"/>
  <c r="EW173" i="3"/>
  <c r="EV173" i="3"/>
  <c r="EU173" i="3"/>
  <c r="ET173" i="3"/>
  <c r="ES173" i="3"/>
  <c r="ER173" i="3"/>
  <c r="EQ173" i="3"/>
  <c r="EP173" i="3"/>
  <c r="EO173" i="3"/>
  <c r="EN173" i="3"/>
  <c r="EM173" i="3"/>
  <c r="EL173" i="3"/>
  <c r="EK173" i="3"/>
  <c r="EJ173" i="3"/>
  <c r="EI173" i="3"/>
  <c r="EH173" i="3"/>
  <c r="EG173" i="3"/>
  <c r="EF173" i="3"/>
  <c r="EE173" i="3"/>
  <c r="ED173" i="3"/>
  <c r="EC173" i="3"/>
  <c r="EB173" i="3"/>
  <c r="EA173" i="3"/>
  <c r="DZ173" i="3"/>
  <c r="DY173" i="3"/>
  <c r="DX173" i="3"/>
  <c r="DW173" i="3"/>
  <c r="DV173" i="3"/>
  <c r="DU173" i="3"/>
  <c r="DT173" i="3"/>
  <c r="DS173" i="3"/>
  <c r="DR173" i="3"/>
  <c r="DQ173" i="3"/>
  <c r="DP173" i="3"/>
  <c r="DO173" i="3"/>
  <c r="DN173" i="3"/>
  <c r="DM173" i="3"/>
  <c r="DL173" i="3"/>
  <c r="DK173" i="3"/>
  <c r="DJ173" i="3"/>
  <c r="DI173" i="3"/>
  <c r="DH173" i="3"/>
  <c r="DG173" i="3"/>
  <c r="DF173" i="3"/>
  <c r="DE173" i="3"/>
  <c r="DD173" i="3"/>
  <c r="DC173" i="3"/>
  <c r="DB173" i="3"/>
  <c r="DA173" i="3"/>
  <c r="CZ173" i="3"/>
  <c r="CY173" i="3"/>
  <c r="CX173" i="3"/>
  <c r="CW173" i="3"/>
  <c r="CV173" i="3"/>
  <c r="CU173" i="3"/>
  <c r="CT173" i="3"/>
  <c r="CS173" i="3"/>
  <c r="CR173" i="3"/>
  <c r="CQ173" i="3"/>
  <c r="CP173" i="3"/>
  <c r="CO173" i="3"/>
  <c r="CN173" i="3"/>
  <c r="CM173" i="3"/>
  <c r="CL173" i="3"/>
  <c r="CK173" i="3"/>
  <c r="CJ173" i="3"/>
  <c r="CI173" i="3"/>
  <c r="CH173" i="3"/>
  <c r="CG173" i="3"/>
  <c r="CF173" i="3"/>
  <c r="CE173" i="3"/>
  <c r="CD173" i="3"/>
  <c r="CC173" i="3"/>
  <c r="CB173" i="3"/>
  <c r="CA173" i="3"/>
  <c r="BZ173" i="3"/>
  <c r="BY173" i="3"/>
  <c r="BX173" i="3"/>
  <c r="BW173" i="3"/>
  <c r="BV173" i="3"/>
  <c r="BU173" i="3"/>
  <c r="BT173" i="3"/>
  <c r="BS173" i="3"/>
  <c r="BR173" i="3"/>
  <c r="BQ173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PD172" i="3"/>
  <c r="PB172" i="3" s="1"/>
  <c r="PC172" i="3"/>
  <c r="OZ172" i="3"/>
  <c r="OY172" i="3"/>
  <c r="OV172" i="3"/>
  <c r="OT172" i="3" s="1"/>
  <c r="OU172" i="3"/>
  <c r="OR172" i="3"/>
  <c r="OP172" i="3" s="1"/>
  <c r="OQ172" i="3"/>
  <c r="ON172" i="3"/>
  <c r="OL172" i="3" s="1"/>
  <c r="OM172" i="3"/>
  <c r="OJ172" i="3"/>
  <c r="OI172" i="3"/>
  <c r="OF172" i="3"/>
  <c r="OD172" i="3" s="1"/>
  <c r="OE172" i="3"/>
  <c r="OB172" i="3"/>
  <c r="OA172" i="3"/>
  <c r="NX172" i="3"/>
  <c r="NW172" i="3"/>
  <c r="NT172" i="3"/>
  <c r="PD171" i="3"/>
  <c r="PC171" i="3"/>
  <c r="OZ171" i="3"/>
  <c r="OX171" i="3" s="1"/>
  <c r="OY171" i="3"/>
  <c r="OV171" i="3"/>
  <c r="OT171" i="3" s="1"/>
  <c r="OU171" i="3"/>
  <c r="OR171" i="3"/>
  <c r="OP171" i="3" s="1"/>
  <c r="OQ171" i="3"/>
  <c r="ON171" i="3"/>
  <c r="OM171" i="3"/>
  <c r="OJ171" i="3"/>
  <c r="OH171" i="3" s="1"/>
  <c r="OI171" i="3"/>
  <c r="OF171" i="3"/>
  <c r="OD171" i="3" s="1"/>
  <c r="OE171" i="3"/>
  <c r="OB171" i="3"/>
  <c r="NZ171" i="3" s="1"/>
  <c r="OA171" i="3"/>
  <c r="NX171" i="3"/>
  <c r="NV171" i="3" s="1"/>
  <c r="NW171" i="3"/>
  <c r="NT171" i="3"/>
  <c r="NS168" i="3"/>
  <c r="NR168" i="3"/>
  <c r="NQ168" i="3"/>
  <c r="NP168" i="3"/>
  <c r="NO168" i="3"/>
  <c r="NN168" i="3"/>
  <c r="NM168" i="3"/>
  <c r="NL168" i="3"/>
  <c r="NK168" i="3"/>
  <c r="NJ168" i="3"/>
  <c r="NI168" i="3"/>
  <c r="NH168" i="3"/>
  <c r="NG168" i="3"/>
  <c r="NF168" i="3"/>
  <c r="NE168" i="3"/>
  <c r="ND168" i="3"/>
  <c r="NC168" i="3"/>
  <c r="NB168" i="3"/>
  <c r="NA168" i="3"/>
  <c r="MZ168" i="3"/>
  <c r="MY168" i="3"/>
  <c r="MX168" i="3"/>
  <c r="MW168" i="3"/>
  <c r="MV168" i="3"/>
  <c r="MU168" i="3"/>
  <c r="MT168" i="3"/>
  <c r="MS168" i="3"/>
  <c r="MR168" i="3"/>
  <c r="MQ168" i="3"/>
  <c r="MP168" i="3"/>
  <c r="MO168" i="3"/>
  <c r="MN168" i="3"/>
  <c r="MM168" i="3"/>
  <c r="ML168" i="3"/>
  <c r="MK168" i="3"/>
  <c r="MJ168" i="3"/>
  <c r="MI168" i="3"/>
  <c r="MH168" i="3"/>
  <c r="MG168" i="3"/>
  <c r="MF168" i="3"/>
  <c r="ME168" i="3"/>
  <c r="MD168" i="3"/>
  <c r="MC168" i="3"/>
  <c r="MB168" i="3"/>
  <c r="MA168" i="3"/>
  <c r="LZ168" i="3"/>
  <c r="LY168" i="3"/>
  <c r="LX168" i="3"/>
  <c r="LW168" i="3"/>
  <c r="LV168" i="3"/>
  <c r="LU168" i="3"/>
  <c r="LT168" i="3"/>
  <c r="LS168" i="3"/>
  <c r="LR168" i="3"/>
  <c r="LQ168" i="3"/>
  <c r="LP168" i="3"/>
  <c r="LO168" i="3"/>
  <c r="LN168" i="3"/>
  <c r="LM168" i="3"/>
  <c r="LL168" i="3"/>
  <c r="LK168" i="3"/>
  <c r="LJ168" i="3"/>
  <c r="LI168" i="3"/>
  <c r="LH168" i="3"/>
  <c r="LG168" i="3"/>
  <c r="LF168" i="3"/>
  <c r="LE168" i="3"/>
  <c r="LD168" i="3"/>
  <c r="LC168" i="3"/>
  <c r="LB168" i="3"/>
  <c r="LA168" i="3"/>
  <c r="KZ168" i="3"/>
  <c r="KY168" i="3"/>
  <c r="KX168" i="3"/>
  <c r="KW168" i="3"/>
  <c r="KV168" i="3"/>
  <c r="KU168" i="3"/>
  <c r="KT168" i="3"/>
  <c r="KS168" i="3"/>
  <c r="KR168" i="3"/>
  <c r="KQ168" i="3"/>
  <c r="KP168" i="3"/>
  <c r="KO168" i="3"/>
  <c r="KN168" i="3"/>
  <c r="KM168" i="3"/>
  <c r="KL168" i="3"/>
  <c r="KK168" i="3"/>
  <c r="KJ168" i="3"/>
  <c r="KI168" i="3"/>
  <c r="KH168" i="3"/>
  <c r="KG168" i="3"/>
  <c r="KF168" i="3"/>
  <c r="KE168" i="3"/>
  <c r="KD168" i="3"/>
  <c r="KC168" i="3"/>
  <c r="KB168" i="3"/>
  <c r="KA168" i="3"/>
  <c r="JZ168" i="3"/>
  <c r="JY168" i="3"/>
  <c r="JX168" i="3"/>
  <c r="JW168" i="3"/>
  <c r="JV168" i="3"/>
  <c r="JU168" i="3"/>
  <c r="JT168" i="3"/>
  <c r="JS168" i="3"/>
  <c r="JR168" i="3"/>
  <c r="JQ168" i="3"/>
  <c r="JP168" i="3"/>
  <c r="JO168" i="3"/>
  <c r="JN168" i="3"/>
  <c r="JM168" i="3"/>
  <c r="JL168" i="3"/>
  <c r="JK168" i="3"/>
  <c r="JJ168" i="3"/>
  <c r="JI168" i="3"/>
  <c r="JH168" i="3"/>
  <c r="JG168" i="3"/>
  <c r="JF168" i="3"/>
  <c r="JE168" i="3"/>
  <c r="JD168" i="3"/>
  <c r="JC168" i="3"/>
  <c r="JB168" i="3"/>
  <c r="JA168" i="3"/>
  <c r="IZ168" i="3"/>
  <c r="IY168" i="3"/>
  <c r="IX168" i="3"/>
  <c r="IW168" i="3"/>
  <c r="IV168" i="3"/>
  <c r="IU168" i="3"/>
  <c r="IT168" i="3"/>
  <c r="IS168" i="3"/>
  <c r="IR168" i="3"/>
  <c r="IQ168" i="3"/>
  <c r="IP168" i="3"/>
  <c r="IO168" i="3"/>
  <c r="IN168" i="3"/>
  <c r="IM168" i="3"/>
  <c r="IL168" i="3"/>
  <c r="IK168" i="3"/>
  <c r="IJ168" i="3"/>
  <c r="II168" i="3"/>
  <c r="IH168" i="3"/>
  <c r="IG168" i="3"/>
  <c r="IF168" i="3"/>
  <c r="IE168" i="3"/>
  <c r="ID168" i="3"/>
  <c r="IC168" i="3"/>
  <c r="IB168" i="3"/>
  <c r="IA168" i="3"/>
  <c r="HZ168" i="3"/>
  <c r="HY168" i="3"/>
  <c r="HX168" i="3"/>
  <c r="HW168" i="3"/>
  <c r="HV168" i="3"/>
  <c r="HU168" i="3"/>
  <c r="HT168" i="3"/>
  <c r="HS168" i="3"/>
  <c r="HR168" i="3"/>
  <c r="HQ168" i="3"/>
  <c r="HP168" i="3"/>
  <c r="HO168" i="3"/>
  <c r="HN168" i="3"/>
  <c r="HM168" i="3"/>
  <c r="HL168" i="3"/>
  <c r="HK168" i="3"/>
  <c r="HI168" i="3"/>
  <c r="HH168" i="3"/>
  <c r="HG168" i="3"/>
  <c r="HF168" i="3"/>
  <c r="HE168" i="3"/>
  <c r="HD168" i="3"/>
  <c r="HC168" i="3"/>
  <c r="HB168" i="3"/>
  <c r="HA168" i="3"/>
  <c r="GZ168" i="3"/>
  <c r="GY168" i="3"/>
  <c r="GX168" i="3"/>
  <c r="GW168" i="3"/>
  <c r="GV168" i="3"/>
  <c r="GU168" i="3"/>
  <c r="GT168" i="3"/>
  <c r="GS168" i="3"/>
  <c r="GR168" i="3"/>
  <c r="GQ168" i="3"/>
  <c r="GP168" i="3"/>
  <c r="GO168" i="3"/>
  <c r="GN168" i="3"/>
  <c r="GM168" i="3"/>
  <c r="GL168" i="3"/>
  <c r="GK168" i="3"/>
  <c r="GJ168" i="3"/>
  <c r="GI168" i="3"/>
  <c r="GH168" i="3"/>
  <c r="GG168" i="3"/>
  <c r="GF168" i="3"/>
  <c r="GE168" i="3"/>
  <c r="GD168" i="3"/>
  <c r="GC168" i="3"/>
  <c r="GB168" i="3"/>
  <c r="GA168" i="3"/>
  <c r="FZ168" i="3"/>
  <c r="FY168" i="3"/>
  <c r="FX168" i="3"/>
  <c r="FW168" i="3"/>
  <c r="FV168" i="3"/>
  <c r="FU168" i="3"/>
  <c r="FT168" i="3"/>
  <c r="FS168" i="3"/>
  <c r="FR168" i="3"/>
  <c r="FQ168" i="3"/>
  <c r="FP168" i="3"/>
  <c r="FO168" i="3"/>
  <c r="FN168" i="3"/>
  <c r="FM168" i="3"/>
  <c r="FL168" i="3"/>
  <c r="FK168" i="3"/>
  <c r="FJ168" i="3"/>
  <c r="FI168" i="3"/>
  <c r="FH168" i="3"/>
  <c r="FG168" i="3"/>
  <c r="FF168" i="3"/>
  <c r="FE168" i="3"/>
  <c r="FD168" i="3"/>
  <c r="FC168" i="3"/>
  <c r="FB168" i="3"/>
  <c r="FA168" i="3"/>
  <c r="EZ168" i="3"/>
  <c r="EY168" i="3"/>
  <c r="EX168" i="3"/>
  <c r="EW168" i="3"/>
  <c r="EV168" i="3"/>
  <c r="EU168" i="3"/>
  <c r="ET168" i="3"/>
  <c r="ES168" i="3"/>
  <c r="ER168" i="3"/>
  <c r="EQ168" i="3"/>
  <c r="EP168" i="3"/>
  <c r="EO168" i="3"/>
  <c r="EN168" i="3"/>
  <c r="EM168" i="3"/>
  <c r="EL168" i="3"/>
  <c r="EK168" i="3"/>
  <c r="EJ168" i="3"/>
  <c r="EI168" i="3"/>
  <c r="EH168" i="3"/>
  <c r="EG168" i="3"/>
  <c r="EF168" i="3"/>
  <c r="EE168" i="3"/>
  <c r="ED168" i="3"/>
  <c r="EC168" i="3"/>
  <c r="EB168" i="3"/>
  <c r="EA168" i="3"/>
  <c r="DZ168" i="3"/>
  <c r="DY168" i="3"/>
  <c r="DX168" i="3"/>
  <c r="DW168" i="3"/>
  <c r="DV168" i="3"/>
  <c r="DU168" i="3"/>
  <c r="DT168" i="3"/>
  <c r="DS168" i="3"/>
  <c r="DR168" i="3"/>
  <c r="DQ168" i="3"/>
  <c r="DP168" i="3"/>
  <c r="DO168" i="3"/>
  <c r="DN168" i="3"/>
  <c r="DM168" i="3"/>
  <c r="DL168" i="3"/>
  <c r="DK168" i="3"/>
  <c r="DJ168" i="3"/>
  <c r="DI168" i="3"/>
  <c r="DH168" i="3"/>
  <c r="DG168" i="3"/>
  <c r="DF168" i="3"/>
  <c r="DE168" i="3"/>
  <c r="DD168" i="3"/>
  <c r="DC168" i="3"/>
  <c r="DB168" i="3"/>
  <c r="DA168" i="3"/>
  <c r="CZ168" i="3"/>
  <c r="CY168" i="3"/>
  <c r="CX168" i="3"/>
  <c r="CW168" i="3"/>
  <c r="CV168" i="3"/>
  <c r="CU168" i="3"/>
  <c r="CT168" i="3"/>
  <c r="CS168" i="3"/>
  <c r="CR168" i="3"/>
  <c r="CQ168" i="3"/>
  <c r="CP168" i="3"/>
  <c r="CO168" i="3"/>
  <c r="CN168" i="3"/>
  <c r="CM168" i="3"/>
  <c r="CL168" i="3"/>
  <c r="CK168" i="3"/>
  <c r="CJ168" i="3"/>
  <c r="CI168" i="3"/>
  <c r="CH168" i="3"/>
  <c r="CG168" i="3"/>
  <c r="CF168" i="3"/>
  <c r="CE168" i="3"/>
  <c r="CD168" i="3"/>
  <c r="CC168" i="3"/>
  <c r="CB168" i="3"/>
  <c r="CA168" i="3"/>
  <c r="BZ168" i="3"/>
  <c r="BY168" i="3"/>
  <c r="BX168" i="3"/>
  <c r="BW168" i="3"/>
  <c r="BV168" i="3"/>
  <c r="BU168" i="3"/>
  <c r="BT168" i="3"/>
  <c r="BS168" i="3"/>
  <c r="BR168" i="3"/>
  <c r="BQ168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NS167" i="3"/>
  <c r="NR167" i="3"/>
  <c r="NQ167" i="3"/>
  <c r="NP167" i="3"/>
  <c r="NO167" i="3"/>
  <c r="NN167" i="3"/>
  <c r="NM167" i="3"/>
  <c r="NL167" i="3"/>
  <c r="NK167" i="3"/>
  <c r="NJ167" i="3"/>
  <c r="NI167" i="3"/>
  <c r="NH167" i="3"/>
  <c r="NG167" i="3"/>
  <c r="NF167" i="3"/>
  <c r="NE167" i="3"/>
  <c r="ND167" i="3"/>
  <c r="NC167" i="3"/>
  <c r="NB167" i="3"/>
  <c r="NA167" i="3"/>
  <c r="MZ167" i="3"/>
  <c r="MY167" i="3"/>
  <c r="MX167" i="3"/>
  <c r="MW167" i="3"/>
  <c r="MV167" i="3"/>
  <c r="MU167" i="3"/>
  <c r="MT167" i="3"/>
  <c r="MS167" i="3"/>
  <c r="MR167" i="3"/>
  <c r="MQ167" i="3"/>
  <c r="MP167" i="3"/>
  <c r="MO167" i="3"/>
  <c r="MN167" i="3"/>
  <c r="MM167" i="3"/>
  <c r="ML167" i="3"/>
  <c r="MK167" i="3"/>
  <c r="MJ167" i="3"/>
  <c r="MI167" i="3"/>
  <c r="MH167" i="3"/>
  <c r="MG167" i="3"/>
  <c r="MF167" i="3"/>
  <c r="ME167" i="3"/>
  <c r="MD167" i="3"/>
  <c r="MC167" i="3"/>
  <c r="MB167" i="3"/>
  <c r="MA167" i="3"/>
  <c r="LZ167" i="3"/>
  <c r="LY167" i="3"/>
  <c r="LX167" i="3"/>
  <c r="LW167" i="3"/>
  <c r="LV167" i="3"/>
  <c r="LU167" i="3"/>
  <c r="LT167" i="3"/>
  <c r="LS167" i="3"/>
  <c r="LR167" i="3"/>
  <c r="LQ167" i="3"/>
  <c r="LP167" i="3"/>
  <c r="LO167" i="3"/>
  <c r="LN167" i="3"/>
  <c r="LM167" i="3"/>
  <c r="LL167" i="3"/>
  <c r="LK167" i="3"/>
  <c r="LJ167" i="3"/>
  <c r="LI167" i="3"/>
  <c r="LH167" i="3"/>
  <c r="LG167" i="3"/>
  <c r="LF167" i="3"/>
  <c r="LE167" i="3"/>
  <c r="LD167" i="3"/>
  <c r="LC167" i="3"/>
  <c r="LB167" i="3"/>
  <c r="LA167" i="3"/>
  <c r="KZ167" i="3"/>
  <c r="KY167" i="3"/>
  <c r="KX167" i="3"/>
  <c r="KW167" i="3"/>
  <c r="KV167" i="3"/>
  <c r="KU167" i="3"/>
  <c r="KT167" i="3"/>
  <c r="KS167" i="3"/>
  <c r="KR167" i="3"/>
  <c r="KQ167" i="3"/>
  <c r="KP167" i="3"/>
  <c r="KO167" i="3"/>
  <c r="KN167" i="3"/>
  <c r="KM167" i="3"/>
  <c r="KL167" i="3"/>
  <c r="KK167" i="3"/>
  <c r="KJ167" i="3"/>
  <c r="KI167" i="3"/>
  <c r="KH167" i="3"/>
  <c r="KG167" i="3"/>
  <c r="KF167" i="3"/>
  <c r="KE167" i="3"/>
  <c r="KD167" i="3"/>
  <c r="KC167" i="3"/>
  <c r="KB167" i="3"/>
  <c r="KA167" i="3"/>
  <c r="JZ167" i="3"/>
  <c r="JY167" i="3"/>
  <c r="JX167" i="3"/>
  <c r="JW167" i="3"/>
  <c r="JV167" i="3"/>
  <c r="JU167" i="3"/>
  <c r="JT167" i="3"/>
  <c r="JS167" i="3"/>
  <c r="JR167" i="3"/>
  <c r="JQ167" i="3"/>
  <c r="JP167" i="3"/>
  <c r="JO167" i="3"/>
  <c r="JN167" i="3"/>
  <c r="JM167" i="3"/>
  <c r="JL167" i="3"/>
  <c r="JK167" i="3"/>
  <c r="JJ167" i="3"/>
  <c r="JI167" i="3"/>
  <c r="JH167" i="3"/>
  <c r="JG167" i="3"/>
  <c r="JF167" i="3"/>
  <c r="JE167" i="3"/>
  <c r="JD167" i="3"/>
  <c r="JC167" i="3"/>
  <c r="JB167" i="3"/>
  <c r="JA167" i="3"/>
  <c r="IZ167" i="3"/>
  <c r="IY167" i="3"/>
  <c r="IX167" i="3"/>
  <c r="IW167" i="3"/>
  <c r="IV167" i="3"/>
  <c r="IU167" i="3"/>
  <c r="IT167" i="3"/>
  <c r="IS167" i="3"/>
  <c r="IR167" i="3"/>
  <c r="IQ167" i="3"/>
  <c r="IP167" i="3"/>
  <c r="IO167" i="3"/>
  <c r="IN167" i="3"/>
  <c r="IM167" i="3"/>
  <c r="IL167" i="3"/>
  <c r="IK167" i="3"/>
  <c r="IJ167" i="3"/>
  <c r="II167" i="3"/>
  <c r="IH167" i="3"/>
  <c r="IG167" i="3"/>
  <c r="IF167" i="3"/>
  <c r="IE167" i="3"/>
  <c r="ID167" i="3"/>
  <c r="IC167" i="3"/>
  <c r="IB167" i="3"/>
  <c r="IA167" i="3"/>
  <c r="HZ167" i="3"/>
  <c r="HY167" i="3"/>
  <c r="HX167" i="3"/>
  <c r="HW167" i="3"/>
  <c r="HV167" i="3"/>
  <c r="HU167" i="3"/>
  <c r="HT167" i="3"/>
  <c r="HS167" i="3"/>
  <c r="HR167" i="3"/>
  <c r="HQ167" i="3"/>
  <c r="HP167" i="3"/>
  <c r="HO167" i="3"/>
  <c r="HN167" i="3"/>
  <c r="HM167" i="3"/>
  <c r="HL167" i="3"/>
  <c r="HK167" i="3"/>
  <c r="HI167" i="3"/>
  <c r="HH167" i="3"/>
  <c r="HG167" i="3"/>
  <c r="HF167" i="3"/>
  <c r="HE167" i="3"/>
  <c r="HD167" i="3"/>
  <c r="HC167" i="3"/>
  <c r="HB167" i="3"/>
  <c r="HA167" i="3"/>
  <c r="GZ167" i="3"/>
  <c r="GY167" i="3"/>
  <c r="GX167" i="3"/>
  <c r="GW167" i="3"/>
  <c r="GV167" i="3"/>
  <c r="GU167" i="3"/>
  <c r="GT167" i="3"/>
  <c r="GS167" i="3"/>
  <c r="GR167" i="3"/>
  <c r="GQ167" i="3"/>
  <c r="GP167" i="3"/>
  <c r="GO167" i="3"/>
  <c r="GN167" i="3"/>
  <c r="GM167" i="3"/>
  <c r="GL167" i="3"/>
  <c r="GK167" i="3"/>
  <c r="GJ167" i="3"/>
  <c r="GI167" i="3"/>
  <c r="GH167" i="3"/>
  <c r="GG167" i="3"/>
  <c r="GF167" i="3"/>
  <c r="GE167" i="3"/>
  <c r="GD167" i="3"/>
  <c r="GC167" i="3"/>
  <c r="GB167" i="3"/>
  <c r="GA167" i="3"/>
  <c r="FZ167" i="3"/>
  <c r="FY167" i="3"/>
  <c r="FX167" i="3"/>
  <c r="FW167" i="3"/>
  <c r="FV167" i="3"/>
  <c r="FU167" i="3"/>
  <c r="FT167" i="3"/>
  <c r="FS167" i="3"/>
  <c r="FR167" i="3"/>
  <c r="FQ167" i="3"/>
  <c r="FP167" i="3"/>
  <c r="FO167" i="3"/>
  <c r="FN167" i="3"/>
  <c r="FM167" i="3"/>
  <c r="FL167" i="3"/>
  <c r="FK167" i="3"/>
  <c r="FJ167" i="3"/>
  <c r="FI167" i="3"/>
  <c r="FH167" i="3"/>
  <c r="FG167" i="3"/>
  <c r="FF167" i="3"/>
  <c r="FE167" i="3"/>
  <c r="FD167" i="3"/>
  <c r="FC167" i="3"/>
  <c r="FB167" i="3"/>
  <c r="FA167" i="3"/>
  <c r="EZ167" i="3"/>
  <c r="EY167" i="3"/>
  <c r="EX167" i="3"/>
  <c r="EW167" i="3"/>
  <c r="EV167" i="3"/>
  <c r="EU167" i="3"/>
  <c r="ET167" i="3"/>
  <c r="ES167" i="3"/>
  <c r="ER167" i="3"/>
  <c r="EQ167" i="3"/>
  <c r="EP167" i="3"/>
  <c r="EO167" i="3"/>
  <c r="EN167" i="3"/>
  <c r="EM167" i="3"/>
  <c r="EL167" i="3"/>
  <c r="EK167" i="3"/>
  <c r="EJ167" i="3"/>
  <c r="EI167" i="3"/>
  <c r="EH167" i="3"/>
  <c r="EG167" i="3"/>
  <c r="EF167" i="3"/>
  <c r="EE167" i="3"/>
  <c r="ED167" i="3"/>
  <c r="EC167" i="3"/>
  <c r="EB167" i="3"/>
  <c r="EA167" i="3"/>
  <c r="DZ167" i="3"/>
  <c r="DY167" i="3"/>
  <c r="DX167" i="3"/>
  <c r="DW167" i="3"/>
  <c r="DV167" i="3"/>
  <c r="DU167" i="3"/>
  <c r="DT167" i="3"/>
  <c r="DS167" i="3"/>
  <c r="DR167" i="3"/>
  <c r="DQ167" i="3"/>
  <c r="DP167" i="3"/>
  <c r="DO167" i="3"/>
  <c r="DN167" i="3"/>
  <c r="DM167" i="3"/>
  <c r="DL167" i="3"/>
  <c r="DK167" i="3"/>
  <c r="DJ167" i="3"/>
  <c r="DI167" i="3"/>
  <c r="DH167" i="3"/>
  <c r="DG167" i="3"/>
  <c r="DF167" i="3"/>
  <c r="DE167" i="3"/>
  <c r="DD167" i="3"/>
  <c r="DC167" i="3"/>
  <c r="DB167" i="3"/>
  <c r="DA167" i="3"/>
  <c r="CZ167" i="3"/>
  <c r="CY167" i="3"/>
  <c r="CX167" i="3"/>
  <c r="CW167" i="3"/>
  <c r="CV167" i="3"/>
  <c r="CU167" i="3"/>
  <c r="CT167" i="3"/>
  <c r="CS167" i="3"/>
  <c r="CR167" i="3"/>
  <c r="CQ167" i="3"/>
  <c r="CP167" i="3"/>
  <c r="CO167" i="3"/>
  <c r="CN167" i="3"/>
  <c r="CM167" i="3"/>
  <c r="CL167" i="3"/>
  <c r="CK167" i="3"/>
  <c r="CJ167" i="3"/>
  <c r="CI167" i="3"/>
  <c r="CH167" i="3"/>
  <c r="CG167" i="3"/>
  <c r="CF167" i="3"/>
  <c r="CE167" i="3"/>
  <c r="CD167" i="3"/>
  <c r="CC167" i="3"/>
  <c r="CB167" i="3"/>
  <c r="CA167" i="3"/>
  <c r="BZ167" i="3"/>
  <c r="BY167" i="3"/>
  <c r="BX167" i="3"/>
  <c r="BW167" i="3"/>
  <c r="BV167" i="3"/>
  <c r="BU167" i="3"/>
  <c r="BT167" i="3"/>
  <c r="BS167" i="3"/>
  <c r="BR167" i="3"/>
  <c r="BQ167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PD166" i="3"/>
  <c r="PB166" i="3" s="1"/>
  <c r="PC166" i="3"/>
  <c r="OZ166" i="3"/>
  <c r="OY166" i="3"/>
  <c r="OV166" i="3"/>
  <c r="OT166" i="3" s="1"/>
  <c r="OU166" i="3"/>
  <c r="OR166" i="3"/>
  <c r="OP166" i="3" s="1"/>
  <c r="OQ166" i="3"/>
  <c r="ON166" i="3"/>
  <c r="OL166" i="3" s="1"/>
  <c r="OM166" i="3"/>
  <c r="OJ166" i="3"/>
  <c r="OI166" i="3"/>
  <c r="OF166" i="3"/>
  <c r="OD166" i="3" s="1"/>
  <c r="OE166" i="3"/>
  <c r="OB166" i="3"/>
  <c r="OA166" i="3"/>
  <c r="NX166" i="3"/>
  <c r="NW166" i="3"/>
  <c r="NT166" i="3"/>
  <c r="PD165" i="3"/>
  <c r="PB165" i="3" s="1"/>
  <c r="PC165" i="3"/>
  <c r="OZ165" i="3"/>
  <c r="OX165" i="3" s="1"/>
  <c r="OY165" i="3"/>
  <c r="OV165" i="3"/>
  <c r="OU165" i="3"/>
  <c r="OR165" i="3"/>
  <c r="OP165" i="3" s="1"/>
  <c r="OQ165" i="3"/>
  <c r="ON165" i="3"/>
  <c r="OL165" i="3" s="1"/>
  <c r="OM165" i="3"/>
  <c r="OJ165" i="3"/>
  <c r="OH165" i="3" s="1"/>
  <c r="OI165" i="3"/>
  <c r="OF165" i="3"/>
  <c r="OE165" i="3"/>
  <c r="OB165" i="3"/>
  <c r="NZ165" i="3" s="1"/>
  <c r="OA165" i="3"/>
  <c r="NX165" i="3"/>
  <c r="NV165" i="3" s="1"/>
  <c r="NW165" i="3"/>
  <c r="NT165" i="3"/>
  <c r="NS158" i="3"/>
  <c r="NR158" i="3"/>
  <c r="NQ158" i="3"/>
  <c r="NP158" i="3"/>
  <c r="NO158" i="3"/>
  <c r="NN158" i="3"/>
  <c r="NM158" i="3"/>
  <c r="NL158" i="3"/>
  <c r="NK158" i="3"/>
  <c r="NJ158" i="3"/>
  <c r="NI158" i="3"/>
  <c r="NH158" i="3"/>
  <c r="NG158" i="3"/>
  <c r="NF158" i="3"/>
  <c r="NE158" i="3"/>
  <c r="ND158" i="3"/>
  <c r="NC158" i="3"/>
  <c r="NB158" i="3"/>
  <c r="NA158" i="3"/>
  <c r="MZ158" i="3"/>
  <c r="MY158" i="3"/>
  <c r="MX158" i="3"/>
  <c r="MW158" i="3"/>
  <c r="MV158" i="3"/>
  <c r="MU158" i="3"/>
  <c r="MT158" i="3"/>
  <c r="MS158" i="3"/>
  <c r="MR158" i="3"/>
  <c r="MQ158" i="3"/>
  <c r="MP158" i="3"/>
  <c r="MO158" i="3"/>
  <c r="MN158" i="3"/>
  <c r="MM158" i="3"/>
  <c r="ML158" i="3"/>
  <c r="MK158" i="3"/>
  <c r="MJ158" i="3"/>
  <c r="MI158" i="3"/>
  <c r="MH158" i="3"/>
  <c r="MG158" i="3"/>
  <c r="MF158" i="3"/>
  <c r="ME158" i="3"/>
  <c r="MD158" i="3"/>
  <c r="MC158" i="3"/>
  <c r="MB158" i="3"/>
  <c r="MA158" i="3"/>
  <c r="LZ158" i="3"/>
  <c r="LY158" i="3"/>
  <c r="LX158" i="3"/>
  <c r="LW158" i="3"/>
  <c r="LV158" i="3"/>
  <c r="LU158" i="3"/>
  <c r="LT158" i="3"/>
  <c r="LS158" i="3"/>
  <c r="LR158" i="3"/>
  <c r="LQ158" i="3"/>
  <c r="LP158" i="3"/>
  <c r="LO158" i="3"/>
  <c r="LN158" i="3"/>
  <c r="LM158" i="3"/>
  <c r="LL158" i="3"/>
  <c r="LK158" i="3"/>
  <c r="LJ158" i="3"/>
  <c r="LI158" i="3"/>
  <c r="LH158" i="3"/>
  <c r="LG158" i="3"/>
  <c r="LF158" i="3"/>
  <c r="LE158" i="3"/>
  <c r="LD158" i="3"/>
  <c r="LC158" i="3"/>
  <c r="LB158" i="3"/>
  <c r="LA158" i="3"/>
  <c r="KZ158" i="3"/>
  <c r="KY158" i="3"/>
  <c r="KX158" i="3"/>
  <c r="KW158" i="3"/>
  <c r="KV158" i="3"/>
  <c r="KU158" i="3"/>
  <c r="KT158" i="3"/>
  <c r="KS158" i="3"/>
  <c r="KR158" i="3"/>
  <c r="KQ158" i="3"/>
  <c r="KP158" i="3"/>
  <c r="KO158" i="3"/>
  <c r="KN158" i="3"/>
  <c r="KM158" i="3"/>
  <c r="KL158" i="3"/>
  <c r="KK158" i="3"/>
  <c r="KJ158" i="3"/>
  <c r="KI158" i="3"/>
  <c r="KH158" i="3"/>
  <c r="KG158" i="3"/>
  <c r="KF158" i="3"/>
  <c r="KE158" i="3"/>
  <c r="KD158" i="3"/>
  <c r="KC158" i="3"/>
  <c r="KB158" i="3"/>
  <c r="KA158" i="3"/>
  <c r="JZ158" i="3"/>
  <c r="JY158" i="3"/>
  <c r="JX158" i="3"/>
  <c r="JW158" i="3"/>
  <c r="JV158" i="3"/>
  <c r="JU158" i="3"/>
  <c r="JT158" i="3"/>
  <c r="JS158" i="3"/>
  <c r="JR158" i="3"/>
  <c r="JQ158" i="3"/>
  <c r="JP158" i="3"/>
  <c r="JO158" i="3"/>
  <c r="JN158" i="3"/>
  <c r="JM158" i="3"/>
  <c r="JL158" i="3"/>
  <c r="JK158" i="3"/>
  <c r="JJ158" i="3"/>
  <c r="JI158" i="3"/>
  <c r="JH158" i="3"/>
  <c r="JG158" i="3"/>
  <c r="JF158" i="3"/>
  <c r="JE158" i="3"/>
  <c r="JD158" i="3"/>
  <c r="JC158" i="3"/>
  <c r="JB158" i="3"/>
  <c r="JA158" i="3"/>
  <c r="IZ158" i="3"/>
  <c r="IY158" i="3"/>
  <c r="IX158" i="3"/>
  <c r="IW158" i="3"/>
  <c r="IV158" i="3"/>
  <c r="IU158" i="3"/>
  <c r="IT158" i="3"/>
  <c r="IS158" i="3"/>
  <c r="IR158" i="3"/>
  <c r="IQ158" i="3"/>
  <c r="IP158" i="3"/>
  <c r="IO158" i="3"/>
  <c r="IN158" i="3"/>
  <c r="IM158" i="3"/>
  <c r="IL158" i="3"/>
  <c r="IK158" i="3"/>
  <c r="IJ158" i="3"/>
  <c r="II158" i="3"/>
  <c r="IH158" i="3"/>
  <c r="IG158" i="3"/>
  <c r="IF158" i="3"/>
  <c r="IE158" i="3"/>
  <c r="ID158" i="3"/>
  <c r="IC158" i="3"/>
  <c r="IB158" i="3"/>
  <c r="IA158" i="3"/>
  <c r="HZ158" i="3"/>
  <c r="HY158" i="3"/>
  <c r="HX158" i="3"/>
  <c r="HW158" i="3"/>
  <c r="HV158" i="3"/>
  <c r="HU158" i="3"/>
  <c r="HT158" i="3"/>
  <c r="HS158" i="3"/>
  <c r="HR158" i="3"/>
  <c r="HQ158" i="3"/>
  <c r="HP158" i="3"/>
  <c r="HO158" i="3"/>
  <c r="HN158" i="3"/>
  <c r="HM158" i="3"/>
  <c r="HL158" i="3"/>
  <c r="HK158" i="3"/>
  <c r="HJ158" i="3"/>
  <c r="HI158" i="3"/>
  <c r="HH158" i="3"/>
  <c r="HG158" i="3"/>
  <c r="HF158" i="3"/>
  <c r="HE158" i="3"/>
  <c r="HD158" i="3"/>
  <c r="HC158" i="3"/>
  <c r="HB158" i="3"/>
  <c r="HA158" i="3"/>
  <c r="GZ158" i="3"/>
  <c r="GY158" i="3"/>
  <c r="GX158" i="3"/>
  <c r="GW158" i="3"/>
  <c r="GV158" i="3"/>
  <c r="GU158" i="3"/>
  <c r="GT158" i="3"/>
  <c r="GS158" i="3"/>
  <c r="GR158" i="3"/>
  <c r="GQ158" i="3"/>
  <c r="GP158" i="3"/>
  <c r="GO158" i="3"/>
  <c r="GN158" i="3"/>
  <c r="GM158" i="3"/>
  <c r="GL158" i="3"/>
  <c r="GK158" i="3"/>
  <c r="GJ158" i="3"/>
  <c r="GI158" i="3"/>
  <c r="GH158" i="3"/>
  <c r="GG158" i="3"/>
  <c r="GF158" i="3"/>
  <c r="GE158" i="3"/>
  <c r="GD158" i="3"/>
  <c r="GC158" i="3"/>
  <c r="GB158" i="3"/>
  <c r="GA158" i="3"/>
  <c r="FZ158" i="3"/>
  <c r="FY158" i="3"/>
  <c r="FX158" i="3"/>
  <c r="FW158" i="3"/>
  <c r="FV158" i="3"/>
  <c r="FU158" i="3"/>
  <c r="FT158" i="3"/>
  <c r="FS158" i="3"/>
  <c r="FR158" i="3"/>
  <c r="FQ158" i="3"/>
  <c r="FP158" i="3"/>
  <c r="FO158" i="3"/>
  <c r="FN158" i="3"/>
  <c r="FM158" i="3"/>
  <c r="FL158" i="3"/>
  <c r="FK158" i="3"/>
  <c r="FJ158" i="3"/>
  <c r="FI158" i="3"/>
  <c r="FH158" i="3"/>
  <c r="FG158" i="3"/>
  <c r="FF158" i="3"/>
  <c r="FE158" i="3"/>
  <c r="FD158" i="3"/>
  <c r="FC158" i="3"/>
  <c r="FB158" i="3"/>
  <c r="FA158" i="3"/>
  <c r="EZ158" i="3"/>
  <c r="EY158" i="3"/>
  <c r="EX158" i="3"/>
  <c r="EW158" i="3"/>
  <c r="EV158" i="3"/>
  <c r="EU158" i="3"/>
  <c r="ET158" i="3"/>
  <c r="ES158" i="3"/>
  <c r="ER158" i="3"/>
  <c r="EQ158" i="3"/>
  <c r="EP158" i="3"/>
  <c r="EO158" i="3"/>
  <c r="EN158" i="3"/>
  <c r="EM158" i="3"/>
  <c r="EL158" i="3"/>
  <c r="EK158" i="3"/>
  <c r="EJ158" i="3"/>
  <c r="EI158" i="3"/>
  <c r="EH158" i="3"/>
  <c r="EG158" i="3"/>
  <c r="EF158" i="3"/>
  <c r="EE158" i="3"/>
  <c r="ED158" i="3"/>
  <c r="EC158" i="3"/>
  <c r="EB158" i="3"/>
  <c r="EA158" i="3"/>
  <c r="DZ158" i="3"/>
  <c r="DY158" i="3"/>
  <c r="DX158" i="3"/>
  <c r="DW158" i="3"/>
  <c r="DV158" i="3"/>
  <c r="DU158" i="3"/>
  <c r="DT158" i="3"/>
  <c r="DS158" i="3"/>
  <c r="DR158" i="3"/>
  <c r="DQ158" i="3"/>
  <c r="DP158" i="3"/>
  <c r="DO158" i="3"/>
  <c r="DN158" i="3"/>
  <c r="DM158" i="3"/>
  <c r="DL158" i="3"/>
  <c r="DK158" i="3"/>
  <c r="DJ158" i="3"/>
  <c r="DI158" i="3"/>
  <c r="DH158" i="3"/>
  <c r="DG158" i="3"/>
  <c r="DF158" i="3"/>
  <c r="DE158" i="3"/>
  <c r="DD158" i="3"/>
  <c r="DC158" i="3"/>
  <c r="DB158" i="3"/>
  <c r="DA158" i="3"/>
  <c r="CZ158" i="3"/>
  <c r="CY158" i="3"/>
  <c r="CX158" i="3"/>
  <c r="CW158" i="3"/>
  <c r="CV158" i="3"/>
  <c r="CU158" i="3"/>
  <c r="CT158" i="3"/>
  <c r="CS158" i="3"/>
  <c r="CR158" i="3"/>
  <c r="CQ158" i="3"/>
  <c r="CP158" i="3"/>
  <c r="CO158" i="3"/>
  <c r="CN158" i="3"/>
  <c r="CM158" i="3"/>
  <c r="CL158" i="3"/>
  <c r="CK158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NS157" i="3"/>
  <c r="NR157" i="3"/>
  <c r="NQ157" i="3"/>
  <c r="NP157" i="3"/>
  <c r="NO157" i="3"/>
  <c r="NN157" i="3"/>
  <c r="NM157" i="3"/>
  <c r="NL157" i="3"/>
  <c r="NK157" i="3"/>
  <c r="NJ157" i="3"/>
  <c r="NI157" i="3"/>
  <c r="NH157" i="3"/>
  <c r="NG157" i="3"/>
  <c r="NF157" i="3"/>
  <c r="NE157" i="3"/>
  <c r="ND157" i="3"/>
  <c r="NC157" i="3"/>
  <c r="NB157" i="3"/>
  <c r="NA157" i="3"/>
  <c r="MZ157" i="3"/>
  <c r="MY157" i="3"/>
  <c r="MX157" i="3"/>
  <c r="MW157" i="3"/>
  <c r="MV157" i="3"/>
  <c r="MU157" i="3"/>
  <c r="MT157" i="3"/>
  <c r="MS157" i="3"/>
  <c r="MR157" i="3"/>
  <c r="MQ157" i="3"/>
  <c r="MP157" i="3"/>
  <c r="MO157" i="3"/>
  <c r="MN157" i="3"/>
  <c r="MM157" i="3"/>
  <c r="ML157" i="3"/>
  <c r="MK157" i="3"/>
  <c r="MJ157" i="3"/>
  <c r="MI157" i="3"/>
  <c r="MH157" i="3"/>
  <c r="MG157" i="3"/>
  <c r="MF157" i="3"/>
  <c r="ME157" i="3"/>
  <c r="MD157" i="3"/>
  <c r="MC157" i="3"/>
  <c r="MB157" i="3"/>
  <c r="MA157" i="3"/>
  <c r="LZ157" i="3"/>
  <c r="LY157" i="3"/>
  <c r="LX157" i="3"/>
  <c r="LW157" i="3"/>
  <c r="LV157" i="3"/>
  <c r="LU157" i="3"/>
  <c r="LT157" i="3"/>
  <c r="LS157" i="3"/>
  <c r="LR157" i="3"/>
  <c r="LQ157" i="3"/>
  <c r="LP157" i="3"/>
  <c r="LO157" i="3"/>
  <c r="LN157" i="3"/>
  <c r="LM157" i="3"/>
  <c r="LL157" i="3"/>
  <c r="LK157" i="3"/>
  <c r="LJ157" i="3"/>
  <c r="LI157" i="3"/>
  <c r="LH157" i="3"/>
  <c r="LG157" i="3"/>
  <c r="LF157" i="3"/>
  <c r="LE157" i="3"/>
  <c r="LD157" i="3"/>
  <c r="LC157" i="3"/>
  <c r="LB157" i="3"/>
  <c r="LA157" i="3"/>
  <c r="KZ157" i="3"/>
  <c r="KY157" i="3"/>
  <c r="KX157" i="3"/>
  <c r="KW157" i="3"/>
  <c r="KV157" i="3"/>
  <c r="KU157" i="3"/>
  <c r="KT157" i="3"/>
  <c r="KS157" i="3"/>
  <c r="KR157" i="3"/>
  <c r="KQ157" i="3"/>
  <c r="KP157" i="3"/>
  <c r="KO157" i="3"/>
  <c r="KN157" i="3"/>
  <c r="KM157" i="3"/>
  <c r="KL157" i="3"/>
  <c r="KK157" i="3"/>
  <c r="KJ157" i="3"/>
  <c r="KI157" i="3"/>
  <c r="KH157" i="3"/>
  <c r="KG157" i="3"/>
  <c r="KF157" i="3"/>
  <c r="KE157" i="3"/>
  <c r="KD157" i="3"/>
  <c r="KC157" i="3"/>
  <c r="KB157" i="3"/>
  <c r="KA157" i="3"/>
  <c r="JZ157" i="3"/>
  <c r="JY157" i="3"/>
  <c r="JX157" i="3"/>
  <c r="JW157" i="3"/>
  <c r="JV157" i="3"/>
  <c r="JU157" i="3"/>
  <c r="JT157" i="3"/>
  <c r="JS157" i="3"/>
  <c r="JR157" i="3"/>
  <c r="JQ157" i="3"/>
  <c r="JP157" i="3"/>
  <c r="JO157" i="3"/>
  <c r="JN157" i="3"/>
  <c r="JM157" i="3"/>
  <c r="JL157" i="3"/>
  <c r="JK157" i="3"/>
  <c r="JJ157" i="3"/>
  <c r="JI157" i="3"/>
  <c r="JH157" i="3"/>
  <c r="JG157" i="3"/>
  <c r="JF157" i="3"/>
  <c r="JE157" i="3"/>
  <c r="JD157" i="3"/>
  <c r="JC157" i="3"/>
  <c r="JB157" i="3"/>
  <c r="JA157" i="3"/>
  <c r="IZ157" i="3"/>
  <c r="IY157" i="3"/>
  <c r="IX157" i="3"/>
  <c r="IW157" i="3"/>
  <c r="IV157" i="3"/>
  <c r="IU157" i="3"/>
  <c r="IT157" i="3"/>
  <c r="IS157" i="3"/>
  <c r="IR157" i="3"/>
  <c r="IQ157" i="3"/>
  <c r="IP157" i="3"/>
  <c r="IO157" i="3"/>
  <c r="IN157" i="3"/>
  <c r="IM157" i="3"/>
  <c r="IL157" i="3"/>
  <c r="IK157" i="3"/>
  <c r="IJ157" i="3"/>
  <c r="II157" i="3"/>
  <c r="IH157" i="3"/>
  <c r="IG157" i="3"/>
  <c r="IF157" i="3"/>
  <c r="IE157" i="3"/>
  <c r="ID157" i="3"/>
  <c r="IC157" i="3"/>
  <c r="IB157" i="3"/>
  <c r="IA157" i="3"/>
  <c r="HZ157" i="3"/>
  <c r="HY157" i="3"/>
  <c r="HX157" i="3"/>
  <c r="HW157" i="3"/>
  <c r="HV157" i="3"/>
  <c r="HU157" i="3"/>
  <c r="HT157" i="3"/>
  <c r="HS157" i="3"/>
  <c r="HR157" i="3"/>
  <c r="HQ157" i="3"/>
  <c r="HP157" i="3"/>
  <c r="HO157" i="3"/>
  <c r="HN157" i="3"/>
  <c r="HM157" i="3"/>
  <c r="HL157" i="3"/>
  <c r="HK157" i="3"/>
  <c r="HJ157" i="3"/>
  <c r="HI157" i="3"/>
  <c r="HH157" i="3"/>
  <c r="HG157" i="3"/>
  <c r="HF157" i="3"/>
  <c r="HE157" i="3"/>
  <c r="HD157" i="3"/>
  <c r="HC157" i="3"/>
  <c r="HB157" i="3"/>
  <c r="HA157" i="3"/>
  <c r="GZ157" i="3"/>
  <c r="GY157" i="3"/>
  <c r="GX157" i="3"/>
  <c r="GW157" i="3"/>
  <c r="GV157" i="3"/>
  <c r="GU157" i="3"/>
  <c r="GT157" i="3"/>
  <c r="GS157" i="3"/>
  <c r="GR157" i="3"/>
  <c r="GQ157" i="3"/>
  <c r="GP157" i="3"/>
  <c r="GO157" i="3"/>
  <c r="GN157" i="3"/>
  <c r="GM157" i="3"/>
  <c r="GL157" i="3"/>
  <c r="GK157" i="3"/>
  <c r="GJ157" i="3"/>
  <c r="GI157" i="3"/>
  <c r="GH157" i="3"/>
  <c r="GG157" i="3"/>
  <c r="GF157" i="3"/>
  <c r="GE157" i="3"/>
  <c r="GD157" i="3"/>
  <c r="GC157" i="3"/>
  <c r="GB157" i="3"/>
  <c r="GA157" i="3"/>
  <c r="FZ157" i="3"/>
  <c r="FY157" i="3"/>
  <c r="FX157" i="3"/>
  <c r="FW157" i="3"/>
  <c r="FV157" i="3"/>
  <c r="FU157" i="3"/>
  <c r="FT157" i="3"/>
  <c r="FS157" i="3"/>
  <c r="FR157" i="3"/>
  <c r="FQ157" i="3"/>
  <c r="FP157" i="3"/>
  <c r="FO157" i="3"/>
  <c r="FN157" i="3"/>
  <c r="FM157" i="3"/>
  <c r="FL157" i="3"/>
  <c r="FK157" i="3"/>
  <c r="FJ157" i="3"/>
  <c r="FI157" i="3"/>
  <c r="FH157" i="3"/>
  <c r="FG157" i="3"/>
  <c r="FF157" i="3"/>
  <c r="FE157" i="3"/>
  <c r="FD157" i="3"/>
  <c r="FC157" i="3"/>
  <c r="FB157" i="3"/>
  <c r="FA157" i="3"/>
  <c r="EZ157" i="3"/>
  <c r="EY157" i="3"/>
  <c r="EX157" i="3"/>
  <c r="EW157" i="3"/>
  <c r="EV157" i="3"/>
  <c r="EU157" i="3"/>
  <c r="ET157" i="3"/>
  <c r="ES157" i="3"/>
  <c r="ER157" i="3"/>
  <c r="EQ157" i="3"/>
  <c r="EP157" i="3"/>
  <c r="EO157" i="3"/>
  <c r="EN157" i="3"/>
  <c r="EM157" i="3"/>
  <c r="EL157" i="3"/>
  <c r="EK157" i="3"/>
  <c r="EJ157" i="3"/>
  <c r="EI157" i="3"/>
  <c r="EH157" i="3"/>
  <c r="EG157" i="3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Q157" i="3"/>
  <c r="CP157" i="3"/>
  <c r="CO157" i="3"/>
  <c r="CN157" i="3"/>
  <c r="CM157" i="3"/>
  <c r="CL157" i="3"/>
  <c r="CK157" i="3"/>
  <c r="CJ157" i="3"/>
  <c r="CI157" i="3"/>
  <c r="CH157" i="3"/>
  <c r="CG157" i="3"/>
  <c r="CF157" i="3"/>
  <c r="CE157" i="3"/>
  <c r="CD157" i="3"/>
  <c r="CC157" i="3"/>
  <c r="CB157" i="3"/>
  <c r="CA157" i="3"/>
  <c r="BZ157" i="3"/>
  <c r="BY157" i="3"/>
  <c r="BX157" i="3"/>
  <c r="BW157" i="3"/>
  <c r="BV157" i="3"/>
  <c r="BU157" i="3"/>
  <c r="BT157" i="3"/>
  <c r="BS157" i="3"/>
  <c r="BR157" i="3"/>
  <c r="BQ157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PD120" i="3"/>
  <c r="PB120" i="3" s="1"/>
  <c r="PC120" i="3"/>
  <c r="OZ120" i="3"/>
  <c r="OY120" i="3"/>
  <c r="OV120" i="3"/>
  <c r="OT120" i="3" s="1"/>
  <c r="OU120" i="3"/>
  <c r="OR120" i="3"/>
  <c r="OQ120" i="3"/>
  <c r="ON120" i="3"/>
  <c r="OL120" i="3" s="1"/>
  <c r="OM120" i="3"/>
  <c r="OJ120" i="3"/>
  <c r="OH120" i="3" s="1"/>
  <c r="OI120" i="3"/>
  <c r="OF120" i="3"/>
  <c r="OD120" i="3" s="1"/>
  <c r="OE120" i="3"/>
  <c r="OB120" i="3"/>
  <c r="OA120" i="3"/>
  <c r="NX120" i="3"/>
  <c r="NW120" i="3"/>
  <c r="NT120" i="3"/>
  <c r="PD119" i="3"/>
  <c r="PC119" i="3"/>
  <c r="OZ119" i="3"/>
  <c r="OX119" i="3" s="1"/>
  <c r="OY119" i="3"/>
  <c r="OV119" i="3"/>
  <c r="OT119" i="3" s="1"/>
  <c r="OU119" i="3"/>
  <c r="OR119" i="3"/>
  <c r="OP119" i="3" s="1"/>
  <c r="OQ119" i="3"/>
  <c r="ON119" i="3"/>
  <c r="OM119" i="3"/>
  <c r="OJ119" i="3"/>
  <c r="OH119" i="3" s="1"/>
  <c r="OI119" i="3"/>
  <c r="OF119" i="3"/>
  <c r="OD119" i="3" s="1"/>
  <c r="OE119" i="3"/>
  <c r="OB119" i="3"/>
  <c r="NZ119" i="3" s="1"/>
  <c r="OA119" i="3"/>
  <c r="NX119" i="3"/>
  <c r="NV119" i="3" s="1"/>
  <c r="NW119" i="3"/>
  <c r="NT119" i="3"/>
  <c r="PD118" i="3"/>
  <c r="PB118" i="3" s="1"/>
  <c r="PC118" i="3"/>
  <c r="OZ118" i="3"/>
  <c r="OX118" i="3" s="1"/>
  <c r="OY118" i="3"/>
  <c r="OV118" i="3"/>
  <c r="OT118" i="3" s="1"/>
  <c r="OU118" i="3"/>
  <c r="OR118" i="3"/>
  <c r="OP118" i="3" s="1"/>
  <c r="OQ118" i="3"/>
  <c r="ON118" i="3"/>
  <c r="OL118" i="3" s="1"/>
  <c r="OM118" i="3"/>
  <c r="OJ118" i="3"/>
  <c r="OH118" i="3" s="1"/>
  <c r="OI118" i="3"/>
  <c r="OF118" i="3"/>
  <c r="OD118" i="3" s="1"/>
  <c r="OE118" i="3"/>
  <c r="OB118" i="3"/>
  <c r="NZ118" i="3" s="1"/>
  <c r="OA118" i="3"/>
  <c r="NX118" i="3"/>
  <c r="NW118" i="3"/>
  <c r="NT118" i="3"/>
  <c r="PD117" i="3"/>
  <c r="PB117" i="3" s="1"/>
  <c r="PC117" i="3"/>
  <c r="OZ117" i="3"/>
  <c r="OX117" i="3" s="1"/>
  <c r="OY117" i="3"/>
  <c r="OV117" i="3"/>
  <c r="OT117" i="3" s="1"/>
  <c r="OU117" i="3"/>
  <c r="OR117" i="3"/>
  <c r="OP117" i="3" s="1"/>
  <c r="OQ117" i="3"/>
  <c r="ON117" i="3"/>
  <c r="OL117" i="3" s="1"/>
  <c r="OM117" i="3"/>
  <c r="OJ117" i="3"/>
  <c r="OI117" i="3"/>
  <c r="OF117" i="3"/>
  <c r="OD117" i="3" s="1"/>
  <c r="OE117" i="3"/>
  <c r="OB117" i="3"/>
  <c r="NZ117" i="3" s="1"/>
  <c r="OA117" i="3"/>
  <c r="NX117" i="3"/>
  <c r="NV117" i="3" s="1"/>
  <c r="NW117" i="3"/>
  <c r="NT117" i="3"/>
  <c r="PD116" i="3"/>
  <c r="PB116" i="3" s="1"/>
  <c r="PC116" i="3"/>
  <c r="OZ116" i="3"/>
  <c r="OY116" i="3"/>
  <c r="OV116" i="3"/>
  <c r="OT116" i="3" s="1"/>
  <c r="OU116" i="3"/>
  <c r="OR116" i="3"/>
  <c r="OQ116" i="3"/>
  <c r="ON116" i="3"/>
  <c r="OL116" i="3" s="1"/>
  <c r="OM116" i="3"/>
  <c r="OJ116" i="3"/>
  <c r="OI116" i="3"/>
  <c r="OF116" i="3"/>
  <c r="OD116" i="3" s="1"/>
  <c r="OE116" i="3"/>
  <c r="OB116" i="3"/>
  <c r="NZ116" i="3" s="1"/>
  <c r="OA116" i="3"/>
  <c r="NX116" i="3"/>
  <c r="NW116" i="3"/>
  <c r="NT116" i="3"/>
  <c r="PD115" i="3"/>
  <c r="PC115" i="3"/>
  <c r="OZ115" i="3"/>
  <c r="OX115" i="3" s="1"/>
  <c r="OY115" i="3"/>
  <c r="OV115" i="3"/>
  <c r="OT115" i="3" s="1"/>
  <c r="OU115" i="3"/>
  <c r="OR115" i="3"/>
  <c r="OP115" i="3" s="1"/>
  <c r="OQ115" i="3"/>
  <c r="ON115" i="3"/>
  <c r="OM115" i="3"/>
  <c r="OJ115" i="3"/>
  <c r="OH115" i="3" s="1"/>
  <c r="OI115" i="3"/>
  <c r="OF115" i="3"/>
  <c r="OD115" i="3" s="1"/>
  <c r="OE115" i="3"/>
  <c r="OB115" i="3"/>
  <c r="NZ115" i="3" s="1"/>
  <c r="OA115" i="3"/>
  <c r="NX115" i="3"/>
  <c r="NV115" i="3" s="1"/>
  <c r="NW115" i="3"/>
  <c r="NT115" i="3"/>
  <c r="PD114" i="3"/>
  <c r="PB114" i="3" s="1"/>
  <c r="PC114" i="3"/>
  <c r="OZ114" i="3"/>
  <c r="OX114" i="3" s="1"/>
  <c r="OY114" i="3"/>
  <c r="OV114" i="3"/>
  <c r="OU114" i="3"/>
  <c r="OR114" i="3"/>
  <c r="OP114" i="3" s="1"/>
  <c r="OQ114" i="3"/>
  <c r="ON114" i="3"/>
  <c r="OL114" i="3" s="1"/>
  <c r="OM114" i="3"/>
  <c r="OJ114" i="3"/>
  <c r="OI114" i="3"/>
  <c r="OF114" i="3"/>
  <c r="OE114" i="3"/>
  <c r="OB114" i="3"/>
  <c r="OA114" i="3"/>
  <c r="NX114" i="3"/>
  <c r="NW114" i="3"/>
  <c r="NT114" i="3"/>
  <c r="PD113" i="3"/>
  <c r="PB113" i="3" s="1"/>
  <c r="PC113" i="3"/>
  <c r="OZ113" i="3"/>
  <c r="OX113" i="3" s="1"/>
  <c r="OY113" i="3"/>
  <c r="OV113" i="3"/>
  <c r="OT113" i="3" s="1"/>
  <c r="OU113" i="3"/>
  <c r="OR113" i="3"/>
  <c r="OQ113" i="3"/>
  <c r="ON113" i="3"/>
  <c r="OM113" i="3"/>
  <c r="OJ113" i="3"/>
  <c r="OH113" i="3" s="1"/>
  <c r="OI113" i="3"/>
  <c r="OF113" i="3"/>
  <c r="OD113" i="3" s="1"/>
  <c r="OE113" i="3"/>
  <c r="OB113" i="3"/>
  <c r="NZ113" i="3" s="1"/>
  <c r="OA113" i="3"/>
  <c r="NX113" i="3"/>
  <c r="NV113" i="3" s="1"/>
  <c r="NW113" i="3"/>
  <c r="NT113" i="3"/>
  <c r="PD106" i="3"/>
  <c r="PB106" i="3" s="1"/>
  <c r="PC106" i="3"/>
  <c r="OZ106" i="3"/>
  <c r="OY106" i="3"/>
  <c r="OV106" i="3"/>
  <c r="OT106" i="3" s="1"/>
  <c r="OU106" i="3"/>
  <c r="OR106" i="3"/>
  <c r="OQ106" i="3"/>
  <c r="ON106" i="3"/>
  <c r="OM106" i="3"/>
  <c r="OJ106" i="3"/>
  <c r="OI106" i="3"/>
  <c r="OF106" i="3"/>
  <c r="OD106" i="3" s="1"/>
  <c r="OE106" i="3"/>
  <c r="OB106" i="3"/>
  <c r="OA106" i="3"/>
  <c r="NX106" i="3"/>
  <c r="NW106" i="3"/>
  <c r="NT106" i="3"/>
  <c r="PD105" i="3"/>
  <c r="PC105" i="3"/>
  <c r="OZ105" i="3"/>
  <c r="OX105" i="3" s="1"/>
  <c r="OY105" i="3"/>
  <c r="OV105" i="3"/>
  <c r="OT105" i="3" s="1"/>
  <c r="OU105" i="3"/>
  <c r="OR105" i="3"/>
  <c r="OP105" i="3" s="1"/>
  <c r="OQ105" i="3"/>
  <c r="ON105" i="3"/>
  <c r="OM105" i="3"/>
  <c r="OJ105" i="3"/>
  <c r="OH105" i="3" s="1"/>
  <c r="OI105" i="3"/>
  <c r="OF105" i="3"/>
  <c r="OD105" i="3" s="1"/>
  <c r="OE105" i="3"/>
  <c r="OB105" i="3"/>
  <c r="NZ105" i="3" s="1"/>
  <c r="OA105" i="3"/>
  <c r="NX105" i="3"/>
  <c r="NV105" i="3" s="1"/>
  <c r="NW105" i="3"/>
  <c r="NT105" i="3"/>
  <c r="PD104" i="3"/>
  <c r="PB104" i="3" s="1"/>
  <c r="PC104" i="3"/>
  <c r="OZ104" i="3"/>
  <c r="OX104" i="3" s="1"/>
  <c r="OY104" i="3"/>
  <c r="OV104" i="3"/>
  <c r="OT104" i="3" s="1"/>
  <c r="OU104" i="3"/>
  <c r="OR104" i="3"/>
  <c r="OQ104" i="3"/>
  <c r="ON104" i="3"/>
  <c r="OL104" i="3" s="1"/>
  <c r="OM104" i="3"/>
  <c r="OJ104" i="3"/>
  <c r="OI104" i="3"/>
  <c r="OF104" i="3"/>
  <c r="OD104" i="3" s="1"/>
  <c r="OE104" i="3"/>
  <c r="OB104" i="3"/>
  <c r="NZ104" i="3" s="1"/>
  <c r="OA104" i="3"/>
  <c r="NX104" i="3"/>
  <c r="NW104" i="3"/>
  <c r="NT104" i="3"/>
  <c r="PD103" i="3"/>
  <c r="PB103" i="3" s="1"/>
  <c r="PC103" i="3"/>
  <c r="OZ103" i="3"/>
  <c r="OX103" i="3" s="1"/>
  <c r="OY103" i="3"/>
  <c r="OV103" i="3"/>
  <c r="OT103" i="3" s="1"/>
  <c r="OU103" i="3"/>
  <c r="OR103" i="3"/>
  <c r="OP103" i="3" s="1"/>
  <c r="OQ103" i="3"/>
  <c r="ON103" i="3"/>
  <c r="OL103" i="3" s="1"/>
  <c r="OM103" i="3"/>
  <c r="OJ103" i="3"/>
  <c r="OI103" i="3"/>
  <c r="OF103" i="3"/>
  <c r="OD103" i="3" s="1"/>
  <c r="OE103" i="3"/>
  <c r="OB103" i="3"/>
  <c r="NZ103" i="3" s="1"/>
  <c r="OA103" i="3"/>
  <c r="NX103" i="3"/>
  <c r="NV103" i="3" s="1"/>
  <c r="NW103" i="3"/>
  <c r="NT103" i="3"/>
  <c r="PD102" i="3"/>
  <c r="PB102" i="3" s="1"/>
  <c r="PC102" i="3"/>
  <c r="OZ102" i="3"/>
  <c r="OY102" i="3"/>
  <c r="OV102" i="3"/>
  <c r="OU102" i="3"/>
  <c r="OR102" i="3"/>
  <c r="OP102" i="3" s="1"/>
  <c r="OQ102" i="3"/>
  <c r="ON102" i="3"/>
  <c r="OM102" i="3"/>
  <c r="OJ102" i="3"/>
  <c r="OI102" i="3"/>
  <c r="OF102" i="3"/>
  <c r="OE102" i="3"/>
  <c r="OB102" i="3"/>
  <c r="NZ102" i="3" s="1"/>
  <c r="OA102" i="3"/>
  <c r="NX102" i="3"/>
  <c r="NW102" i="3"/>
  <c r="NT102" i="3"/>
  <c r="PD101" i="3"/>
  <c r="PC101" i="3"/>
  <c r="OZ101" i="3"/>
  <c r="OX101" i="3" s="1"/>
  <c r="OY101" i="3"/>
  <c r="OV101" i="3"/>
  <c r="OU101" i="3"/>
  <c r="OR101" i="3"/>
  <c r="OP101" i="3" s="1"/>
  <c r="OQ101" i="3"/>
  <c r="ON101" i="3"/>
  <c r="OL101" i="3" s="1"/>
  <c r="OM101" i="3"/>
  <c r="OJ101" i="3"/>
  <c r="OH101" i="3" s="1"/>
  <c r="OI101" i="3"/>
  <c r="OF101" i="3"/>
  <c r="OD101" i="3" s="1"/>
  <c r="OE101" i="3"/>
  <c r="OB101" i="3"/>
  <c r="NZ101" i="3" s="1"/>
  <c r="OA101" i="3"/>
  <c r="NX101" i="3"/>
  <c r="NV101" i="3" s="1"/>
  <c r="NW101" i="3"/>
  <c r="NT101" i="3"/>
  <c r="NR100" i="3"/>
  <c r="NQ100" i="3"/>
  <c r="NP100" i="3"/>
  <c r="NO100" i="3"/>
  <c r="NN100" i="3"/>
  <c r="NM100" i="3"/>
  <c r="NL100" i="3"/>
  <c r="NK100" i="3"/>
  <c r="NJ100" i="3"/>
  <c r="NI100" i="3"/>
  <c r="NH100" i="3"/>
  <c r="NG100" i="3"/>
  <c r="NF100" i="3"/>
  <c r="NE100" i="3"/>
  <c r="ND100" i="3"/>
  <c r="NC100" i="3"/>
  <c r="NB100" i="3"/>
  <c r="NA100" i="3"/>
  <c r="MZ100" i="3"/>
  <c r="MY100" i="3"/>
  <c r="MX100" i="3"/>
  <c r="MW100" i="3"/>
  <c r="MV100" i="3"/>
  <c r="MU100" i="3"/>
  <c r="MT100" i="3"/>
  <c r="MS100" i="3"/>
  <c r="MR100" i="3"/>
  <c r="MQ100" i="3"/>
  <c r="MP100" i="3"/>
  <c r="MO100" i="3"/>
  <c r="MN100" i="3"/>
  <c r="MM100" i="3"/>
  <c r="ML100" i="3"/>
  <c r="MK100" i="3"/>
  <c r="MJ100" i="3"/>
  <c r="MI100" i="3"/>
  <c r="MH100" i="3"/>
  <c r="MG100" i="3"/>
  <c r="MF100" i="3"/>
  <c r="ME100" i="3"/>
  <c r="MD100" i="3"/>
  <c r="MC100" i="3"/>
  <c r="MB100" i="3"/>
  <c r="MA100" i="3"/>
  <c r="LZ100" i="3"/>
  <c r="LY100" i="3"/>
  <c r="LX100" i="3"/>
  <c r="LW100" i="3"/>
  <c r="LV100" i="3"/>
  <c r="LU100" i="3"/>
  <c r="LT100" i="3"/>
  <c r="LS100" i="3"/>
  <c r="LR100" i="3"/>
  <c r="LQ100" i="3"/>
  <c r="LP100" i="3"/>
  <c r="LO100" i="3"/>
  <c r="LN100" i="3"/>
  <c r="LM100" i="3"/>
  <c r="LL100" i="3"/>
  <c r="LK100" i="3"/>
  <c r="LJ100" i="3"/>
  <c r="LI100" i="3"/>
  <c r="LH100" i="3"/>
  <c r="LG100" i="3"/>
  <c r="LF100" i="3"/>
  <c r="LE100" i="3"/>
  <c r="LD100" i="3"/>
  <c r="LC100" i="3"/>
  <c r="LB100" i="3"/>
  <c r="LA100" i="3"/>
  <c r="KZ100" i="3"/>
  <c r="KY100" i="3"/>
  <c r="KX100" i="3"/>
  <c r="KW100" i="3"/>
  <c r="KV100" i="3"/>
  <c r="KU100" i="3"/>
  <c r="KT100" i="3"/>
  <c r="KS100" i="3"/>
  <c r="KR100" i="3"/>
  <c r="KQ100" i="3"/>
  <c r="KP100" i="3"/>
  <c r="KO100" i="3"/>
  <c r="KN100" i="3"/>
  <c r="KM100" i="3"/>
  <c r="KL100" i="3"/>
  <c r="KK100" i="3"/>
  <c r="KJ100" i="3"/>
  <c r="KI100" i="3"/>
  <c r="KH100" i="3"/>
  <c r="KG100" i="3"/>
  <c r="KF100" i="3"/>
  <c r="KE100" i="3"/>
  <c r="KD100" i="3"/>
  <c r="KC100" i="3"/>
  <c r="KB100" i="3"/>
  <c r="KA100" i="3"/>
  <c r="JZ100" i="3"/>
  <c r="JY100" i="3"/>
  <c r="JX100" i="3"/>
  <c r="JW100" i="3"/>
  <c r="JV100" i="3"/>
  <c r="JU100" i="3"/>
  <c r="JT100" i="3"/>
  <c r="JS100" i="3"/>
  <c r="JR100" i="3"/>
  <c r="JQ100" i="3"/>
  <c r="JP100" i="3"/>
  <c r="JO100" i="3"/>
  <c r="JN100" i="3"/>
  <c r="JM100" i="3"/>
  <c r="JL100" i="3"/>
  <c r="JK100" i="3"/>
  <c r="JJ100" i="3"/>
  <c r="JI100" i="3"/>
  <c r="JH100" i="3"/>
  <c r="JG100" i="3"/>
  <c r="JF100" i="3"/>
  <c r="JE100" i="3"/>
  <c r="JD100" i="3"/>
  <c r="JC100" i="3"/>
  <c r="JB100" i="3"/>
  <c r="JA100" i="3"/>
  <c r="IZ100" i="3"/>
  <c r="IY100" i="3"/>
  <c r="IX100" i="3"/>
  <c r="IW100" i="3"/>
  <c r="IV100" i="3"/>
  <c r="IU100" i="3"/>
  <c r="IT100" i="3"/>
  <c r="IS100" i="3"/>
  <c r="IR100" i="3"/>
  <c r="IQ100" i="3"/>
  <c r="IP100" i="3"/>
  <c r="IO100" i="3"/>
  <c r="IN100" i="3"/>
  <c r="IM100" i="3"/>
  <c r="IL100" i="3"/>
  <c r="IK100" i="3"/>
  <c r="IJ100" i="3"/>
  <c r="II100" i="3"/>
  <c r="IH100" i="3"/>
  <c r="IG100" i="3"/>
  <c r="IF100" i="3"/>
  <c r="IE100" i="3"/>
  <c r="ID100" i="3"/>
  <c r="IC100" i="3"/>
  <c r="IB100" i="3"/>
  <c r="IA100" i="3"/>
  <c r="HZ100" i="3"/>
  <c r="HY100" i="3"/>
  <c r="HX100" i="3"/>
  <c r="HW100" i="3"/>
  <c r="HV100" i="3"/>
  <c r="HU100" i="3"/>
  <c r="HT100" i="3"/>
  <c r="HS100" i="3"/>
  <c r="HR100" i="3"/>
  <c r="HQ100" i="3"/>
  <c r="HP100" i="3"/>
  <c r="HO100" i="3"/>
  <c r="HN100" i="3"/>
  <c r="HM100" i="3"/>
  <c r="HL100" i="3"/>
  <c r="HK100" i="3"/>
  <c r="HJ100" i="3"/>
  <c r="HI100" i="3"/>
  <c r="HH100" i="3"/>
  <c r="HG100" i="3"/>
  <c r="HF100" i="3"/>
  <c r="HE100" i="3"/>
  <c r="HD100" i="3"/>
  <c r="HC100" i="3"/>
  <c r="HB100" i="3"/>
  <c r="HA100" i="3"/>
  <c r="GZ100" i="3"/>
  <c r="GY100" i="3"/>
  <c r="GX100" i="3"/>
  <c r="GW100" i="3"/>
  <c r="GV100" i="3"/>
  <c r="GU100" i="3"/>
  <c r="GT100" i="3"/>
  <c r="GS100" i="3"/>
  <c r="GR100" i="3"/>
  <c r="GQ100" i="3"/>
  <c r="GP100" i="3"/>
  <c r="GO100" i="3"/>
  <c r="GN100" i="3"/>
  <c r="GM100" i="3"/>
  <c r="GL100" i="3"/>
  <c r="GK100" i="3"/>
  <c r="GJ100" i="3"/>
  <c r="GI100" i="3"/>
  <c r="GH100" i="3"/>
  <c r="GG100" i="3"/>
  <c r="GF100" i="3"/>
  <c r="GE100" i="3"/>
  <c r="GD100" i="3"/>
  <c r="GC100" i="3"/>
  <c r="GB100" i="3"/>
  <c r="GA100" i="3"/>
  <c r="FZ100" i="3"/>
  <c r="FY100" i="3"/>
  <c r="FX100" i="3"/>
  <c r="FW100" i="3"/>
  <c r="FV100" i="3"/>
  <c r="FU100" i="3"/>
  <c r="FT100" i="3"/>
  <c r="FS100" i="3"/>
  <c r="FR100" i="3"/>
  <c r="FQ100" i="3"/>
  <c r="FP100" i="3"/>
  <c r="FO100" i="3"/>
  <c r="FN100" i="3"/>
  <c r="FM100" i="3"/>
  <c r="FL100" i="3"/>
  <c r="FK100" i="3"/>
  <c r="FJ100" i="3"/>
  <c r="FI100" i="3"/>
  <c r="FH100" i="3"/>
  <c r="FG100" i="3"/>
  <c r="FF100" i="3"/>
  <c r="FE100" i="3"/>
  <c r="FD100" i="3"/>
  <c r="FC100" i="3"/>
  <c r="FB100" i="3"/>
  <c r="FA100" i="3"/>
  <c r="EZ100" i="3"/>
  <c r="EY100" i="3"/>
  <c r="EX100" i="3"/>
  <c r="EW100" i="3"/>
  <c r="EV100" i="3"/>
  <c r="EU100" i="3"/>
  <c r="ET100" i="3"/>
  <c r="ES100" i="3"/>
  <c r="ER100" i="3"/>
  <c r="EQ100" i="3"/>
  <c r="EP100" i="3"/>
  <c r="EO100" i="3"/>
  <c r="EN100" i="3"/>
  <c r="EM100" i="3"/>
  <c r="EL100" i="3"/>
  <c r="EK100" i="3"/>
  <c r="EJ100" i="3"/>
  <c r="EI100" i="3"/>
  <c r="EH100" i="3"/>
  <c r="EG100" i="3"/>
  <c r="EF100" i="3"/>
  <c r="EE100" i="3"/>
  <c r="ED100" i="3"/>
  <c r="EC100" i="3"/>
  <c r="EB100" i="3"/>
  <c r="EA100" i="3"/>
  <c r="DZ100" i="3"/>
  <c r="DY100" i="3"/>
  <c r="DX100" i="3"/>
  <c r="DW100" i="3"/>
  <c r="DV100" i="3"/>
  <c r="DU100" i="3"/>
  <c r="DT100" i="3"/>
  <c r="DS100" i="3"/>
  <c r="DR100" i="3"/>
  <c r="DQ100" i="3"/>
  <c r="DP100" i="3"/>
  <c r="DO100" i="3"/>
  <c r="DN100" i="3"/>
  <c r="DM100" i="3"/>
  <c r="DL100" i="3"/>
  <c r="DK100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NS99" i="3"/>
  <c r="NR99" i="3"/>
  <c r="NQ99" i="3"/>
  <c r="NP99" i="3"/>
  <c r="NO99" i="3"/>
  <c r="NN99" i="3"/>
  <c r="NM99" i="3"/>
  <c r="NL99" i="3"/>
  <c r="NK99" i="3"/>
  <c r="NJ99" i="3"/>
  <c r="NI99" i="3"/>
  <c r="NH99" i="3"/>
  <c r="NG99" i="3"/>
  <c r="NF99" i="3"/>
  <c r="NE99" i="3"/>
  <c r="ND99" i="3"/>
  <c r="NC99" i="3"/>
  <c r="NB99" i="3"/>
  <c r="NA99" i="3"/>
  <c r="MZ99" i="3"/>
  <c r="MY99" i="3"/>
  <c r="MX99" i="3"/>
  <c r="MW99" i="3"/>
  <c r="MV99" i="3"/>
  <c r="MU99" i="3"/>
  <c r="MT99" i="3"/>
  <c r="MS99" i="3"/>
  <c r="MR99" i="3"/>
  <c r="MQ99" i="3"/>
  <c r="MP99" i="3"/>
  <c r="MO99" i="3"/>
  <c r="MN99" i="3"/>
  <c r="MM99" i="3"/>
  <c r="ML99" i="3"/>
  <c r="MK99" i="3"/>
  <c r="MJ99" i="3"/>
  <c r="MI99" i="3"/>
  <c r="MH99" i="3"/>
  <c r="MG99" i="3"/>
  <c r="MF99" i="3"/>
  <c r="ME99" i="3"/>
  <c r="MD99" i="3"/>
  <c r="MC99" i="3"/>
  <c r="MB99" i="3"/>
  <c r="MA99" i="3"/>
  <c r="LZ99" i="3"/>
  <c r="LY99" i="3"/>
  <c r="LX99" i="3"/>
  <c r="LW99" i="3"/>
  <c r="LV99" i="3"/>
  <c r="LU99" i="3"/>
  <c r="LT99" i="3"/>
  <c r="LS99" i="3"/>
  <c r="LR99" i="3"/>
  <c r="LQ99" i="3"/>
  <c r="LP99" i="3"/>
  <c r="LO99" i="3"/>
  <c r="LN99" i="3"/>
  <c r="LM99" i="3"/>
  <c r="LL99" i="3"/>
  <c r="LK99" i="3"/>
  <c r="LJ99" i="3"/>
  <c r="LI99" i="3"/>
  <c r="LH99" i="3"/>
  <c r="LG99" i="3"/>
  <c r="LF99" i="3"/>
  <c r="LE99" i="3"/>
  <c r="LD99" i="3"/>
  <c r="LC99" i="3"/>
  <c r="LB99" i="3"/>
  <c r="LA99" i="3"/>
  <c r="KZ99" i="3"/>
  <c r="KY99" i="3"/>
  <c r="KX99" i="3"/>
  <c r="KW99" i="3"/>
  <c r="KV99" i="3"/>
  <c r="KU99" i="3"/>
  <c r="KT99" i="3"/>
  <c r="KS99" i="3"/>
  <c r="KR99" i="3"/>
  <c r="KQ99" i="3"/>
  <c r="KP99" i="3"/>
  <c r="KO99" i="3"/>
  <c r="KN99" i="3"/>
  <c r="KM99" i="3"/>
  <c r="KL99" i="3"/>
  <c r="KK99" i="3"/>
  <c r="KJ99" i="3"/>
  <c r="KI99" i="3"/>
  <c r="KH99" i="3"/>
  <c r="KG99" i="3"/>
  <c r="KF99" i="3"/>
  <c r="KE99" i="3"/>
  <c r="KD99" i="3"/>
  <c r="KC99" i="3"/>
  <c r="KB99" i="3"/>
  <c r="KA99" i="3"/>
  <c r="JZ99" i="3"/>
  <c r="JY99" i="3"/>
  <c r="JX99" i="3"/>
  <c r="JW99" i="3"/>
  <c r="JV99" i="3"/>
  <c r="JU99" i="3"/>
  <c r="JT99" i="3"/>
  <c r="JS99" i="3"/>
  <c r="JR99" i="3"/>
  <c r="JQ99" i="3"/>
  <c r="JP99" i="3"/>
  <c r="JO99" i="3"/>
  <c r="JN99" i="3"/>
  <c r="JM99" i="3"/>
  <c r="JL99" i="3"/>
  <c r="JK99" i="3"/>
  <c r="JJ99" i="3"/>
  <c r="JI99" i="3"/>
  <c r="JH99" i="3"/>
  <c r="JG99" i="3"/>
  <c r="JF99" i="3"/>
  <c r="JE99" i="3"/>
  <c r="JD99" i="3"/>
  <c r="JC99" i="3"/>
  <c r="JB99" i="3"/>
  <c r="JA99" i="3"/>
  <c r="IZ99" i="3"/>
  <c r="IY99" i="3"/>
  <c r="IX99" i="3"/>
  <c r="IW99" i="3"/>
  <c r="IV99" i="3"/>
  <c r="IU99" i="3"/>
  <c r="IT99" i="3"/>
  <c r="IS99" i="3"/>
  <c r="IR99" i="3"/>
  <c r="IQ99" i="3"/>
  <c r="IP99" i="3"/>
  <c r="IO99" i="3"/>
  <c r="IN99" i="3"/>
  <c r="IM99" i="3"/>
  <c r="IL99" i="3"/>
  <c r="IK99" i="3"/>
  <c r="IJ99" i="3"/>
  <c r="II99" i="3"/>
  <c r="IH99" i="3"/>
  <c r="IG99" i="3"/>
  <c r="IF99" i="3"/>
  <c r="IE99" i="3"/>
  <c r="ID99" i="3"/>
  <c r="IC99" i="3"/>
  <c r="IB99" i="3"/>
  <c r="IA99" i="3"/>
  <c r="HZ99" i="3"/>
  <c r="HY99" i="3"/>
  <c r="HX99" i="3"/>
  <c r="HW99" i="3"/>
  <c r="HV99" i="3"/>
  <c r="HU99" i="3"/>
  <c r="HT99" i="3"/>
  <c r="HS99" i="3"/>
  <c r="HR99" i="3"/>
  <c r="HQ99" i="3"/>
  <c r="HP99" i="3"/>
  <c r="HO99" i="3"/>
  <c r="HN99" i="3"/>
  <c r="HM99" i="3"/>
  <c r="HL99" i="3"/>
  <c r="HK99" i="3"/>
  <c r="HJ99" i="3"/>
  <c r="HI99" i="3"/>
  <c r="HH99" i="3"/>
  <c r="HG99" i="3"/>
  <c r="HF99" i="3"/>
  <c r="HE99" i="3"/>
  <c r="HD99" i="3"/>
  <c r="HC99" i="3"/>
  <c r="HB99" i="3"/>
  <c r="HA99" i="3"/>
  <c r="GZ99" i="3"/>
  <c r="GY99" i="3"/>
  <c r="GX99" i="3"/>
  <c r="GW99" i="3"/>
  <c r="GV99" i="3"/>
  <c r="GU99" i="3"/>
  <c r="GT99" i="3"/>
  <c r="GS99" i="3"/>
  <c r="GR99" i="3"/>
  <c r="GQ99" i="3"/>
  <c r="GP99" i="3"/>
  <c r="GO99" i="3"/>
  <c r="GN99" i="3"/>
  <c r="GM99" i="3"/>
  <c r="GL99" i="3"/>
  <c r="GK99" i="3"/>
  <c r="GJ99" i="3"/>
  <c r="GI99" i="3"/>
  <c r="GH99" i="3"/>
  <c r="GG99" i="3"/>
  <c r="GF99" i="3"/>
  <c r="GE99" i="3"/>
  <c r="GD99" i="3"/>
  <c r="GC99" i="3"/>
  <c r="GB99" i="3"/>
  <c r="GA99" i="3"/>
  <c r="FZ99" i="3"/>
  <c r="FY99" i="3"/>
  <c r="FX99" i="3"/>
  <c r="FW99" i="3"/>
  <c r="FV99" i="3"/>
  <c r="FU99" i="3"/>
  <c r="FT99" i="3"/>
  <c r="FS99" i="3"/>
  <c r="FR99" i="3"/>
  <c r="FQ99" i="3"/>
  <c r="FP99" i="3"/>
  <c r="FO99" i="3"/>
  <c r="FN99" i="3"/>
  <c r="FM99" i="3"/>
  <c r="FL99" i="3"/>
  <c r="FK99" i="3"/>
  <c r="FJ99" i="3"/>
  <c r="FI99" i="3"/>
  <c r="FH99" i="3"/>
  <c r="FG99" i="3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PD98" i="3"/>
  <c r="PC98" i="3"/>
  <c r="OZ98" i="3"/>
  <c r="OY98" i="3"/>
  <c r="OV98" i="3"/>
  <c r="OU98" i="3"/>
  <c r="OR98" i="3"/>
  <c r="OP98" i="3" s="1"/>
  <c r="OQ98" i="3"/>
  <c r="ON98" i="3"/>
  <c r="OL98" i="3" s="1"/>
  <c r="OM98" i="3"/>
  <c r="OJ98" i="3"/>
  <c r="OI98" i="3"/>
  <c r="OF98" i="3"/>
  <c r="OD98" i="3" s="1"/>
  <c r="OE98" i="3"/>
  <c r="OB98" i="3"/>
  <c r="NZ98" i="3" s="1"/>
  <c r="OA98" i="3"/>
  <c r="NX98" i="3"/>
  <c r="NW98" i="3"/>
  <c r="NT98" i="3"/>
  <c r="PD97" i="3"/>
  <c r="PB97" i="3" s="1"/>
  <c r="PC97" i="3"/>
  <c r="OZ97" i="3"/>
  <c r="OX97" i="3" s="1"/>
  <c r="OY97" i="3"/>
  <c r="OV97" i="3"/>
  <c r="OT97" i="3" s="1"/>
  <c r="OU97" i="3"/>
  <c r="OR97" i="3"/>
  <c r="OP97" i="3" s="1"/>
  <c r="OQ97" i="3"/>
  <c r="ON97" i="3"/>
  <c r="OL97" i="3" s="1"/>
  <c r="OM97" i="3"/>
  <c r="OJ97" i="3"/>
  <c r="OH97" i="3" s="1"/>
  <c r="OI97" i="3"/>
  <c r="OF97" i="3"/>
  <c r="OD97" i="3" s="1"/>
  <c r="OE97" i="3"/>
  <c r="OB97" i="3"/>
  <c r="OA97" i="3"/>
  <c r="NX97" i="3"/>
  <c r="NV97" i="3" s="1"/>
  <c r="NW97" i="3"/>
  <c r="NT97" i="3"/>
  <c r="PD96" i="3"/>
  <c r="PB96" i="3" s="1"/>
  <c r="PC96" i="3"/>
  <c r="OZ96" i="3"/>
  <c r="OX96" i="3" s="1"/>
  <c r="OY96" i="3"/>
  <c r="OV96" i="3"/>
  <c r="OT96" i="3" s="1"/>
  <c r="OU96" i="3"/>
  <c r="OR96" i="3"/>
  <c r="OQ96" i="3"/>
  <c r="ON96" i="3"/>
  <c r="OL96" i="3" s="1"/>
  <c r="OM96" i="3"/>
  <c r="OJ96" i="3"/>
  <c r="OH96" i="3" s="1"/>
  <c r="OI96" i="3"/>
  <c r="OF96" i="3"/>
  <c r="OD96" i="3" s="1"/>
  <c r="OE96" i="3"/>
  <c r="OB96" i="3"/>
  <c r="OA96" i="3"/>
  <c r="NX96" i="3"/>
  <c r="NW96" i="3"/>
  <c r="NT96" i="3"/>
  <c r="PD95" i="3"/>
  <c r="PC95" i="3"/>
  <c r="OZ95" i="3"/>
  <c r="OY95" i="3"/>
  <c r="OV95" i="3"/>
  <c r="OU95" i="3"/>
  <c r="OR95" i="3"/>
  <c r="OP95" i="3" s="1"/>
  <c r="OQ95" i="3"/>
  <c r="ON95" i="3"/>
  <c r="OM95" i="3"/>
  <c r="OJ95" i="3"/>
  <c r="OI95" i="3"/>
  <c r="OF95" i="3"/>
  <c r="OE95" i="3"/>
  <c r="OB95" i="3"/>
  <c r="NZ95" i="3" s="1"/>
  <c r="OA95" i="3"/>
  <c r="NX95" i="3"/>
  <c r="NW95" i="3"/>
  <c r="NT95" i="3"/>
  <c r="PD90" i="3"/>
  <c r="PB90" i="3" s="1"/>
  <c r="PC90" i="3"/>
  <c r="OZ90" i="3"/>
  <c r="OX90" i="3" s="1"/>
  <c r="OY90" i="3"/>
  <c r="OV90" i="3"/>
  <c r="OU90" i="3"/>
  <c r="OR90" i="3"/>
  <c r="OQ90" i="3"/>
  <c r="ON90" i="3"/>
  <c r="OL90" i="3" s="1"/>
  <c r="OM90" i="3"/>
  <c r="OJ90" i="3"/>
  <c r="OH90" i="3" s="1"/>
  <c r="OI90" i="3"/>
  <c r="OF90" i="3"/>
  <c r="OD90" i="3" s="1"/>
  <c r="OE90" i="3"/>
  <c r="OB90" i="3"/>
  <c r="NZ90" i="3" s="1"/>
  <c r="OA90" i="3"/>
  <c r="NX90" i="3"/>
  <c r="NW90" i="3"/>
  <c r="NT90" i="3"/>
  <c r="PD89" i="3"/>
  <c r="PB89" i="3" s="1"/>
  <c r="PC89" i="3"/>
  <c r="OZ89" i="3"/>
  <c r="OY89" i="3"/>
  <c r="OV89" i="3"/>
  <c r="OT89" i="3" s="1"/>
  <c r="OU89" i="3"/>
  <c r="OR89" i="3"/>
  <c r="OP89" i="3" s="1"/>
  <c r="OQ89" i="3"/>
  <c r="ON89" i="3"/>
  <c r="OM89" i="3"/>
  <c r="OJ89" i="3"/>
  <c r="OH89" i="3" s="1"/>
  <c r="OI89" i="3"/>
  <c r="OF89" i="3"/>
  <c r="OD89" i="3" s="1"/>
  <c r="OE89" i="3"/>
  <c r="OB89" i="3"/>
  <c r="OA89" i="3"/>
  <c r="NX89" i="3"/>
  <c r="NV89" i="3" s="1"/>
  <c r="NW89" i="3"/>
  <c r="NT89" i="3"/>
  <c r="PD88" i="3"/>
  <c r="PB88" i="3" s="1"/>
  <c r="PC88" i="3"/>
  <c r="OZ88" i="3"/>
  <c r="OX88" i="3" s="1"/>
  <c r="OY88" i="3"/>
  <c r="OV88" i="3"/>
  <c r="OU88" i="3"/>
  <c r="OR88" i="3"/>
  <c r="OQ88" i="3"/>
  <c r="ON88" i="3"/>
  <c r="OL88" i="3" s="1"/>
  <c r="OM88" i="3"/>
  <c r="OJ88" i="3"/>
  <c r="OH88" i="3" s="1"/>
  <c r="OI88" i="3"/>
  <c r="OF88" i="3"/>
  <c r="OE88" i="3"/>
  <c r="OB88" i="3"/>
  <c r="OA88" i="3"/>
  <c r="NX88" i="3"/>
  <c r="NV88" i="3" s="1"/>
  <c r="NW88" i="3"/>
  <c r="NT88" i="3"/>
  <c r="PD87" i="3"/>
  <c r="PC87" i="3"/>
  <c r="OZ87" i="3"/>
  <c r="OY87" i="3"/>
  <c r="OV87" i="3"/>
  <c r="OT87" i="3" s="1"/>
  <c r="OU87" i="3"/>
  <c r="OR87" i="3"/>
  <c r="OP87" i="3" s="1"/>
  <c r="OQ87" i="3"/>
  <c r="ON87" i="3"/>
  <c r="OM87" i="3"/>
  <c r="OJ87" i="3"/>
  <c r="OI87" i="3"/>
  <c r="OF87" i="3"/>
  <c r="OD87" i="3" s="1"/>
  <c r="OE87" i="3"/>
  <c r="OB87" i="3"/>
  <c r="NZ87" i="3" s="1"/>
  <c r="OA87" i="3"/>
  <c r="NX87" i="3"/>
  <c r="NW87" i="3"/>
  <c r="NT87" i="3"/>
  <c r="PD86" i="3"/>
  <c r="PB86" i="3" s="1"/>
  <c r="PC86" i="3"/>
  <c r="OZ86" i="3"/>
  <c r="OX86" i="3" s="1"/>
  <c r="OY86" i="3"/>
  <c r="OV86" i="3"/>
  <c r="OT86" i="3" s="1"/>
  <c r="OU86" i="3"/>
  <c r="OR86" i="3"/>
  <c r="OP86" i="3" s="1"/>
  <c r="OQ86" i="3"/>
  <c r="ON86" i="3"/>
  <c r="OL86" i="3" s="1"/>
  <c r="OM86" i="3"/>
  <c r="OJ86" i="3"/>
  <c r="OH86" i="3" s="1"/>
  <c r="OI86" i="3"/>
  <c r="OF86" i="3"/>
  <c r="OD86" i="3" s="1"/>
  <c r="OE86" i="3"/>
  <c r="OB86" i="3"/>
  <c r="NZ86" i="3" s="1"/>
  <c r="OA86" i="3"/>
  <c r="NX86" i="3"/>
  <c r="NW86" i="3"/>
  <c r="NT86" i="3"/>
  <c r="PD85" i="3"/>
  <c r="PB85" i="3" s="1"/>
  <c r="PC85" i="3"/>
  <c r="OZ85" i="3"/>
  <c r="OX85" i="3" s="1"/>
  <c r="OY85" i="3"/>
  <c r="OV85" i="3"/>
  <c r="OT85" i="3" s="1"/>
  <c r="OU85" i="3"/>
  <c r="OR85" i="3"/>
  <c r="OP85" i="3" s="1"/>
  <c r="OQ85" i="3"/>
  <c r="ON85" i="3"/>
  <c r="OL85" i="3" s="1"/>
  <c r="OM85" i="3"/>
  <c r="OJ85" i="3"/>
  <c r="OH85" i="3" s="1"/>
  <c r="OI85" i="3"/>
  <c r="OF85" i="3"/>
  <c r="OD85" i="3" s="1"/>
  <c r="OE85" i="3"/>
  <c r="OB85" i="3"/>
  <c r="NZ85" i="3" s="1"/>
  <c r="OA85" i="3"/>
  <c r="NX85" i="3"/>
  <c r="NV85" i="3" s="1"/>
  <c r="NW85" i="3"/>
  <c r="NT85" i="3"/>
  <c r="PD84" i="3"/>
  <c r="PB84" i="3" s="1"/>
  <c r="PC84" i="3"/>
  <c r="OZ84" i="3"/>
  <c r="OY84" i="3"/>
  <c r="OV84" i="3"/>
  <c r="OU84" i="3"/>
  <c r="OR84" i="3"/>
  <c r="OQ84" i="3"/>
  <c r="ON84" i="3"/>
  <c r="OL84" i="3" s="1"/>
  <c r="OM84" i="3"/>
  <c r="OJ84" i="3"/>
  <c r="OI84" i="3"/>
  <c r="OF84" i="3"/>
  <c r="OD84" i="3" s="1"/>
  <c r="OE84" i="3"/>
  <c r="OB84" i="3"/>
  <c r="OA84" i="3"/>
  <c r="NX84" i="3"/>
  <c r="NW84" i="3"/>
  <c r="NT84" i="3"/>
  <c r="PD83" i="3"/>
  <c r="PC83" i="3"/>
  <c r="OZ83" i="3"/>
  <c r="OX83" i="3" s="1"/>
  <c r="OY83" i="3"/>
  <c r="OV83" i="3"/>
  <c r="OU83" i="3"/>
  <c r="OR83" i="3"/>
  <c r="OP83" i="3" s="1"/>
  <c r="OQ83" i="3"/>
  <c r="ON83" i="3"/>
  <c r="OM83" i="3"/>
  <c r="OJ83" i="3"/>
  <c r="OH83" i="3" s="1"/>
  <c r="OI83" i="3"/>
  <c r="OF83" i="3"/>
  <c r="OE83" i="3"/>
  <c r="OB83" i="3"/>
  <c r="NZ83" i="3" s="1"/>
  <c r="OA83" i="3"/>
  <c r="NX83" i="3"/>
  <c r="NV83" i="3" s="1"/>
  <c r="NW83" i="3"/>
  <c r="NT83" i="3"/>
  <c r="PD82" i="3"/>
  <c r="PB82" i="3" s="1"/>
  <c r="PC82" i="3"/>
  <c r="OZ82" i="3"/>
  <c r="OX82" i="3" s="1"/>
  <c r="OY82" i="3"/>
  <c r="OV82" i="3"/>
  <c r="OT82" i="3" s="1"/>
  <c r="OU82" i="3"/>
  <c r="OR82" i="3"/>
  <c r="OP82" i="3" s="1"/>
  <c r="OQ82" i="3"/>
  <c r="ON82" i="3"/>
  <c r="OL82" i="3" s="1"/>
  <c r="OM82" i="3"/>
  <c r="OJ82" i="3"/>
  <c r="OH82" i="3" s="1"/>
  <c r="OI82" i="3"/>
  <c r="OF82" i="3"/>
  <c r="OD82" i="3" s="1"/>
  <c r="OE82" i="3"/>
  <c r="OB82" i="3"/>
  <c r="OA82" i="3"/>
  <c r="NX82" i="3"/>
  <c r="NW82" i="3"/>
  <c r="NT82" i="3"/>
  <c r="PD81" i="3"/>
  <c r="PB81" i="3" s="1"/>
  <c r="PC81" i="3"/>
  <c r="OZ81" i="3"/>
  <c r="OX81" i="3" s="1"/>
  <c r="OY81" i="3"/>
  <c r="OV81" i="3"/>
  <c r="OT81" i="3" s="1"/>
  <c r="OU81" i="3"/>
  <c r="OR81" i="3"/>
  <c r="OP81" i="3" s="1"/>
  <c r="OQ81" i="3"/>
  <c r="ON81" i="3"/>
  <c r="OL81" i="3" s="1"/>
  <c r="OM81" i="3"/>
  <c r="OJ81" i="3"/>
  <c r="OH81" i="3" s="1"/>
  <c r="OI81" i="3"/>
  <c r="OF81" i="3"/>
  <c r="OD81" i="3" s="1"/>
  <c r="OE81" i="3"/>
  <c r="OB81" i="3"/>
  <c r="NZ81" i="3" s="1"/>
  <c r="OA81" i="3"/>
  <c r="NX81" i="3"/>
  <c r="NV81" i="3" s="1"/>
  <c r="NW81" i="3"/>
  <c r="NT81" i="3"/>
  <c r="PD94" i="3"/>
  <c r="PB94" i="3" s="1"/>
  <c r="PC94" i="3"/>
  <c r="OZ94" i="3"/>
  <c r="OX94" i="3" s="1"/>
  <c r="OY94" i="3"/>
  <c r="OV94" i="3"/>
  <c r="OT94" i="3" s="1"/>
  <c r="OU94" i="3"/>
  <c r="OR94" i="3"/>
  <c r="OQ94" i="3"/>
  <c r="ON94" i="3"/>
  <c r="OL94" i="3" s="1"/>
  <c r="OM94" i="3"/>
  <c r="OJ94" i="3"/>
  <c r="OH94" i="3" s="1"/>
  <c r="OI94" i="3"/>
  <c r="OF94" i="3"/>
  <c r="OD94" i="3" s="1"/>
  <c r="OE94" i="3"/>
  <c r="OB94" i="3"/>
  <c r="OA94" i="3"/>
  <c r="NX94" i="3"/>
  <c r="NV94" i="3" s="1"/>
  <c r="NW94" i="3"/>
  <c r="NT94" i="3"/>
  <c r="PD93" i="3"/>
  <c r="PC93" i="3"/>
  <c r="OZ93" i="3"/>
  <c r="OY93" i="3"/>
  <c r="OV93" i="3"/>
  <c r="OU93" i="3"/>
  <c r="OR93" i="3"/>
  <c r="OP93" i="3" s="1"/>
  <c r="OQ93" i="3"/>
  <c r="ON93" i="3"/>
  <c r="OM93" i="3"/>
  <c r="OJ93" i="3"/>
  <c r="OI93" i="3"/>
  <c r="OF93" i="3"/>
  <c r="OE93" i="3"/>
  <c r="OB93" i="3"/>
  <c r="NZ93" i="3" s="1"/>
  <c r="OA93" i="3"/>
  <c r="NX93" i="3"/>
  <c r="NW93" i="3"/>
  <c r="NT93" i="3"/>
  <c r="PD92" i="3"/>
  <c r="PB92" i="3" s="1"/>
  <c r="PC92" i="3"/>
  <c r="OZ92" i="3"/>
  <c r="OY92" i="3"/>
  <c r="OV92" i="3"/>
  <c r="OT92" i="3" s="1"/>
  <c r="OU92" i="3"/>
  <c r="OR92" i="3"/>
  <c r="OP92" i="3" s="1"/>
  <c r="OQ92" i="3"/>
  <c r="ON92" i="3"/>
  <c r="OL92" i="3" s="1"/>
  <c r="OM92" i="3"/>
  <c r="OJ92" i="3"/>
  <c r="OI92" i="3"/>
  <c r="OF92" i="3"/>
  <c r="OD92" i="3" s="1"/>
  <c r="OE92" i="3"/>
  <c r="OB92" i="3"/>
  <c r="OA92" i="3"/>
  <c r="NX92" i="3"/>
  <c r="NW92" i="3"/>
  <c r="NT92" i="3"/>
  <c r="PD91" i="3"/>
  <c r="PB91" i="3" s="1"/>
  <c r="PC91" i="3"/>
  <c r="OZ91" i="3"/>
  <c r="OX91" i="3" s="1"/>
  <c r="OY91" i="3"/>
  <c r="OV91" i="3"/>
  <c r="OT91" i="3" s="1"/>
  <c r="OU91" i="3"/>
  <c r="OR91" i="3"/>
  <c r="OP91" i="3" s="1"/>
  <c r="OQ91" i="3"/>
  <c r="ON91" i="3"/>
  <c r="OL91" i="3" s="1"/>
  <c r="OM91" i="3"/>
  <c r="OJ91" i="3"/>
  <c r="OH91" i="3" s="1"/>
  <c r="OI91" i="3"/>
  <c r="OF91" i="3"/>
  <c r="OD91" i="3" s="1"/>
  <c r="OE91" i="3"/>
  <c r="OB91" i="3"/>
  <c r="NZ91" i="3" s="1"/>
  <c r="OA91" i="3"/>
  <c r="NX91" i="3"/>
  <c r="NV91" i="3" s="1"/>
  <c r="NW91" i="3"/>
  <c r="NT91" i="3"/>
  <c r="PD80" i="3"/>
  <c r="PB80" i="3" s="1"/>
  <c r="PC80" i="3"/>
  <c r="OZ80" i="3"/>
  <c r="OX80" i="3" s="1"/>
  <c r="OY80" i="3"/>
  <c r="OV80" i="3"/>
  <c r="OT80" i="3" s="1"/>
  <c r="OU80" i="3"/>
  <c r="OR80" i="3"/>
  <c r="OP80" i="3" s="1"/>
  <c r="OQ80" i="3"/>
  <c r="ON80" i="3"/>
  <c r="OL80" i="3" s="1"/>
  <c r="OM80" i="3"/>
  <c r="OJ80" i="3"/>
  <c r="OH80" i="3" s="1"/>
  <c r="OI80" i="3"/>
  <c r="OF80" i="3"/>
  <c r="OD80" i="3" s="1"/>
  <c r="OE80" i="3"/>
  <c r="OB80" i="3"/>
  <c r="NZ80" i="3" s="1"/>
  <c r="OA80" i="3"/>
  <c r="NX80" i="3"/>
  <c r="NV80" i="3" s="1"/>
  <c r="NW80" i="3"/>
  <c r="NT80" i="3"/>
  <c r="PD79" i="3"/>
  <c r="PB79" i="3" s="1"/>
  <c r="PC79" i="3"/>
  <c r="OZ79" i="3"/>
  <c r="OX79" i="3" s="1"/>
  <c r="OY79" i="3"/>
  <c r="OV79" i="3"/>
  <c r="OT79" i="3" s="1"/>
  <c r="OU79" i="3"/>
  <c r="OR79" i="3"/>
  <c r="OP79" i="3" s="1"/>
  <c r="OQ79" i="3"/>
  <c r="ON79" i="3"/>
  <c r="OL79" i="3" s="1"/>
  <c r="OM79" i="3"/>
  <c r="OJ79" i="3"/>
  <c r="OH79" i="3" s="1"/>
  <c r="OI79" i="3"/>
  <c r="OF79" i="3"/>
  <c r="OD79" i="3" s="1"/>
  <c r="OE79" i="3"/>
  <c r="OB79" i="3"/>
  <c r="NZ79" i="3" s="1"/>
  <c r="OA79" i="3"/>
  <c r="NX79" i="3"/>
  <c r="NV79" i="3" s="1"/>
  <c r="NW79" i="3"/>
  <c r="NT79" i="3"/>
  <c r="PD72" i="3"/>
  <c r="PB72" i="3" s="1"/>
  <c r="PC72" i="3"/>
  <c r="OZ72" i="3"/>
  <c r="OX72" i="3" s="1"/>
  <c r="OY72" i="3"/>
  <c r="OV72" i="3"/>
  <c r="OT72" i="3" s="1"/>
  <c r="OU72" i="3"/>
  <c r="OR72" i="3"/>
  <c r="OQ72" i="3"/>
  <c r="ON72" i="3"/>
  <c r="OM72" i="3"/>
  <c r="OJ72" i="3"/>
  <c r="OH72" i="3" s="1"/>
  <c r="OI72" i="3"/>
  <c r="OF72" i="3"/>
  <c r="OE72" i="3"/>
  <c r="OB72" i="3"/>
  <c r="OA72" i="3"/>
  <c r="NX72" i="3"/>
  <c r="NW72" i="3"/>
  <c r="NT72" i="3"/>
  <c r="PD71" i="3"/>
  <c r="PB71" i="3" s="1"/>
  <c r="PC71" i="3"/>
  <c r="OZ71" i="3"/>
  <c r="OY71" i="3"/>
  <c r="OV71" i="3"/>
  <c r="OT71" i="3" s="1"/>
  <c r="OU71" i="3"/>
  <c r="OR71" i="3"/>
  <c r="OQ71" i="3"/>
  <c r="ON71" i="3"/>
  <c r="OL71" i="3" s="1"/>
  <c r="OM71" i="3"/>
  <c r="OJ71" i="3"/>
  <c r="OI71" i="3"/>
  <c r="OF71" i="3"/>
  <c r="OD71" i="3" s="1"/>
  <c r="OE71" i="3"/>
  <c r="OB71" i="3"/>
  <c r="OA71" i="3"/>
  <c r="NX71" i="3"/>
  <c r="NV71" i="3" s="1"/>
  <c r="NW71" i="3"/>
  <c r="NT71" i="3"/>
  <c r="PD70" i="3"/>
  <c r="PB70" i="3" s="1"/>
  <c r="PC70" i="3"/>
  <c r="OZ70" i="3"/>
  <c r="OX70" i="3" s="1"/>
  <c r="OY70" i="3"/>
  <c r="OV70" i="3"/>
  <c r="OU70" i="3"/>
  <c r="OR70" i="3"/>
  <c r="OP70" i="3" s="1"/>
  <c r="OQ70" i="3"/>
  <c r="ON70" i="3"/>
  <c r="OM70" i="3"/>
  <c r="OJ70" i="3"/>
  <c r="OI70" i="3"/>
  <c r="OF70" i="3"/>
  <c r="OD70" i="3" s="1"/>
  <c r="OE70" i="3"/>
  <c r="OB70" i="3"/>
  <c r="OA70" i="3"/>
  <c r="NX70" i="3"/>
  <c r="NV70" i="3" s="1"/>
  <c r="NW70" i="3"/>
  <c r="NT70" i="3"/>
  <c r="PD69" i="3"/>
  <c r="PB69" i="3" s="1"/>
  <c r="PC69" i="3"/>
  <c r="OZ69" i="3"/>
  <c r="OX69" i="3" s="1"/>
  <c r="OY69" i="3"/>
  <c r="OV69" i="3"/>
  <c r="OT69" i="3" s="1"/>
  <c r="OU69" i="3"/>
  <c r="OR69" i="3"/>
  <c r="OP69" i="3" s="1"/>
  <c r="OQ69" i="3"/>
  <c r="ON69" i="3"/>
  <c r="OL69" i="3" s="1"/>
  <c r="OM69" i="3"/>
  <c r="OJ69" i="3"/>
  <c r="OH69" i="3" s="1"/>
  <c r="OI69" i="3"/>
  <c r="OF69" i="3"/>
  <c r="OD69" i="3" s="1"/>
  <c r="OE69" i="3"/>
  <c r="OB69" i="3"/>
  <c r="NZ69" i="3" s="1"/>
  <c r="OA69" i="3"/>
  <c r="NX69" i="3"/>
  <c r="NV69" i="3" s="1"/>
  <c r="NW69" i="3"/>
  <c r="NT69" i="3"/>
  <c r="PD68" i="3"/>
  <c r="PB68" i="3" s="1"/>
  <c r="PC68" i="3"/>
  <c r="OZ68" i="3"/>
  <c r="OX68" i="3" s="1"/>
  <c r="OY68" i="3"/>
  <c r="OV68" i="3"/>
  <c r="OT68" i="3" s="1"/>
  <c r="OU68" i="3"/>
  <c r="OR68" i="3"/>
  <c r="OQ68" i="3"/>
  <c r="ON68" i="3"/>
  <c r="OM68" i="3"/>
  <c r="OJ68" i="3"/>
  <c r="OH68" i="3" s="1"/>
  <c r="OI68" i="3"/>
  <c r="OF68" i="3"/>
  <c r="OD68" i="3" s="1"/>
  <c r="OE68" i="3"/>
  <c r="OB68" i="3"/>
  <c r="OA68" i="3"/>
  <c r="NX68" i="3"/>
  <c r="NW68" i="3"/>
  <c r="NT68" i="3"/>
  <c r="PD67" i="3"/>
  <c r="PC67" i="3"/>
  <c r="OZ67" i="3"/>
  <c r="OY67" i="3"/>
  <c r="OV67" i="3"/>
  <c r="OU67" i="3"/>
  <c r="OR67" i="3"/>
  <c r="OQ67" i="3"/>
  <c r="ON67" i="3"/>
  <c r="OM67" i="3"/>
  <c r="OJ67" i="3"/>
  <c r="OI67" i="3"/>
  <c r="OF67" i="3"/>
  <c r="OE67" i="3"/>
  <c r="OB67" i="3"/>
  <c r="OA67" i="3"/>
  <c r="NX67" i="3"/>
  <c r="NW67" i="3"/>
  <c r="NT67" i="3"/>
  <c r="PD66" i="3"/>
  <c r="PB66" i="3" s="1"/>
  <c r="PC66" i="3"/>
  <c r="OZ66" i="3"/>
  <c r="OY66" i="3"/>
  <c r="OV66" i="3"/>
  <c r="OU66" i="3"/>
  <c r="OR66" i="3"/>
  <c r="OP66" i="3" s="1"/>
  <c r="OQ66" i="3"/>
  <c r="ON66" i="3"/>
  <c r="OM66" i="3"/>
  <c r="OJ66" i="3"/>
  <c r="OH66" i="3" s="1"/>
  <c r="OI66" i="3"/>
  <c r="OF66" i="3"/>
  <c r="OD66" i="3" s="1"/>
  <c r="OE66" i="3"/>
  <c r="OB66" i="3"/>
  <c r="OA66" i="3"/>
  <c r="NX66" i="3"/>
  <c r="NW66" i="3"/>
  <c r="NT66" i="3"/>
  <c r="PD65" i="3"/>
  <c r="PB65" i="3" s="1"/>
  <c r="PC65" i="3"/>
  <c r="OZ65" i="3"/>
  <c r="OX65" i="3" s="1"/>
  <c r="OY65" i="3"/>
  <c r="OV65" i="3"/>
  <c r="OT65" i="3" s="1"/>
  <c r="OU65" i="3"/>
  <c r="OR65" i="3"/>
  <c r="OP65" i="3" s="1"/>
  <c r="OQ65" i="3"/>
  <c r="ON65" i="3"/>
  <c r="OL65" i="3" s="1"/>
  <c r="OM65" i="3"/>
  <c r="OJ65" i="3"/>
  <c r="OH65" i="3" s="1"/>
  <c r="OI65" i="3"/>
  <c r="OF65" i="3"/>
  <c r="OD65" i="3" s="1"/>
  <c r="OE65" i="3"/>
  <c r="OB65" i="3"/>
  <c r="NZ65" i="3" s="1"/>
  <c r="OA65" i="3"/>
  <c r="NX65" i="3"/>
  <c r="NV65" i="3" s="1"/>
  <c r="NW65" i="3"/>
  <c r="NT65" i="3"/>
  <c r="PD74" i="3"/>
  <c r="PB74" i="3" s="1"/>
  <c r="PC74" i="3"/>
  <c r="OZ74" i="3"/>
  <c r="OX74" i="3" s="1"/>
  <c r="OY74" i="3"/>
  <c r="OV74" i="3"/>
  <c r="OU74" i="3"/>
  <c r="OR74" i="3"/>
  <c r="OQ74" i="3"/>
  <c r="ON74" i="3"/>
  <c r="OL74" i="3" s="1"/>
  <c r="OM74" i="3"/>
  <c r="OJ74" i="3"/>
  <c r="OI74" i="3"/>
  <c r="OF74" i="3"/>
  <c r="OD74" i="3" s="1"/>
  <c r="OE74" i="3"/>
  <c r="OB74" i="3"/>
  <c r="NZ74" i="3" s="1"/>
  <c r="OA74" i="3"/>
  <c r="NX74" i="3"/>
  <c r="NW74" i="3"/>
  <c r="NT74" i="3"/>
  <c r="PD73" i="3"/>
  <c r="PB73" i="3" s="1"/>
  <c r="PC73" i="3"/>
  <c r="OZ73" i="3"/>
  <c r="OY73" i="3"/>
  <c r="OV73" i="3"/>
  <c r="OT73" i="3" s="1"/>
  <c r="OU73" i="3"/>
  <c r="OR73" i="3"/>
  <c r="OQ73" i="3"/>
  <c r="ON73" i="3"/>
  <c r="OM73" i="3"/>
  <c r="OJ73" i="3"/>
  <c r="OH73" i="3" s="1"/>
  <c r="OI73" i="3"/>
  <c r="OF73" i="3"/>
  <c r="OE73" i="3"/>
  <c r="OB73" i="3"/>
  <c r="OA73" i="3"/>
  <c r="NX73" i="3"/>
  <c r="NV73" i="3" s="1"/>
  <c r="NW73" i="3"/>
  <c r="NT73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PD130" i="3"/>
  <c r="PB130" i="3" s="1"/>
  <c r="PC130" i="3"/>
  <c r="OZ130" i="3"/>
  <c r="OY130" i="3"/>
  <c r="OV130" i="3"/>
  <c r="OU130" i="3"/>
  <c r="OR130" i="3"/>
  <c r="OQ130" i="3"/>
  <c r="ON130" i="3"/>
  <c r="OM130" i="3"/>
  <c r="OJ130" i="3"/>
  <c r="OI130" i="3"/>
  <c r="OF130" i="3"/>
  <c r="OE130" i="3"/>
  <c r="OB130" i="3"/>
  <c r="OA130" i="3"/>
  <c r="NX130" i="3"/>
  <c r="NW130" i="3"/>
  <c r="NT130" i="3"/>
  <c r="PD129" i="3"/>
  <c r="PB129" i="3" s="1"/>
  <c r="PC129" i="3"/>
  <c r="OZ129" i="3"/>
  <c r="OX129" i="3" s="1"/>
  <c r="OY129" i="3"/>
  <c r="OV129" i="3"/>
  <c r="OT129" i="3" s="1"/>
  <c r="OU129" i="3"/>
  <c r="OR129" i="3"/>
  <c r="OP129" i="3" s="1"/>
  <c r="OQ129" i="3"/>
  <c r="ON129" i="3"/>
  <c r="OL129" i="3" s="1"/>
  <c r="OM129" i="3"/>
  <c r="OJ129" i="3"/>
  <c r="OH129" i="3" s="1"/>
  <c r="OI129" i="3"/>
  <c r="OF129" i="3"/>
  <c r="OD129" i="3" s="1"/>
  <c r="OE129" i="3"/>
  <c r="OB129" i="3"/>
  <c r="NZ129" i="3" s="1"/>
  <c r="OA129" i="3"/>
  <c r="NX129" i="3"/>
  <c r="NV129" i="3" s="1"/>
  <c r="NW129" i="3"/>
  <c r="NT129" i="3"/>
  <c r="PD62" i="3"/>
  <c r="PB62" i="3" s="1"/>
  <c r="PC62" i="3"/>
  <c r="OZ62" i="3"/>
  <c r="OY62" i="3"/>
  <c r="OV62" i="3"/>
  <c r="OU62" i="3"/>
  <c r="OR62" i="3"/>
  <c r="OQ62" i="3"/>
  <c r="ON62" i="3"/>
  <c r="OM62" i="3"/>
  <c r="OJ62" i="3"/>
  <c r="OI62" i="3"/>
  <c r="OF62" i="3"/>
  <c r="OE62" i="3"/>
  <c r="OB62" i="3"/>
  <c r="OA62" i="3"/>
  <c r="NX62" i="3"/>
  <c r="NV62" i="3" s="1"/>
  <c r="NW62" i="3"/>
  <c r="NT62" i="3"/>
  <c r="PD61" i="3"/>
  <c r="PC61" i="3"/>
  <c r="OZ61" i="3"/>
  <c r="OX61" i="3" s="1"/>
  <c r="OY61" i="3"/>
  <c r="OV61" i="3"/>
  <c r="OT61" i="3" s="1"/>
  <c r="OU61" i="3"/>
  <c r="OR61" i="3"/>
  <c r="OP61" i="3" s="1"/>
  <c r="OQ61" i="3"/>
  <c r="ON61" i="3"/>
  <c r="OM61" i="3"/>
  <c r="OJ61" i="3"/>
  <c r="OH61" i="3" s="1"/>
  <c r="OI61" i="3"/>
  <c r="OF61" i="3"/>
  <c r="OD61" i="3" s="1"/>
  <c r="OE61" i="3"/>
  <c r="OB61" i="3"/>
  <c r="NZ61" i="3" s="1"/>
  <c r="OA61" i="3"/>
  <c r="NX61" i="3"/>
  <c r="NW61" i="3"/>
  <c r="NT61" i="3"/>
  <c r="PD52" i="3"/>
  <c r="PB52" i="3" s="1"/>
  <c r="PC52" i="3"/>
  <c r="OZ52" i="3"/>
  <c r="OX52" i="3" s="1"/>
  <c r="OY52" i="3"/>
  <c r="OV52" i="3"/>
  <c r="OU52" i="3"/>
  <c r="OR52" i="3"/>
  <c r="OQ52" i="3"/>
  <c r="ON52" i="3"/>
  <c r="OM52" i="3"/>
  <c r="OJ52" i="3"/>
  <c r="OI52" i="3"/>
  <c r="OF52" i="3"/>
  <c r="OE52" i="3"/>
  <c r="OB52" i="3"/>
  <c r="OA52" i="3"/>
  <c r="NX52" i="3"/>
  <c r="NW52" i="3"/>
  <c r="NT52" i="3"/>
  <c r="PD51" i="3"/>
  <c r="PC51" i="3"/>
  <c r="OZ51" i="3"/>
  <c r="OY51" i="3"/>
  <c r="OV51" i="3"/>
  <c r="OU51" i="3"/>
  <c r="OR51" i="3"/>
  <c r="OP51" i="3" s="1"/>
  <c r="OQ51" i="3"/>
  <c r="ON51" i="3"/>
  <c r="OM51" i="3"/>
  <c r="OJ51" i="3"/>
  <c r="OI51" i="3"/>
  <c r="OF51" i="3"/>
  <c r="OE51" i="3"/>
  <c r="OB51" i="3"/>
  <c r="NZ51" i="3" s="1"/>
  <c r="OA51" i="3"/>
  <c r="NX51" i="3"/>
  <c r="NW51" i="3"/>
  <c r="NT51" i="3"/>
  <c r="PD50" i="3"/>
  <c r="PB50" i="3" s="1"/>
  <c r="PC50" i="3"/>
  <c r="OZ50" i="3"/>
  <c r="OY50" i="3"/>
  <c r="OV50" i="3"/>
  <c r="OU50" i="3"/>
  <c r="OR50" i="3"/>
  <c r="OQ50" i="3"/>
  <c r="ON50" i="3"/>
  <c r="OM50" i="3"/>
  <c r="OJ50" i="3"/>
  <c r="OI50" i="3"/>
  <c r="OF50" i="3"/>
  <c r="OE50" i="3"/>
  <c r="OB50" i="3"/>
  <c r="OA50" i="3"/>
  <c r="NX50" i="3"/>
  <c r="NV50" i="3" s="1"/>
  <c r="NW50" i="3"/>
  <c r="NT50" i="3"/>
  <c r="PD49" i="3"/>
  <c r="PB49" i="3" s="1"/>
  <c r="PC49" i="3"/>
  <c r="OZ49" i="3"/>
  <c r="OX49" i="3" s="1"/>
  <c r="OY49" i="3"/>
  <c r="OV49" i="3"/>
  <c r="OT49" i="3" s="1"/>
  <c r="OU49" i="3"/>
  <c r="OR49" i="3"/>
  <c r="OP49" i="3" s="1"/>
  <c r="OQ49" i="3"/>
  <c r="ON49" i="3"/>
  <c r="OL49" i="3" s="1"/>
  <c r="OM49" i="3"/>
  <c r="OJ49" i="3"/>
  <c r="OH49" i="3" s="1"/>
  <c r="OI49" i="3"/>
  <c r="OF49" i="3"/>
  <c r="OD49" i="3" s="1"/>
  <c r="OE49" i="3"/>
  <c r="OB49" i="3"/>
  <c r="NZ49" i="3" s="1"/>
  <c r="OA49" i="3"/>
  <c r="NX49" i="3"/>
  <c r="NV49" i="3" s="1"/>
  <c r="NW49" i="3"/>
  <c r="NT49" i="3"/>
  <c r="PD48" i="3"/>
  <c r="PB48" i="3" s="1"/>
  <c r="PC48" i="3"/>
  <c r="OZ48" i="3"/>
  <c r="OX48" i="3" s="1"/>
  <c r="OY48" i="3"/>
  <c r="OV48" i="3"/>
  <c r="OU48" i="3"/>
  <c r="OR48" i="3"/>
  <c r="OQ48" i="3"/>
  <c r="ON48" i="3"/>
  <c r="OM48" i="3"/>
  <c r="OJ48" i="3"/>
  <c r="OI48" i="3"/>
  <c r="OF48" i="3"/>
  <c r="OE48" i="3"/>
  <c r="OB48" i="3"/>
  <c r="OA48" i="3"/>
  <c r="NX48" i="3"/>
  <c r="NV48" i="3" s="1"/>
  <c r="NW48" i="3"/>
  <c r="NT48" i="3"/>
  <c r="PD47" i="3"/>
  <c r="PC47" i="3"/>
  <c r="OZ47" i="3"/>
  <c r="OY47" i="3"/>
  <c r="OV47" i="3"/>
  <c r="OU47" i="3"/>
  <c r="OR47" i="3"/>
  <c r="OP47" i="3" s="1"/>
  <c r="OQ47" i="3"/>
  <c r="ON47" i="3"/>
  <c r="OM47" i="3"/>
  <c r="OJ47" i="3"/>
  <c r="OI47" i="3"/>
  <c r="OF47" i="3"/>
  <c r="OE47" i="3"/>
  <c r="OB47" i="3"/>
  <c r="NZ47" i="3" s="1"/>
  <c r="OA47" i="3"/>
  <c r="NX47" i="3"/>
  <c r="NW47" i="3"/>
  <c r="NT47" i="3"/>
  <c r="PD46" i="3"/>
  <c r="PB46" i="3" s="1"/>
  <c r="PC46" i="3"/>
  <c r="OZ46" i="3"/>
  <c r="OX46" i="3" s="1"/>
  <c r="OY46" i="3"/>
  <c r="OV46" i="3"/>
  <c r="OU46" i="3"/>
  <c r="OR46" i="3"/>
  <c r="OQ46" i="3"/>
  <c r="ON46" i="3"/>
  <c r="OM46" i="3"/>
  <c r="OJ46" i="3"/>
  <c r="OI46" i="3"/>
  <c r="OF46" i="3"/>
  <c r="OE46" i="3"/>
  <c r="PD45" i="3"/>
  <c r="PC45" i="3"/>
  <c r="OZ45" i="3"/>
  <c r="OY45" i="3"/>
  <c r="OV45" i="3"/>
  <c r="OU45" i="3"/>
  <c r="OR45" i="3"/>
  <c r="OP45" i="3" s="1"/>
  <c r="OQ45" i="3"/>
  <c r="ON45" i="3"/>
  <c r="OM45" i="3"/>
  <c r="OJ45" i="3"/>
  <c r="OI45" i="3"/>
  <c r="OF45" i="3"/>
  <c r="OE45" i="3"/>
  <c r="PD40" i="3"/>
  <c r="PB40" i="3" s="1"/>
  <c r="PC40" i="3"/>
  <c r="OZ40" i="3"/>
  <c r="OY40" i="3"/>
  <c r="OV40" i="3"/>
  <c r="OU40" i="3"/>
  <c r="OR40" i="3"/>
  <c r="OQ40" i="3"/>
  <c r="ON40" i="3"/>
  <c r="OM40" i="3"/>
  <c r="OJ40" i="3"/>
  <c r="OI40" i="3"/>
  <c r="OF40" i="3"/>
  <c r="OE40" i="3"/>
  <c r="OB40" i="3"/>
  <c r="OA40" i="3"/>
  <c r="NX40" i="3"/>
  <c r="NV40" i="3" s="1"/>
  <c r="NW40" i="3"/>
  <c r="NT40" i="3"/>
  <c r="PD39" i="3"/>
  <c r="PC39" i="3"/>
  <c r="OZ39" i="3"/>
  <c r="OX39" i="3" s="1"/>
  <c r="OY39" i="3"/>
  <c r="OV39" i="3"/>
  <c r="OT39" i="3" s="1"/>
  <c r="OU39" i="3"/>
  <c r="OR39" i="3"/>
  <c r="OQ39" i="3"/>
  <c r="ON39" i="3"/>
  <c r="OL39" i="3" s="1"/>
  <c r="OM39" i="3"/>
  <c r="OJ39" i="3"/>
  <c r="OH39" i="3" s="1"/>
  <c r="OI39" i="3"/>
  <c r="OF39" i="3"/>
  <c r="OD39" i="3" s="1"/>
  <c r="OE39" i="3"/>
  <c r="OB39" i="3"/>
  <c r="NZ39" i="3" s="1"/>
  <c r="OA39" i="3"/>
  <c r="NX39" i="3"/>
  <c r="NW39" i="3"/>
  <c r="NT39" i="3"/>
  <c r="PD38" i="3"/>
  <c r="PB38" i="3" s="1"/>
  <c r="PC38" i="3"/>
  <c r="OZ38" i="3"/>
  <c r="OX38" i="3" s="1"/>
  <c r="OY38" i="3"/>
  <c r="OV38" i="3"/>
  <c r="OU38" i="3"/>
  <c r="OR38" i="3"/>
  <c r="OQ38" i="3"/>
  <c r="ON38" i="3"/>
  <c r="OM38" i="3"/>
  <c r="OJ38" i="3"/>
  <c r="OI38" i="3"/>
  <c r="OF38" i="3"/>
  <c r="OE38" i="3"/>
  <c r="OB38" i="3"/>
  <c r="OA38" i="3"/>
  <c r="NX38" i="3"/>
  <c r="NW38" i="3"/>
  <c r="NT38" i="3"/>
  <c r="PD37" i="3"/>
  <c r="PC37" i="3"/>
  <c r="OZ37" i="3"/>
  <c r="OY37" i="3"/>
  <c r="OV37" i="3"/>
  <c r="OU37" i="3"/>
  <c r="OR37" i="3"/>
  <c r="OP37" i="3" s="1"/>
  <c r="OQ37" i="3"/>
  <c r="ON37" i="3"/>
  <c r="OM37" i="3"/>
  <c r="OJ37" i="3"/>
  <c r="OI37" i="3"/>
  <c r="OF37" i="3"/>
  <c r="OE37" i="3"/>
  <c r="OB37" i="3"/>
  <c r="NZ37" i="3" s="1"/>
  <c r="OA37" i="3"/>
  <c r="NX37" i="3"/>
  <c r="NW37" i="3"/>
  <c r="NT37" i="3"/>
  <c r="PD36" i="3"/>
  <c r="PB36" i="3" s="1"/>
  <c r="PC36" i="3"/>
  <c r="OZ36" i="3"/>
  <c r="OY36" i="3"/>
  <c r="OV36" i="3"/>
  <c r="OU36" i="3"/>
  <c r="OR36" i="3"/>
  <c r="OQ36" i="3"/>
  <c r="ON36" i="3"/>
  <c r="OM36" i="3"/>
  <c r="OJ36" i="3"/>
  <c r="OI36" i="3"/>
  <c r="OF36" i="3"/>
  <c r="OE36" i="3"/>
  <c r="OB36" i="3"/>
  <c r="OA36" i="3"/>
  <c r="NX36" i="3"/>
  <c r="NW36" i="3"/>
  <c r="PD35" i="3"/>
  <c r="PB35" i="3" s="1"/>
  <c r="PC35" i="3"/>
  <c r="OZ35" i="3"/>
  <c r="OX35" i="3" s="1"/>
  <c r="OY35" i="3"/>
  <c r="OV35" i="3"/>
  <c r="OT35" i="3" s="1"/>
  <c r="OU35" i="3"/>
  <c r="OR35" i="3"/>
  <c r="OP35" i="3" s="1"/>
  <c r="OQ35" i="3"/>
  <c r="ON35" i="3"/>
  <c r="OL35" i="3" s="1"/>
  <c r="OM35" i="3"/>
  <c r="OJ35" i="3"/>
  <c r="OH35" i="3" s="1"/>
  <c r="OI35" i="3"/>
  <c r="OF35" i="3"/>
  <c r="OD35" i="3" s="1"/>
  <c r="OE35" i="3"/>
  <c r="OB35" i="3"/>
  <c r="NZ35" i="3" s="1"/>
  <c r="OA35" i="3"/>
  <c r="NX35" i="3"/>
  <c r="NV35" i="3" s="1"/>
  <c r="NW35" i="3"/>
  <c r="PD44" i="3"/>
  <c r="PB44" i="3" s="1"/>
  <c r="PC44" i="3"/>
  <c r="OZ44" i="3"/>
  <c r="OX44" i="3" s="1"/>
  <c r="OY44" i="3"/>
  <c r="OV44" i="3"/>
  <c r="OU44" i="3"/>
  <c r="OR44" i="3"/>
  <c r="OQ44" i="3"/>
  <c r="ON44" i="3"/>
  <c r="OM44" i="3"/>
  <c r="OJ44" i="3"/>
  <c r="OI44" i="3"/>
  <c r="OF44" i="3"/>
  <c r="OE44" i="3"/>
  <c r="OB44" i="3"/>
  <c r="OA44" i="3"/>
  <c r="NX44" i="3"/>
  <c r="NW44" i="3"/>
  <c r="NT44" i="3"/>
  <c r="PD43" i="3"/>
  <c r="PC43" i="3"/>
  <c r="OZ43" i="3"/>
  <c r="OY43" i="3"/>
  <c r="OV43" i="3"/>
  <c r="OU43" i="3"/>
  <c r="OR43" i="3"/>
  <c r="OP43" i="3" s="1"/>
  <c r="OQ43" i="3"/>
  <c r="ON43" i="3"/>
  <c r="OM43" i="3"/>
  <c r="OJ43" i="3"/>
  <c r="OI43" i="3"/>
  <c r="OF43" i="3"/>
  <c r="OE43" i="3"/>
  <c r="OB43" i="3"/>
  <c r="NZ43" i="3" s="1"/>
  <c r="OA43" i="3"/>
  <c r="NX43" i="3"/>
  <c r="NW43" i="3"/>
  <c r="NT43" i="3"/>
  <c r="PD20" i="3"/>
  <c r="PB20" i="3" s="1"/>
  <c r="PC20" i="3"/>
  <c r="OZ20" i="3"/>
  <c r="OY20" i="3"/>
  <c r="OV20" i="3"/>
  <c r="OU20" i="3"/>
  <c r="OR20" i="3"/>
  <c r="OQ20" i="3"/>
  <c r="ON20" i="3"/>
  <c r="OM20" i="3"/>
  <c r="OJ20" i="3"/>
  <c r="OI20" i="3"/>
  <c r="OF20" i="3"/>
  <c r="OE20" i="3"/>
  <c r="OB20" i="3"/>
  <c r="OA20" i="3"/>
  <c r="NX20" i="3"/>
  <c r="NW20" i="3"/>
  <c r="PD19" i="3"/>
  <c r="PC19" i="3"/>
  <c r="OZ19" i="3"/>
  <c r="OX19" i="3" s="1"/>
  <c r="OY19" i="3"/>
  <c r="OV19" i="3"/>
  <c r="OT19" i="3" s="1"/>
  <c r="OU19" i="3"/>
  <c r="OR19" i="3"/>
  <c r="OP19" i="3" s="1"/>
  <c r="OQ19" i="3"/>
  <c r="ON19" i="3"/>
  <c r="OM19" i="3"/>
  <c r="OJ19" i="3"/>
  <c r="OH19" i="3" s="1"/>
  <c r="OI19" i="3"/>
  <c r="OF19" i="3"/>
  <c r="OD19" i="3" s="1"/>
  <c r="OE19" i="3"/>
  <c r="OB19" i="3"/>
  <c r="NZ19" i="3" s="1"/>
  <c r="OA19" i="3"/>
  <c r="NX19" i="3"/>
  <c r="NW19" i="3"/>
  <c r="PD22" i="3"/>
  <c r="PB22" i="3" s="1"/>
  <c r="PC22" i="3"/>
  <c r="OZ22" i="3"/>
  <c r="OX22" i="3" s="1"/>
  <c r="OY22" i="3"/>
  <c r="OV22" i="3"/>
  <c r="OU22" i="3"/>
  <c r="OR22" i="3"/>
  <c r="OQ22" i="3"/>
  <c r="ON22" i="3"/>
  <c r="OM22" i="3"/>
  <c r="OJ22" i="3"/>
  <c r="OI22" i="3"/>
  <c r="OF22" i="3"/>
  <c r="OE22" i="3"/>
  <c r="OB22" i="3"/>
  <c r="OA22" i="3"/>
  <c r="NX22" i="3"/>
  <c r="NW22" i="3"/>
  <c r="PD21" i="3"/>
  <c r="PC21" i="3"/>
  <c r="OZ21" i="3"/>
  <c r="OY21" i="3"/>
  <c r="OV21" i="3"/>
  <c r="OU21" i="3"/>
  <c r="OR21" i="3"/>
  <c r="OP21" i="3" s="1"/>
  <c r="OQ21" i="3"/>
  <c r="ON21" i="3"/>
  <c r="OM21" i="3"/>
  <c r="OJ21" i="3"/>
  <c r="OI21" i="3"/>
  <c r="OF21" i="3"/>
  <c r="OE21" i="3"/>
  <c r="OB21" i="3"/>
  <c r="NZ21" i="3" s="1"/>
  <c r="OA21" i="3"/>
  <c r="NX21" i="3"/>
  <c r="NW21" i="3"/>
  <c r="PD28" i="3"/>
  <c r="PB28" i="3" s="1"/>
  <c r="PC28" i="3"/>
  <c r="OZ28" i="3"/>
  <c r="OY28" i="3"/>
  <c r="OV28" i="3"/>
  <c r="OU28" i="3"/>
  <c r="OR28" i="3"/>
  <c r="OQ28" i="3"/>
  <c r="ON28" i="3"/>
  <c r="OM28" i="3"/>
  <c r="OJ28" i="3"/>
  <c r="OI28" i="3"/>
  <c r="OF28" i="3"/>
  <c r="OE28" i="3"/>
  <c r="OB28" i="3"/>
  <c r="OA28" i="3"/>
  <c r="NX28" i="3"/>
  <c r="NW28" i="3"/>
  <c r="PD27" i="3"/>
  <c r="PC27" i="3"/>
  <c r="OZ27" i="3"/>
  <c r="OX27" i="3" s="1"/>
  <c r="OY27" i="3"/>
  <c r="OV27" i="3"/>
  <c r="OT27" i="3" s="1"/>
  <c r="OU27" i="3"/>
  <c r="OR27" i="3"/>
  <c r="OP27" i="3" s="1"/>
  <c r="OQ27" i="3"/>
  <c r="ON27" i="3"/>
  <c r="OM27" i="3"/>
  <c r="OJ27" i="3"/>
  <c r="OH27" i="3" s="1"/>
  <c r="OI27" i="3"/>
  <c r="OF27" i="3"/>
  <c r="OD27" i="3" s="1"/>
  <c r="OE27" i="3"/>
  <c r="OB27" i="3"/>
  <c r="NZ27" i="3" s="1"/>
  <c r="OA27" i="3"/>
  <c r="NX27" i="3"/>
  <c r="NW27" i="3"/>
  <c r="PD24" i="3"/>
  <c r="PB24" i="3" s="1"/>
  <c r="PC24" i="3"/>
  <c r="OZ24" i="3"/>
  <c r="OX24" i="3" s="1"/>
  <c r="OY24" i="3"/>
  <c r="OV24" i="3"/>
  <c r="OU24" i="3"/>
  <c r="OR24" i="3"/>
  <c r="OQ24" i="3"/>
  <c r="ON24" i="3"/>
  <c r="OM24" i="3"/>
  <c r="OJ24" i="3"/>
  <c r="OI24" i="3"/>
  <c r="OF24" i="3"/>
  <c r="OE24" i="3"/>
  <c r="OB24" i="3"/>
  <c r="OA24" i="3"/>
  <c r="NX24" i="3"/>
  <c r="NW24" i="3"/>
  <c r="PD23" i="3"/>
  <c r="PC23" i="3"/>
  <c r="OZ23" i="3"/>
  <c r="OY23" i="3"/>
  <c r="OV23" i="3"/>
  <c r="OU23" i="3"/>
  <c r="OR23" i="3"/>
  <c r="OP23" i="3" s="1"/>
  <c r="OQ23" i="3"/>
  <c r="ON23" i="3"/>
  <c r="OM23" i="3"/>
  <c r="OJ23" i="3"/>
  <c r="OI23" i="3"/>
  <c r="OF23" i="3"/>
  <c r="OE23" i="3"/>
  <c r="OB23" i="3"/>
  <c r="NZ23" i="3" s="1"/>
  <c r="OA23" i="3"/>
  <c r="NX23" i="3"/>
  <c r="NW23" i="3"/>
  <c r="PD18" i="3"/>
  <c r="PB18" i="3" s="1"/>
  <c r="PC18" i="3"/>
  <c r="OZ18" i="3"/>
  <c r="OY18" i="3"/>
  <c r="OV18" i="3"/>
  <c r="OU18" i="3"/>
  <c r="OR18" i="3"/>
  <c r="OQ18" i="3"/>
  <c r="ON18" i="3"/>
  <c r="OM18" i="3"/>
  <c r="OJ18" i="3"/>
  <c r="OI18" i="3"/>
  <c r="OF18" i="3"/>
  <c r="OE18" i="3"/>
  <c r="OB18" i="3"/>
  <c r="OA18" i="3"/>
  <c r="NX18" i="3"/>
  <c r="NW18" i="3"/>
  <c r="PD17" i="3"/>
  <c r="PC17" i="3"/>
  <c r="OZ17" i="3"/>
  <c r="OX17" i="3" s="1"/>
  <c r="OY17" i="3"/>
  <c r="OV17" i="3"/>
  <c r="OT17" i="3" s="1"/>
  <c r="OU17" i="3"/>
  <c r="OR17" i="3"/>
  <c r="OP17" i="3" s="1"/>
  <c r="OQ17" i="3"/>
  <c r="ON17" i="3"/>
  <c r="OM17" i="3"/>
  <c r="OJ17" i="3"/>
  <c r="OH17" i="3" s="1"/>
  <c r="OI17" i="3"/>
  <c r="OF17" i="3"/>
  <c r="OD17" i="3" s="1"/>
  <c r="OE17" i="3"/>
  <c r="OB17" i="3"/>
  <c r="NZ17" i="3" s="1"/>
  <c r="OA17" i="3"/>
  <c r="NX17" i="3"/>
  <c r="NW17" i="3"/>
  <c r="PD16" i="3"/>
  <c r="PB16" i="3" s="1"/>
  <c r="PC16" i="3"/>
  <c r="OZ16" i="3"/>
  <c r="OX16" i="3" s="1"/>
  <c r="OY16" i="3"/>
  <c r="OV16" i="3"/>
  <c r="OU16" i="3"/>
  <c r="OR16" i="3"/>
  <c r="OQ16" i="3"/>
  <c r="ON16" i="3"/>
  <c r="OM16" i="3"/>
  <c r="OJ16" i="3"/>
  <c r="OI16" i="3"/>
  <c r="OF16" i="3"/>
  <c r="OE16" i="3"/>
  <c r="OB16" i="3"/>
  <c r="OA16" i="3"/>
  <c r="NX16" i="3"/>
  <c r="NW16" i="3"/>
  <c r="PD15" i="3"/>
  <c r="PC15" i="3"/>
  <c r="OZ15" i="3"/>
  <c r="OY15" i="3"/>
  <c r="OV15" i="3"/>
  <c r="OU15" i="3"/>
  <c r="OR15" i="3"/>
  <c r="OP15" i="3" s="1"/>
  <c r="OQ15" i="3"/>
  <c r="ON15" i="3"/>
  <c r="OM15" i="3"/>
  <c r="OJ15" i="3"/>
  <c r="OI15" i="3"/>
  <c r="OF15" i="3"/>
  <c r="OE15" i="3"/>
  <c r="OB15" i="3"/>
  <c r="NZ15" i="3" s="1"/>
  <c r="OA15" i="3"/>
  <c r="NX15" i="3"/>
  <c r="NW15" i="3"/>
  <c r="PD34" i="3"/>
  <c r="PB34" i="3" s="1"/>
  <c r="PC34" i="3"/>
  <c r="OZ34" i="3"/>
  <c r="OY34" i="3"/>
  <c r="OV34" i="3"/>
  <c r="OU34" i="3"/>
  <c r="OR34" i="3"/>
  <c r="OQ34" i="3"/>
  <c r="ON34" i="3"/>
  <c r="OM34" i="3"/>
  <c r="OJ34" i="3"/>
  <c r="OI34" i="3"/>
  <c r="OF34" i="3"/>
  <c r="OE34" i="3"/>
  <c r="OB34" i="3"/>
  <c r="OA34" i="3"/>
  <c r="NX34" i="3"/>
  <c r="NW34" i="3"/>
  <c r="PD33" i="3"/>
  <c r="PC33" i="3"/>
  <c r="OZ33" i="3"/>
  <c r="OX33" i="3" s="1"/>
  <c r="OY33" i="3"/>
  <c r="OV33" i="3"/>
  <c r="OT33" i="3" s="1"/>
  <c r="OU33" i="3"/>
  <c r="OR33" i="3"/>
  <c r="OP33" i="3" s="1"/>
  <c r="OQ33" i="3"/>
  <c r="ON33" i="3"/>
  <c r="OM33" i="3"/>
  <c r="OJ33" i="3"/>
  <c r="OH33" i="3" s="1"/>
  <c r="OI33" i="3"/>
  <c r="OF33" i="3"/>
  <c r="OD33" i="3" s="1"/>
  <c r="OE33" i="3"/>
  <c r="OB33" i="3"/>
  <c r="NZ33" i="3" s="1"/>
  <c r="OA33" i="3"/>
  <c r="NX33" i="3"/>
  <c r="NW33" i="3"/>
  <c r="PD128" i="3"/>
  <c r="PB128" i="3" s="1"/>
  <c r="PC128" i="3"/>
  <c r="OZ128" i="3"/>
  <c r="OX128" i="3" s="1"/>
  <c r="OY128" i="3"/>
  <c r="OV128" i="3"/>
  <c r="OU128" i="3"/>
  <c r="OR128" i="3"/>
  <c r="OQ128" i="3"/>
  <c r="ON128" i="3"/>
  <c r="OM128" i="3"/>
  <c r="OJ128" i="3"/>
  <c r="OI128" i="3"/>
  <c r="OF128" i="3"/>
  <c r="OE128" i="3"/>
  <c r="OB128" i="3"/>
  <c r="OA128" i="3"/>
  <c r="NX128" i="3"/>
  <c r="NW128" i="3"/>
  <c r="NT128" i="3"/>
  <c r="PD127" i="3"/>
  <c r="PC127" i="3"/>
  <c r="OZ127" i="3"/>
  <c r="OY127" i="3"/>
  <c r="OV127" i="3"/>
  <c r="OU127" i="3"/>
  <c r="OR127" i="3"/>
  <c r="OP127" i="3" s="1"/>
  <c r="OQ127" i="3"/>
  <c r="ON127" i="3"/>
  <c r="OM127" i="3"/>
  <c r="OJ127" i="3"/>
  <c r="OI127" i="3"/>
  <c r="OF127" i="3"/>
  <c r="OE127" i="3"/>
  <c r="OB127" i="3"/>
  <c r="NZ127" i="3" s="1"/>
  <c r="OA127" i="3"/>
  <c r="NX127" i="3"/>
  <c r="NW127" i="3"/>
  <c r="NT127" i="3"/>
  <c r="PD32" i="3"/>
  <c r="PB32" i="3" s="1"/>
  <c r="PC32" i="3"/>
  <c r="OZ32" i="3"/>
  <c r="OY32" i="3"/>
  <c r="OV32" i="3"/>
  <c r="OU32" i="3"/>
  <c r="OR32" i="3"/>
  <c r="OQ32" i="3"/>
  <c r="ON32" i="3"/>
  <c r="OM32" i="3"/>
  <c r="OJ32" i="3"/>
  <c r="OI32" i="3"/>
  <c r="OF32" i="3"/>
  <c r="OE32" i="3"/>
  <c r="OB32" i="3"/>
  <c r="NZ32" i="3" s="1"/>
  <c r="OA32" i="3"/>
  <c r="NX32" i="3"/>
  <c r="NW32" i="3"/>
  <c r="PD31" i="3"/>
  <c r="PC31" i="3"/>
  <c r="OZ31" i="3"/>
  <c r="OX31" i="3" s="1"/>
  <c r="OY31" i="3"/>
  <c r="OV31" i="3"/>
  <c r="OT31" i="3" s="1"/>
  <c r="OU31" i="3"/>
  <c r="OR31" i="3"/>
  <c r="OP31" i="3" s="1"/>
  <c r="OQ31" i="3"/>
  <c r="ON31" i="3"/>
  <c r="OM31" i="3"/>
  <c r="OJ31" i="3"/>
  <c r="OH31" i="3" s="1"/>
  <c r="OI31" i="3"/>
  <c r="OF31" i="3"/>
  <c r="OD31" i="3" s="1"/>
  <c r="OE31" i="3"/>
  <c r="OB31" i="3"/>
  <c r="NZ31" i="3" s="1"/>
  <c r="OA31" i="3"/>
  <c r="NX31" i="3"/>
  <c r="NW31" i="3"/>
  <c r="PD14" i="3"/>
  <c r="PB14" i="3" s="1"/>
  <c r="PC14" i="3"/>
  <c r="OZ14" i="3"/>
  <c r="OX14" i="3" s="1"/>
  <c r="OY14" i="3"/>
  <c r="OV14" i="3"/>
  <c r="OU14" i="3"/>
  <c r="OQ14" i="3"/>
  <c r="ON14" i="3"/>
  <c r="OM14" i="3"/>
  <c r="OJ14" i="3"/>
  <c r="OI14" i="3"/>
  <c r="OF14" i="3"/>
  <c r="OE14" i="3"/>
  <c r="OB14" i="3"/>
  <c r="OA14" i="3"/>
  <c r="NX14" i="3"/>
  <c r="NW14" i="3"/>
  <c r="PD13" i="3"/>
  <c r="PC13" i="3"/>
  <c r="OZ13" i="3"/>
  <c r="OY13" i="3"/>
  <c r="OV13" i="3"/>
  <c r="OU13" i="3"/>
  <c r="OR13" i="3"/>
  <c r="OP13" i="3" s="1"/>
  <c r="OQ13" i="3"/>
  <c r="ON13" i="3"/>
  <c r="OM13" i="3"/>
  <c r="OJ13" i="3"/>
  <c r="OI13" i="3"/>
  <c r="OF13" i="3"/>
  <c r="OE13" i="3"/>
  <c r="OB13" i="3"/>
  <c r="NZ13" i="3" s="1"/>
  <c r="OA13" i="3"/>
  <c r="NX13" i="3"/>
  <c r="NW13" i="3"/>
  <c r="NS12" i="3"/>
  <c r="NS10" i="3" s="1"/>
  <c r="NR12" i="3"/>
  <c r="NQ12" i="3"/>
  <c r="NP12" i="3"/>
  <c r="NO12" i="3"/>
  <c r="NN12" i="3"/>
  <c r="NM12" i="3"/>
  <c r="NL12" i="3"/>
  <c r="NK12" i="3"/>
  <c r="NJ12" i="3"/>
  <c r="NI12" i="3"/>
  <c r="NH12" i="3"/>
  <c r="NG12" i="3"/>
  <c r="NF12" i="3"/>
  <c r="NE12" i="3"/>
  <c r="ND12" i="3"/>
  <c r="NC12" i="3"/>
  <c r="NB12" i="3"/>
  <c r="NA12" i="3"/>
  <c r="MZ12" i="3"/>
  <c r="MY12" i="3"/>
  <c r="MX12" i="3"/>
  <c r="MW12" i="3"/>
  <c r="MV12" i="3"/>
  <c r="MU12" i="3"/>
  <c r="MT12" i="3"/>
  <c r="MS12" i="3"/>
  <c r="MR12" i="3"/>
  <c r="MQ12" i="3"/>
  <c r="MP12" i="3"/>
  <c r="MO12" i="3"/>
  <c r="MN12" i="3"/>
  <c r="MM12" i="3"/>
  <c r="ML12" i="3"/>
  <c r="MK12" i="3"/>
  <c r="MJ12" i="3"/>
  <c r="MI12" i="3"/>
  <c r="MH12" i="3"/>
  <c r="MG12" i="3"/>
  <c r="MF12" i="3"/>
  <c r="ME12" i="3"/>
  <c r="MD12" i="3"/>
  <c r="MC12" i="3"/>
  <c r="MB12" i="3"/>
  <c r="MA12" i="3"/>
  <c r="LZ12" i="3"/>
  <c r="LY12" i="3"/>
  <c r="LX12" i="3"/>
  <c r="LW12" i="3"/>
  <c r="LV12" i="3"/>
  <c r="LU12" i="3"/>
  <c r="LT12" i="3"/>
  <c r="LS12" i="3"/>
  <c r="LR12" i="3"/>
  <c r="LQ12" i="3"/>
  <c r="LP12" i="3"/>
  <c r="LO12" i="3"/>
  <c r="LN12" i="3"/>
  <c r="LM12" i="3"/>
  <c r="LL12" i="3"/>
  <c r="LK12" i="3"/>
  <c r="LJ12" i="3"/>
  <c r="LI12" i="3"/>
  <c r="LH12" i="3"/>
  <c r="LG12" i="3"/>
  <c r="LF12" i="3"/>
  <c r="LE12" i="3"/>
  <c r="LD12" i="3"/>
  <c r="LC12" i="3"/>
  <c r="LB12" i="3"/>
  <c r="LA12" i="3"/>
  <c r="KZ12" i="3"/>
  <c r="KY12" i="3"/>
  <c r="KX12" i="3"/>
  <c r="KW12" i="3"/>
  <c r="KV12" i="3"/>
  <c r="KU12" i="3"/>
  <c r="KT12" i="3"/>
  <c r="KS12" i="3"/>
  <c r="KR12" i="3"/>
  <c r="KQ12" i="3"/>
  <c r="KP12" i="3"/>
  <c r="KO12" i="3"/>
  <c r="KN12" i="3"/>
  <c r="KM12" i="3"/>
  <c r="KL12" i="3"/>
  <c r="KK12" i="3"/>
  <c r="KJ12" i="3"/>
  <c r="KI12" i="3"/>
  <c r="KH12" i="3"/>
  <c r="KG12" i="3"/>
  <c r="KF12" i="3"/>
  <c r="KE12" i="3"/>
  <c r="KD12" i="3"/>
  <c r="KC12" i="3"/>
  <c r="KB12" i="3"/>
  <c r="KA12" i="3"/>
  <c r="JZ12" i="3"/>
  <c r="JY12" i="3"/>
  <c r="JX12" i="3"/>
  <c r="JW12" i="3"/>
  <c r="JV12" i="3"/>
  <c r="JU12" i="3"/>
  <c r="JT12" i="3"/>
  <c r="JS12" i="3"/>
  <c r="JR12" i="3"/>
  <c r="JQ12" i="3"/>
  <c r="JP12" i="3"/>
  <c r="JO12" i="3"/>
  <c r="JN12" i="3"/>
  <c r="JM12" i="3"/>
  <c r="JK12" i="3"/>
  <c r="JJ12" i="3"/>
  <c r="JI12" i="3"/>
  <c r="JH12" i="3"/>
  <c r="JG12" i="3"/>
  <c r="JF12" i="3"/>
  <c r="JD12" i="3"/>
  <c r="JC12" i="3"/>
  <c r="JB12" i="3"/>
  <c r="JA12" i="3"/>
  <c r="IZ12" i="3"/>
  <c r="IY12" i="3"/>
  <c r="IX12" i="3"/>
  <c r="IW12" i="3"/>
  <c r="IV12" i="3"/>
  <c r="IU12" i="3"/>
  <c r="IT12" i="3"/>
  <c r="IS12" i="3"/>
  <c r="IR12" i="3"/>
  <c r="IQ12" i="3"/>
  <c r="IP12" i="3"/>
  <c r="IO12" i="3"/>
  <c r="IN12" i="3"/>
  <c r="IM12" i="3"/>
  <c r="IL12" i="3"/>
  <c r="IK12" i="3"/>
  <c r="IJ12" i="3"/>
  <c r="II12" i="3"/>
  <c r="IH12" i="3"/>
  <c r="IG12" i="3"/>
  <c r="IF12" i="3"/>
  <c r="IE12" i="3"/>
  <c r="ID12" i="3"/>
  <c r="IC12" i="3"/>
  <c r="IB12" i="3"/>
  <c r="IA12" i="3"/>
  <c r="HZ12" i="3"/>
  <c r="HY12" i="3"/>
  <c r="HX12" i="3"/>
  <c r="HW12" i="3"/>
  <c r="HV12" i="3"/>
  <c r="HU12" i="3"/>
  <c r="HT12" i="3"/>
  <c r="HS12" i="3"/>
  <c r="HR12" i="3"/>
  <c r="HQ12" i="3"/>
  <c r="HP12" i="3"/>
  <c r="HO12" i="3"/>
  <c r="HN12" i="3"/>
  <c r="HM12" i="3"/>
  <c r="HL12" i="3"/>
  <c r="HK12" i="3"/>
  <c r="HI12" i="3"/>
  <c r="HH12" i="3"/>
  <c r="HG12" i="3"/>
  <c r="HF12" i="3"/>
  <c r="HE12" i="3"/>
  <c r="HD12" i="3"/>
  <c r="HC12" i="3"/>
  <c r="HB12" i="3"/>
  <c r="HA12" i="3"/>
  <c r="GZ12" i="3"/>
  <c r="GY12" i="3"/>
  <c r="GX12" i="3"/>
  <c r="GW12" i="3"/>
  <c r="GV12" i="3"/>
  <c r="GU12" i="3"/>
  <c r="GT12" i="3"/>
  <c r="GS12" i="3"/>
  <c r="GR12" i="3"/>
  <c r="GQ12" i="3"/>
  <c r="GP12" i="3"/>
  <c r="GO12" i="3"/>
  <c r="GN12" i="3"/>
  <c r="GM12" i="3"/>
  <c r="GL12" i="3"/>
  <c r="GK12" i="3"/>
  <c r="GJ12" i="3"/>
  <c r="GI12" i="3"/>
  <c r="GH12" i="3"/>
  <c r="GG12" i="3"/>
  <c r="GF12" i="3"/>
  <c r="GE12" i="3"/>
  <c r="GD12" i="3"/>
  <c r="GC12" i="3"/>
  <c r="GB12" i="3"/>
  <c r="GA12" i="3"/>
  <c r="FZ12" i="3"/>
  <c r="FY12" i="3"/>
  <c r="FX12" i="3"/>
  <c r="FW12" i="3"/>
  <c r="FV12" i="3"/>
  <c r="FU12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NS11" i="3"/>
  <c r="NR11" i="3"/>
  <c r="NQ11" i="3"/>
  <c r="NP11" i="3"/>
  <c r="NO11" i="3"/>
  <c r="NN11" i="3"/>
  <c r="NM11" i="3"/>
  <c r="NL11" i="3"/>
  <c r="NK11" i="3"/>
  <c r="NJ11" i="3"/>
  <c r="NI11" i="3"/>
  <c r="NH11" i="3"/>
  <c r="NG11" i="3"/>
  <c r="NF11" i="3"/>
  <c r="NE11" i="3"/>
  <c r="ND11" i="3"/>
  <c r="NC11" i="3"/>
  <c r="NB11" i="3"/>
  <c r="NA11" i="3"/>
  <c r="MZ11" i="3"/>
  <c r="MY11" i="3"/>
  <c r="MX11" i="3"/>
  <c r="MW11" i="3"/>
  <c r="MV11" i="3"/>
  <c r="MU11" i="3"/>
  <c r="MT11" i="3"/>
  <c r="MS11" i="3"/>
  <c r="MR11" i="3"/>
  <c r="MQ11" i="3"/>
  <c r="MP11" i="3"/>
  <c r="MO11" i="3"/>
  <c r="MN11" i="3"/>
  <c r="MM11" i="3"/>
  <c r="ML11" i="3"/>
  <c r="MK11" i="3"/>
  <c r="MJ11" i="3"/>
  <c r="MI11" i="3"/>
  <c r="MH11" i="3"/>
  <c r="MG11" i="3"/>
  <c r="MF11" i="3"/>
  <c r="ME11" i="3"/>
  <c r="MD11" i="3"/>
  <c r="MC11" i="3"/>
  <c r="MB11" i="3"/>
  <c r="MA11" i="3"/>
  <c r="LZ11" i="3"/>
  <c r="LY11" i="3"/>
  <c r="LX11" i="3"/>
  <c r="LW11" i="3"/>
  <c r="LV11" i="3"/>
  <c r="LU11" i="3"/>
  <c r="LT11" i="3"/>
  <c r="LS11" i="3"/>
  <c r="LR11" i="3"/>
  <c r="LQ11" i="3"/>
  <c r="LP11" i="3"/>
  <c r="LO11" i="3"/>
  <c r="LN11" i="3"/>
  <c r="LM11" i="3"/>
  <c r="LL11" i="3"/>
  <c r="LK11" i="3"/>
  <c r="LJ11" i="3"/>
  <c r="LI11" i="3"/>
  <c r="LH11" i="3"/>
  <c r="LG11" i="3"/>
  <c r="LF11" i="3"/>
  <c r="LE11" i="3"/>
  <c r="LD11" i="3"/>
  <c r="LC11" i="3"/>
  <c r="LB11" i="3"/>
  <c r="LA11" i="3"/>
  <c r="KZ11" i="3"/>
  <c r="KY11" i="3"/>
  <c r="KX11" i="3"/>
  <c r="KW11" i="3"/>
  <c r="KV11" i="3"/>
  <c r="KU11" i="3"/>
  <c r="KT11" i="3"/>
  <c r="KS11" i="3"/>
  <c r="KR11" i="3"/>
  <c r="KQ11" i="3"/>
  <c r="KP11" i="3"/>
  <c r="KO11" i="3"/>
  <c r="KN11" i="3"/>
  <c r="KM11" i="3"/>
  <c r="KL11" i="3"/>
  <c r="KK11" i="3"/>
  <c r="KJ11" i="3"/>
  <c r="KI11" i="3"/>
  <c r="KH11" i="3"/>
  <c r="KG11" i="3"/>
  <c r="KF11" i="3"/>
  <c r="KE11" i="3"/>
  <c r="KD11" i="3"/>
  <c r="KC11" i="3"/>
  <c r="KB11" i="3"/>
  <c r="KA11" i="3"/>
  <c r="JZ11" i="3"/>
  <c r="JY11" i="3"/>
  <c r="JX11" i="3"/>
  <c r="JW11" i="3"/>
  <c r="JV11" i="3"/>
  <c r="JU11" i="3"/>
  <c r="JT11" i="3"/>
  <c r="JS11" i="3"/>
  <c r="JR11" i="3"/>
  <c r="JQ11" i="3"/>
  <c r="JP11" i="3"/>
  <c r="JO11" i="3"/>
  <c r="JN11" i="3"/>
  <c r="JM11" i="3"/>
  <c r="JK11" i="3"/>
  <c r="JJ11" i="3"/>
  <c r="JI11" i="3"/>
  <c r="JH11" i="3"/>
  <c r="JG11" i="3"/>
  <c r="JF11" i="3"/>
  <c r="JD11" i="3"/>
  <c r="JC11" i="3"/>
  <c r="JB11" i="3"/>
  <c r="JA11" i="3"/>
  <c r="IZ11" i="3"/>
  <c r="IY11" i="3"/>
  <c r="IX11" i="3"/>
  <c r="IW11" i="3"/>
  <c r="IV11" i="3"/>
  <c r="IU11" i="3"/>
  <c r="IT11" i="3"/>
  <c r="IS11" i="3"/>
  <c r="IR11" i="3"/>
  <c r="IQ11" i="3"/>
  <c r="IP11" i="3"/>
  <c r="IO11" i="3"/>
  <c r="IN11" i="3"/>
  <c r="IM11" i="3"/>
  <c r="IL11" i="3"/>
  <c r="IK11" i="3"/>
  <c r="IJ11" i="3"/>
  <c r="II11" i="3"/>
  <c r="IH11" i="3"/>
  <c r="IG11" i="3"/>
  <c r="IF11" i="3"/>
  <c r="IE11" i="3"/>
  <c r="ID11" i="3"/>
  <c r="IC11" i="3"/>
  <c r="IB11" i="3"/>
  <c r="IA11" i="3"/>
  <c r="HZ11" i="3"/>
  <c r="HY11" i="3"/>
  <c r="HX11" i="3"/>
  <c r="HW11" i="3"/>
  <c r="HV11" i="3"/>
  <c r="HU11" i="3"/>
  <c r="HT11" i="3"/>
  <c r="HS11" i="3"/>
  <c r="HR11" i="3"/>
  <c r="HQ11" i="3"/>
  <c r="HP11" i="3"/>
  <c r="HO11" i="3"/>
  <c r="HN11" i="3"/>
  <c r="HM11" i="3"/>
  <c r="HL11" i="3"/>
  <c r="HK11" i="3"/>
  <c r="HI11" i="3"/>
  <c r="HH11" i="3"/>
  <c r="HG11" i="3"/>
  <c r="HF11" i="3"/>
  <c r="HE11" i="3"/>
  <c r="HD11" i="3"/>
  <c r="HC11" i="3"/>
  <c r="HB11" i="3"/>
  <c r="HA11" i="3"/>
  <c r="GZ11" i="3"/>
  <c r="GY11" i="3"/>
  <c r="GX11" i="3"/>
  <c r="GW11" i="3"/>
  <c r="GV11" i="3"/>
  <c r="GU11" i="3"/>
  <c r="GT11" i="3"/>
  <c r="GS11" i="3"/>
  <c r="GR11" i="3"/>
  <c r="GQ11" i="3"/>
  <c r="GP11" i="3"/>
  <c r="GO11" i="3"/>
  <c r="GN11" i="3"/>
  <c r="GM11" i="3"/>
  <c r="GL11" i="3"/>
  <c r="GK11" i="3"/>
  <c r="GJ11" i="3"/>
  <c r="GI11" i="3"/>
  <c r="GH11" i="3"/>
  <c r="GG11" i="3"/>
  <c r="GF11" i="3"/>
  <c r="GE11" i="3"/>
  <c r="GD11" i="3"/>
  <c r="GC11" i="3"/>
  <c r="GB11" i="3"/>
  <c r="GA11" i="3"/>
  <c r="FZ11" i="3"/>
  <c r="FY11" i="3"/>
  <c r="FX11" i="3"/>
  <c r="FW11" i="3"/>
  <c r="FV11" i="3"/>
  <c r="FU11" i="3"/>
  <c r="FT11" i="3"/>
  <c r="FS11" i="3"/>
  <c r="FR11" i="3"/>
  <c r="FQ11" i="3"/>
  <c r="FP11" i="3"/>
  <c r="FO11" i="3"/>
  <c r="FN11" i="3"/>
  <c r="FM11" i="3"/>
  <c r="FL11" i="3"/>
  <c r="FK11" i="3"/>
  <c r="FJ11" i="3"/>
  <c r="FI11" i="3"/>
  <c r="FH11" i="3"/>
  <c r="FG11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EN11" i="3"/>
  <c r="EM11" i="3"/>
  <c r="EL11" i="3"/>
  <c r="EK11" i="3"/>
  <c r="EJ11" i="3"/>
  <c r="EI11" i="3"/>
  <c r="EH11" i="3"/>
  <c r="EG11" i="3"/>
  <c r="EF11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NY8" i="3"/>
  <c r="OB8" i="3" s="1"/>
  <c r="OC8" i="3" s="1"/>
  <c r="OF8" i="3" s="1"/>
  <c r="OG8" i="3" s="1"/>
  <c r="OJ8" i="3" s="1"/>
  <c r="OK8" i="3" s="1"/>
  <c r="ON8" i="3" s="1"/>
  <c r="OO8" i="3" s="1"/>
  <c r="OR8" i="3" s="1"/>
  <c r="OS8" i="3" s="1"/>
  <c r="OV8" i="3" s="1"/>
  <c r="OW8" i="3" s="1"/>
  <c r="OZ8" i="3" s="1"/>
  <c r="PA8" i="3" s="1"/>
  <c r="PD8" i="3" s="1"/>
  <c r="PE8" i="3" s="1"/>
  <c r="AS8" i="3"/>
  <c r="F8" i="3"/>
  <c r="G7" i="3"/>
  <c r="H7" i="3" s="1"/>
  <c r="AS2" i="3"/>
  <c r="F2" i="3"/>
  <c r="NV90" i="3" l="1"/>
  <c r="NV104" i="3"/>
  <c r="NV176" i="3"/>
  <c r="NV14" i="3"/>
  <c r="NV52" i="3"/>
  <c r="HJ9" i="3"/>
  <c r="NV38" i="3"/>
  <c r="NV84" i="3"/>
  <c r="NY83" i="3"/>
  <c r="NV98" i="3"/>
  <c r="NY97" i="3"/>
  <c r="NV106" i="3"/>
  <c r="NY105" i="3"/>
  <c r="NV116" i="3"/>
  <c r="NY115" i="3"/>
  <c r="NV120" i="3"/>
  <c r="NY119" i="3"/>
  <c r="NV180" i="3"/>
  <c r="NY179" i="3"/>
  <c r="NV184" i="3"/>
  <c r="NY183" i="3"/>
  <c r="NV188" i="3"/>
  <c r="NY187" i="3"/>
  <c r="NV192" i="3"/>
  <c r="NY191" i="3"/>
  <c r="NV196" i="3"/>
  <c r="NY195" i="3"/>
  <c r="NV72" i="3"/>
  <c r="NV92" i="3"/>
  <c r="NY91" i="3"/>
  <c r="NV82" i="3"/>
  <c r="NY81" i="3"/>
  <c r="NV86" i="3"/>
  <c r="NY85" i="3"/>
  <c r="NY95" i="3"/>
  <c r="NV114" i="3"/>
  <c r="NY113" i="3"/>
  <c r="NV118" i="3"/>
  <c r="NY117" i="3"/>
  <c r="NV172" i="3"/>
  <c r="NY171" i="3"/>
  <c r="NV178" i="3"/>
  <c r="NY177" i="3"/>
  <c r="NV182" i="3"/>
  <c r="NY181" i="3"/>
  <c r="NV186" i="3"/>
  <c r="NY185" i="3"/>
  <c r="NV190" i="3"/>
  <c r="NY189" i="3"/>
  <c r="NV194" i="3"/>
  <c r="NY193" i="3"/>
  <c r="NV198" i="3"/>
  <c r="NY197" i="3"/>
  <c r="NV166" i="3"/>
  <c r="NY165" i="3"/>
  <c r="NV130" i="3"/>
  <c r="NY129" i="3"/>
  <c r="NV128" i="3"/>
  <c r="NY127" i="3"/>
  <c r="NV132" i="3"/>
  <c r="NY131" i="3"/>
  <c r="NV32" i="3"/>
  <c r="NV36" i="3"/>
  <c r="NV22" i="3"/>
  <c r="NV26" i="3"/>
  <c r="NV28" i="3"/>
  <c r="JN10" i="3"/>
  <c r="JR10" i="3"/>
  <c r="JV10" i="3"/>
  <c r="JZ10" i="3"/>
  <c r="KD10" i="3"/>
  <c r="KH10" i="3"/>
  <c r="KL10" i="3"/>
  <c r="KP10" i="3"/>
  <c r="KT10" i="3"/>
  <c r="KX10" i="3"/>
  <c r="LB10" i="3"/>
  <c r="LF10" i="3"/>
  <c r="LJ10" i="3"/>
  <c r="LN10" i="3"/>
  <c r="LR10" i="3"/>
  <c r="LV10" i="3"/>
  <c r="LZ10" i="3"/>
  <c r="MD10" i="3"/>
  <c r="MH10" i="3"/>
  <c r="ML10" i="3"/>
  <c r="MP10" i="3"/>
  <c r="MT10" i="3"/>
  <c r="MX10" i="3"/>
  <c r="NB10" i="3"/>
  <c r="NF10" i="3"/>
  <c r="NJ10" i="3"/>
  <c r="NN10" i="3"/>
  <c r="NR10" i="3"/>
  <c r="OT34" i="3"/>
  <c r="OT18" i="3"/>
  <c r="OT20" i="3"/>
  <c r="OT36" i="3"/>
  <c r="IQ9" i="3"/>
  <c r="IU9" i="3"/>
  <c r="IY9" i="3"/>
  <c r="JC9" i="3"/>
  <c r="G10" i="3"/>
  <c r="K10" i="3"/>
  <c r="O10" i="3"/>
  <c r="S10" i="3"/>
  <c r="W10" i="3"/>
  <c r="AA10" i="3"/>
  <c r="AE10" i="3"/>
  <c r="AI10" i="3"/>
  <c r="AM10" i="3"/>
  <c r="AQ10" i="3"/>
  <c r="AU10" i="3"/>
  <c r="AY10" i="3"/>
  <c r="BC10" i="3"/>
  <c r="BG10" i="3"/>
  <c r="BK10" i="3"/>
  <c r="BO10" i="3"/>
  <c r="BS10" i="3"/>
  <c r="BW10" i="3"/>
  <c r="CA10" i="3"/>
  <c r="CE10" i="3"/>
  <c r="CI10" i="3"/>
  <c r="CM10" i="3"/>
  <c r="CQ10" i="3"/>
  <c r="CU10" i="3"/>
  <c r="CY10" i="3"/>
  <c r="DC10" i="3"/>
  <c r="DG10" i="3"/>
  <c r="DK10" i="3"/>
  <c r="DO10" i="3"/>
  <c r="DS10" i="3"/>
  <c r="DW10" i="3"/>
  <c r="EA10" i="3"/>
  <c r="EE10" i="3"/>
  <c r="EI10" i="3"/>
  <c r="EM10" i="3"/>
  <c r="EQ10" i="3"/>
  <c r="EU10" i="3"/>
  <c r="EY10" i="3"/>
  <c r="FC10" i="3"/>
  <c r="FG10" i="3"/>
  <c r="FK10" i="3"/>
  <c r="FO10" i="3"/>
  <c r="FS10" i="3"/>
  <c r="FW10" i="3"/>
  <c r="GA10" i="3"/>
  <c r="GE10" i="3"/>
  <c r="GI10" i="3"/>
  <c r="GM10" i="3"/>
  <c r="GQ10" i="3"/>
  <c r="GU10" i="3"/>
  <c r="GY10" i="3"/>
  <c r="HC10" i="3"/>
  <c r="HG10" i="3"/>
  <c r="JI10" i="3"/>
  <c r="OT40" i="3"/>
  <c r="OT50" i="3"/>
  <c r="OT62" i="3"/>
  <c r="F10" i="3"/>
  <c r="BB9" i="3"/>
  <c r="BF9" i="3"/>
  <c r="BJ9" i="3"/>
  <c r="BN9" i="3"/>
  <c r="BR9" i="3"/>
  <c r="BV9" i="3"/>
  <c r="BZ9" i="3"/>
  <c r="CD9" i="3"/>
  <c r="CH9" i="3"/>
  <c r="CL9" i="3"/>
  <c r="CP9" i="3"/>
  <c r="CT9" i="3"/>
  <c r="CX9" i="3"/>
  <c r="DB9" i="3"/>
  <c r="DF9" i="3"/>
  <c r="DJ9" i="3"/>
  <c r="DN9" i="3"/>
  <c r="DR9" i="3"/>
  <c r="DV9" i="3"/>
  <c r="DZ9" i="3"/>
  <c r="ED9" i="3"/>
  <c r="EH9" i="3"/>
  <c r="EL9" i="3"/>
  <c r="EP9" i="3"/>
  <c r="ET9" i="3"/>
  <c r="EX9" i="3"/>
  <c r="FB9" i="3"/>
  <c r="FF9" i="3"/>
  <c r="FJ9" i="3"/>
  <c r="FN9" i="3"/>
  <c r="FR9" i="3"/>
  <c r="FV9" i="3"/>
  <c r="FZ9" i="3"/>
  <c r="GD9" i="3"/>
  <c r="GH9" i="3"/>
  <c r="GL9" i="3"/>
  <c r="GP9" i="3"/>
  <c r="GT9" i="3"/>
  <c r="GX9" i="3"/>
  <c r="HB9" i="3"/>
  <c r="HF9" i="3"/>
  <c r="HK9" i="3"/>
  <c r="HO9" i="3"/>
  <c r="HS9" i="3"/>
  <c r="HW9" i="3"/>
  <c r="IA9" i="3"/>
  <c r="IE9" i="3"/>
  <c r="II9" i="3"/>
  <c r="IM9" i="3"/>
  <c r="JH9" i="3"/>
  <c r="HZ9" i="3"/>
  <c r="OT26" i="3"/>
  <c r="OT132" i="3"/>
  <c r="JF9" i="3"/>
  <c r="JJ9" i="3"/>
  <c r="I9" i="3"/>
  <c r="M9" i="3"/>
  <c r="Q9" i="3"/>
  <c r="U9" i="3"/>
  <c r="Y9" i="3"/>
  <c r="AC9" i="3"/>
  <c r="AG9" i="3"/>
  <c r="AK9" i="3"/>
  <c r="AO9" i="3"/>
  <c r="AS9" i="3"/>
  <c r="AW9" i="3"/>
  <c r="BA9" i="3"/>
  <c r="BE9" i="3"/>
  <c r="BI9" i="3"/>
  <c r="BM9" i="3"/>
  <c r="BQ9" i="3"/>
  <c r="BU9" i="3"/>
  <c r="BY9" i="3"/>
  <c r="CC9" i="3"/>
  <c r="CG9" i="3"/>
  <c r="CK9" i="3"/>
  <c r="CO9" i="3"/>
  <c r="CS9" i="3"/>
  <c r="CW9" i="3"/>
  <c r="DA9" i="3"/>
  <c r="DE9" i="3"/>
  <c r="DI9" i="3"/>
  <c r="DM9" i="3"/>
  <c r="DQ9" i="3"/>
  <c r="DU9" i="3"/>
  <c r="DY9" i="3"/>
  <c r="EC9" i="3"/>
  <c r="EG9" i="3"/>
  <c r="EK9" i="3"/>
  <c r="EO9" i="3"/>
  <c r="ES9" i="3"/>
  <c r="EW9" i="3"/>
  <c r="FA9" i="3"/>
  <c r="FE9" i="3"/>
  <c r="FI9" i="3"/>
  <c r="FM9" i="3"/>
  <c r="FQ9" i="3"/>
  <c r="FU9" i="3"/>
  <c r="FY9" i="3"/>
  <c r="GC9" i="3"/>
  <c r="GG9" i="3"/>
  <c r="GK9" i="3"/>
  <c r="GO9" i="3"/>
  <c r="GS9" i="3"/>
  <c r="GW9" i="3"/>
  <c r="HA9" i="3"/>
  <c r="HE9" i="3"/>
  <c r="HI9" i="3"/>
  <c r="HN9" i="3"/>
  <c r="HR9" i="3"/>
  <c r="HV9" i="3"/>
  <c r="IH9" i="3"/>
  <c r="IP9" i="3"/>
  <c r="IT9" i="3"/>
  <c r="JB9" i="3"/>
  <c r="JN9" i="3"/>
  <c r="JR9" i="3"/>
  <c r="JV9" i="3"/>
  <c r="JZ9" i="3"/>
  <c r="KD9" i="3"/>
  <c r="KH9" i="3"/>
  <c r="KL9" i="3"/>
  <c r="KP9" i="3"/>
  <c r="KT9" i="3"/>
  <c r="KX9" i="3"/>
  <c r="LB9" i="3"/>
  <c r="LF9" i="3"/>
  <c r="LJ9" i="3"/>
  <c r="LN9" i="3"/>
  <c r="LR9" i="3"/>
  <c r="LV9" i="3"/>
  <c r="LZ9" i="3"/>
  <c r="MD9" i="3"/>
  <c r="MH9" i="3"/>
  <c r="ML9" i="3"/>
  <c r="MP9" i="3"/>
  <c r="MT9" i="3"/>
  <c r="MX9" i="3"/>
  <c r="NB9" i="3"/>
  <c r="NF9" i="3"/>
  <c r="NJ9" i="3"/>
  <c r="NN9" i="3"/>
  <c r="NR9" i="3"/>
  <c r="H10" i="3"/>
  <c r="L10" i="3"/>
  <c r="P10" i="3"/>
  <c r="T10" i="3"/>
  <c r="X10" i="3"/>
  <c r="AB10" i="3"/>
  <c r="AF10" i="3"/>
  <c r="AJ10" i="3"/>
  <c r="AN10" i="3"/>
  <c r="AR10" i="3"/>
  <c r="AV10" i="3"/>
  <c r="AZ10" i="3"/>
  <c r="BD10" i="3"/>
  <c r="BH10" i="3"/>
  <c r="BL10" i="3"/>
  <c r="BP10" i="3"/>
  <c r="BT10" i="3"/>
  <c r="BX10" i="3"/>
  <c r="CB10" i="3"/>
  <c r="CF10" i="3"/>
  <c r="CJ10" i="3"/>
  <c r="CN10" i="3"/>
  <c r="CR10" i="3"/>
  <c r="CV10" i="3"/>
  <c r="CZ10" i="3"/>
  <c r="DD10" i="3"/>
  <c r="DH10" i="3"/>
  <c r="DL10" i="3"/>
  <c r="DP10" i="3"/>
  <c r="DT10" i="3"/>
  <c r="DX10" i="3"/>
  <c r="EB10" i="3"/>
  <c r="EF10" i="3"/>
  <c r="EJ10" i="3"/>
  <c r="EN10" i="3"/>
  <c r="ER10" i="3"/>
  <c r="EV10" i="3"/>
  <c r="EZ10" i="3"/>
  <c r="FD10" i="3"/>
  <c r="FH10" i="3"/>
  <c r="FL10" i="3"/>
  <c r="FP10" i="3"/>
  <c r="FT10" i="3"/>
  <c r="FX10" i="3"/>
  <c r="GB10" i="3"/>
  <c r="GF10" i="3"/>
  <c r="GJ10" i="3"/>
  <c r="GN10" i="3"/>
  <c r="GR10" i="3"/>
  <c r="GV10" i="3"/>
  <c r="GZ10" i="3"/>
  <c r="HD10" i="3"/>
  <c r="HH10" i="3"/>
  <c r="ID9" i="3"/>
  <c r="IL9" i="3"/>
  <c r="IX9" i="3"/>
  <c r="J9" i="3"/>
  <c r="N9" i="3"/>
  <c r="R9" i="3"/>
  <c r="V9" i="3"/>
  <c r="Z9" i="3"/>
  <c r="AD9" i="3"/>
  <c r="AH9" i="3"/>
  <c r="AL9" i="3"/>
  <c r="AP9" i="3"/>
  <c r="AT9" i="3"/>
  <c r="AX9" i="3"/>
  <c r="JM9" i="3"/>
  <c r="JQ9" i="3"/>
  <c r="JU9" i="3"/>
  <c r="JY9" i="3"/>
  <c r="KC9" i="3"/>
  <c r="KG9" i="3"/>
  <c r="KK9" i="3"/>
  <c r="KO9" i="3"/>
  <c r="KS9" i="3"/>
  <c r="KW9" i="3"/>
  <c r="LA9" i="3"/>
  <c r="LE9" i="3"/>
  <c r="LI9" i="3"/>
  <c r="LM9" i="3"/>
  <c r="LQ9" i="3"/>
  <c r="LU9" i="3"/>
  <c r="LY9" i="3"/>
  <c r="MC9" i="3"/>
  <c r="MG9" i="3"/>
  <c r="MK9" i="3"/>
  <c r="MO9" i="3"/>
  <c r="MS9" i="3"/>
  <c r="MW9" i="3"/>
  <c r="NA9" i="3"/>
  <c r="NE9" i="3"/>
  <c r="NI9" i="3"/>
  <c r="NM9" i="3"/>
  <c r="NQ9" i="3"/>
  <c r="HL10" i="3"/>
  <c r="HP10" i="3"/>
  <c r="HT10" i="3"/>
  <c r="HX10" i="3"/>
  <c r="IB10" i="3"/>
  <c r="IF10" i="3"/>
  <c r="IJ10" i="3"/>
  <c r="IN10" i="3"/>
  <c r="IR10" i="3"/>
  <c r="IV10" i="3"/>
  <c r="IZ10" i="3"/>
  <c r="JD10" i="3"/>
  <c r="JE9" i="3"/>
  <c r="H9" i="3"/>
  <c r="L9" i="3"/>
  <c r="P9" i="3"/>
  <c r="T9" i="3"/>
  <c r="X9" i="3"/>
  <c r="AB9" i="3"/>
  <c r="AF9" i="3"/>
  <c r="AJ9" i="3"/>
  <c r="AN9" i="3"/>
  <c r="AR9" i="3"/>
  <c r="AV9" i="3"/>
  <c r="AZ9" i="3"/>
  <c r="BD9" i="3"/>
  <c r="BH9" i="3"/>
  <c r="BL9" i="3"/>
  <c r="G9" i="3"/>
  <c r="K9" i="3"/>
  <c r="O9" i="3"/>
  <c r="S9" i="3"/>
  <c r="W9" i="3"/>
  <c r="AA9" i="3"/>
  <c r="AE9" i="3"/>
  <c r="AI9" i="3"/>
  <c r="AM9" i="3"/>
  <c r="AQ9" i="3"/>
  <c r="AU9" i="3"/>
  <c r="AY9" i="3"/>
  <c r="BC9" i="3"/>
  <c r="BG9" i="3"/>
  <c r="BK9" i="3"/>
  <c r="BO9" i="3"/>
  <c r="BS9" i="3"/>
  <c r="BW9" i="3"/>
  <c r="CA9" i="3"/>
  <c r="CE9" i="3"/>
  <c r="CI9" i="3"/>
  <c r="CM9" i="3"/>
  <c r="CQ9" i="3"/>
  <c r="CU9" i="3"/>
  <c r="CY9" i="3"/>
  <c r="DC9" i="3"/>
  <c r="DG9" i="3"/>
  <c r="DK9" i="3"/>
  <c r="DO9" i="3"/>
  <c r="DS9" i="3"/>
  <c r="DW9" i="3"/>
  <c r="EA9" i="3"/>
  <c r="EE9" i="3"/>
  <c r="EI9" i="3"/>
  <c r="EM9" i="3"/>
  <c r="EQ9" i="3"/>
  <c r="EU9" i="3"/>
  <c r="EY9" i="3"/>
  <c r="FC9" i="3"/>
  <c r="FG9" i="3"/>
  <c r="FK9" i="3"/>
  <c r="FO9" i="3"/>
  <c r="FS9" i="3"/>
  <c r="FW9" i="3"/>
  <c r="GA9" i="3"/>
  <c r="GE9" i="3"/>
  <c r="GI9" i="3"/>
  <c r="GM9" i="3"/>
  <c r="GQ9" i="3"/>
  <c r="GU9" i="3"/>
  <c r="GY9" i="3"/>
  <c r="HC9" i="3"/>
  <c r="HG9" i="3"/>
  <c r="HL9" i="3"/>
  <c r="HP9" i="3"/>
  <c r="HT9" i="3"/>
  <c r="HX9" i="3"/>
  <c r="IB9" i="3"/>
  <c r="IF9" i="3"/>
  <c r="IJ9" i="3"/>
  <c r="IN9" i="3"/>
  <c r="IR9" i="3"/>
  <c r="IV9" i="3"/>
  <c r="IZ9" i="3"/>
  <c r="JD9" i="3"/>
  <c r="JI9" i="3"/>
  <c r="BP9" i="3"/>
  <c r="BT9" i="3"/>
  <c r="BX9" i="3"/>
  <c r="CB9" i="3"/>
  <c r="CF9" i="3"/>
  <c r="CJ9" i="3"/>
  <c r="CN9" i="3"/>
  <c r="CR9" i="3"/>
  <c r="CV9" i="3"/>
  <c r="CZ9" i="3"/>
  <c r="DD9" i="3"/>
  <c r="DH9" i="3"/>
  <c r="DL9" i="3"/>
  <c r="DP9" i="3"/>
  <c r="DT9" i="3"/>
  <c r="DX9" i="3"/>
  <c r="EB9" i="3"/>
  <c r="EF9" i="3"/>
  <c r="EJ9" i="3"/>
  <c r="EN9" i="3"/>
  <c r="ER9" i="3"/>
  <c r="EV9" i="3"/>
  <c r="EZ9" i="3"/>
  <c r="FD9" i="3"/>
  <c r="FH9" i="3"/>
  <c r="FL9" i="3"/>
  <c r="FP9" i="3"/>
  <c r="FT9" i="3"/>
  <c r="FX9" i="3"/>
  <c r="GB9" i="3"/>
  <c r="GF9" i="3"/>
  <c r="GJ9" i="3"/>
  <c r="GN9" i="3"/>
  <c r="GR9" i="3"/>
  <c r="GV9" i="3"/>
  <c r="GZ9" i="3"/>
  <c r="HD9" i="3"/>
  <c r="HH9" i="3"/>
  <c r="HM9" i="3"/>
  <c r="HQ9" i="3"/>
  <c r="HU9" i="3"/>
  <c r="HY9" i="3"/>
  <c r="IC9" i="3"/>
  <c r="IG9" i="3"/>
  <c r="IK9" i="3"/>
  <c r="IO9" i="3"/>
  <c r="IS9" i="3"/>
  <c r="IW9" i="3"/>
  <c r="JA9" i="3"/>
  <c r="JO9" i="3"/>
  <c r="JS9" i="3"/>
  <c r="JW9" i="3"/>
  <c r="KA9" i="3"/>
  <c r="KE9" i="3"/>
  <c r="KI9" i="3"/>
  <c r="KM9" i="3"/>
  <c r="KQ9" i="3"/>
  <c r="KU9" i="3"/>
  <c r="KY9" i="3"/>
  <c r="LC9" i="3"/>
  <c r="LG9" i="3"/>
  <c r="LK9" i="3"/>
  <c r="LO9" i="3"/>
  <c r="LS9" i="3"/>
  <c r="LW9" i="3"/>
  <c r="MA9" i="3"/>
  <c r="ME9" i="3"/>
  <c r="MI9" i="3"/>
  <c r="MM9" i="3"/>
  <c r="MQ9" i="3"/>
  <c r="MU9" i="3"/>
  <c r="MY9" i="3"/>
  <c r="NC9" i="3"/>
  <c r="NG9" i="3"/>
  <c r="NK9" i="3"/>
  <c r="NO9" i="3"/>
  <c r="NS9" i="3"/>
  <c r="I10" i="3"/>
  <c r="M10" i="3"/>
  <c r="Q10" i="3"/>
  <c r="U10" i="3"/>
  <c r="Y10" i="3"/>
  <c r="AC10" i="3"/>
  <c r="AG10" i="3"/>
  <c r="AK10" i="3"/>
  <c r="AO10" i="3"/>
  <c r="AS10" i="3"/>
  <c r="AW10" i="3"/>
  <c r="BA10" i="3"/>
  <c r="BE10" i="3"/>
  <c r="BI10" i="3"/>
  <c r="BM10" i="3"/>
  <c r="BQ10" i="3"/>
  <c r="BU10" i="3"/>
  <c r="BY10" i="3"/>
  <c r="CC10" i="3"/>
  <c r="CG10" i="3"/>
  <c r="CK10" i="3"/>
  <c r="CO10" i="3"/>
  <c r="CS10" i="3"/>
  <c r="CW10" i="3"/>
  <c r="DA10" i="3"/>
  <c r="DE10" i="3"/>
  <c r="DI10" i="3"/>
  <c r="DM10" i="3"/>
  <c r="DQ10" i="3"/>
  <c r="DU10" i="3"/>
  <c r="DY10" i="3"/>
  <c r="EC10" i="3"/>
  <c r="EG10" i="3"/>
  <c r="EK10" i="3"/>
  <c r="EO10" i="3"/>
  <c r="ES10" i="3"/>
  <c r="EW10" i="3"/>
  <c r="FA10" i="3"/>
  <c r="FE10" i="3"/>
  <c r="FI10" i="3"/>
  <c r="FM10" i="3"/>
  <c r="FQ10" i="3"/>
  <c r="FU10" i="3"/>
  <c r="FY10" i="3"/>
  <c r="GC10" i="3"/>
  <c r="GG10" i="3"/>
  <c r="GK10" i="3"/>
  <c r="GO10" i="3"/>
  <c r="GS10" i="3"/>
  <c r="GW10" i="3"/>
  <c r="HA10" i="3"/>
  <c r="HE10" i="3"/>
  <c r="HI10" i="3"/>
  <c r="HN10" i="3"/>
  <c r="HR10" i="3"/>
  <c r="HV10" i="3"/>
  <c r="HZ10" i="3"/>
  <c r="ID10" i="3"/>
  <c r="IH10" i="3"/>
  <c r="IL10" i="3"/>
  <c r="IP10" i="3"/>
  <c r="IT10" i="3"/>
  <c r="IX10" i="3"/>
  <c r="JB10" i="3"/>
  <c r="JG10" i="3"/>
  <c r="JK10" i="3"/>
  <c r="JP10" i="3"/>
  <c r="JT10" i="3"/>
  <c r="JX10" i="3"/>
  <c r="KB10" i="3"/>
  <c r="KF10" i="3"/>
  <c r="KJ10" i="3"/>
  <c r="KN10" i="3"/>
  <c r="KR10" i="3"/>
  <c r="KV10" i="3"/>
  <c r="KZ10" i="3"/>
  <c r="LD10" i="3"/>
  <c r="LH10" i="3"/>
  <c r="LL10" i="3"/>
  <c r="LP10" i="3"/>
  <c r="LT10" i="3"/>
  <c r="LX10" i="3"/>
  <c r="MB10" i="3"/>
  <c r="MF10" i="3"/>
  <c r="MJ10" i="3"/>
  <c r="MN10" i="3"/>
  <c r="MR10" i="3"/>
  <c r="MV10" i="3"/>
  <c r="MZ10" i="3"/>
  <c r="ND10" i="3"/>
  <c r="NH10" i="3"/>
  <c r="NL10" i="3"/>
  <c r="NP10" i="3"/>
  <c r="JG9" i="3"/>
  <c r="JK9" i="3"/>
  <c r="JP9" i="3"/>
  <c r="JT9" i="3"/>
  <c r="JX9" i="3"/>
  <c r="KB9" i="3"/>
  <c r="KF9" i="3"/>
  <c r="KJ9" i="3"/>
  <c r="KN9" i="3"/>
  <c r="KR9" i="3"/>
  <c r="KV9" i="3"/>
  <c r="KZ9" i="3"/>
  <c r="LD9" i="3"/>
  <c r="LH9" i="3"/>
  <c r="LL9" i="3"/>
  <c r="LP9" i="3"/>
  <c r="LT9" i="3"/>
  <c r="LX9" i="3"/>
  <c r="MB9" i="3"/>
  <c r="MF9" i="3"/>
  <c r="MJ9" i="3"/>
  <c r="MN9" i="3"/>
  <c r="MR9" i="3"/>
  <c r="MV9" i="3"/>
  <c r="MZ9" i="3"/>
  <c r="ND9" i="3"/>
  <c r="NH9" i="3"/>
  <c r="NL9" i="3"/>
  <c r="NP9" i="3"/>
  <c r="J10" i="3"/>
  <c r="N10" i="3"/>
  <c r="R10" i="3"/>
  <c r="V10" i="3"/>
  <c r="Z10" i="3"/>
  <c r="AD10" i="3"/>
  <c r="AH10" i="3"/>
  <c r="AL10" i="3"/>
  <c r="AP10" i="3"/>
  <c r="AT10" i="3"/>
  <c r="HM10" i="3"/>
  <c r="HQ10" i="3"/>
  <c r="HU10" i="3"/>
  <c r="HY10" i="3"/>
  <c r="IC10" i="3"/>
  <c r="IG10" i="3"/>
  <c r="IK10" i="3"/>
  <c r="IO10" i="3"/>
  <c r="IS10" i="3"/>
  <c r="IW10" i="3"/>
  <c r="JA10" i="3"/>
  <c r="JF10" i="3"/>
  <c r="JJ10" i="3"/>
  <c r="JO10" i="3"/>
  <c r="JS10" i="3"/>
  <c r="JW10" i="3"/>
  <c r="KA10" i="3"/>
  <c r="KE10" i="3"/>
  <c r="KI10" i="3"/>
  <c r="KM10" i="3"/>
  <c r="KQ10" i="3"/>
  <c r="KU10" i="3"/>
  <c r="KY10" i="3"/>
  <c r="LC10" i="3"/>
  <c r="LG10" i="3"/>
  <c r="LK10" i="3"/>
  <c r="LO10" i="3"/>
  <c r="LS10" i="3"/>
  <c r="LW10" i="3"/>
  <c r="MA10" i="3"/>
  <c r="ME10" i="3"/>
  <c r="MI10" i="3"/>
  <c r="MM10" i="3"/>
  <c r="MQ10" i="3"/>
  <c r="MU10" i="3"/>
  <c r="MY10" i="3"/>
  <c r="NC10" i="3"/>
  <c r="NG10" i="3"/>
  <c r="NK10" i="3"/>
  <c r="NO10" i="3"/>
  <c r="JL10" i="3"/>
  <c r="JE10" i="3"/>
  <c r="AX10" i="3"/>
  <c r="BB10" i="3"/>
  <c r="BF10" i="3"/>
  <c r="BJ10" i="3"/>
  <c r="BN10" i="3"/>
  <c r="BR10" i="3"/>
  <c r="BV10" i="3"/>
  <c r="BZ10" i="3"/>
  <c r="CD10" i="3"/>
  <c r="CH10" i="3"/>
  <c r="CL10" i="3"/>
  <c r="CP10" i="3"/>
  <c r="CT10" i="3"/>
  <c r="CX10" i="3"/>
  <c r="DB10" i="3"/>
  <c r="DF10" i="3"/>
  <c r="DJ10" i="3"/>
  <c r="DN10" i="3"/>
  <c r="DR10" i="3"/>
  <c r="DV10" i="3"/>
  <c r="DZ10" i="3"/>
  <c r="ED10" i="3"/>
  <c r="EH10" i="3"/>
  <c r="EL10" i="3"/>
  <c r="EP10" i="3"/>
  <c r="ET10" i="3"/>
  <c r="EX10" i="3"/>
  <c r="FB10" i="3"/>
  <c r="FF10" i="3"/>
  <c r="FJ10" i="3"/>
  <c r="FN10" i="3"/>
  <c r="FR10" i="3"/>
  <c r="FV10" i="3"/>
  <c r="FZ10" i="3"/>
  <c r="GD10" i="3"/>
  <c r="GH10" i="3"/>
  <c r="GL10" i="3"/>
  <c r="GP10" i="3"/>
  <c r="GT10" i="3"/>
  <c r="GX10" i="3"/>
  <c r="HB10" i="3"/>
  <c r="HF10" i="3"/>
  <c r="HK10" i="3"/>
  <c r="HO10" i="3"/>
  <c r="HS10" i="3"/>
  <c r="HW10" i="3"/>
  <c r="IA10" i="3"/>
  <c r="IE10" i="3"/>
  <c r="II10" i="3"/>
  <c r="IM10" i="3"/>
  <c r="IQ10" i="3"/>
  <c r="IU10" i="3"/>
  <c r="IY10" i="3"/>
  <c r="JC10" i="3"/>
  <c r="JH10" i="3"/>
  <c r="JM10" i="3"/>
  <c r="JQ10" i="3"/>
  <c r="JU10" i="3"/>
  <c r="JY10" i="3"/>
  <c r="KC10" i="3"/>
  <c r="KG10" i="3"/>
  <c r="KK10" i="3"/>
  <c r="KO10" i="3"/>
  <c r="KS10" i="3"/>
  <c r="KW10" i="3"/>
  <c r="LA10" i="3"/>
  <c r="LE10" i="3"/>
  <c r="LI10" i="3"/>
  <c r="LM10" i="3"/>
  <c r="LQ10" i="3"/>
  <c r="LU10" i="3"/>
  <c r="LY10" i="3"/>
  <c r="MC10" i="3"/>
  <c r="MG10" i="3"/>
  <c r="MK10" i="3"/>
  <c r="MO10" i="3"/>
  <c r="MS10" i="3"/>
  <c r="MW10" i="3"/>
  <c r="NA10" i="3"/>
  <c r="NE10" i="3"/>
  <c r="NI10" i="3"/>
  <c r="NM10" i="3"/>
  <c r="NQ10" i="3"/>
  <c r="JL9" i="3"/>
  <c r="HJ10" i="3"/>
  <c r="OT14" i="3"/>
  <c r="OT130" i="3"/>
  <c r="OT128" i="3"/>
  <c r="OT16" i="3"/>
  <c r="OT24" i="3"/>
  <c r="OT44" i="3"/>
  <c r="OT46" i="3"/>
  <c r="OT48" i="3"/>
  <c r="OT52" i="3"/>
  <c r="OT90" i="3"/>
  <c r="OT32" i="3"/>
  <c r="OT38" i="3"/>
  <c r="OT22" i="3"/>
  <c r="OT28" i="3"/>
  <c r="OT102" i="3"/>
  <c r="OT101" i="3"/>
  <c r="OP104" i="3"/>
  <c r="OT66" i="3"/>
  <c r="OP68" i="3"/>
  <c r="OT70" i="3"/>
  <c r="OP72" i="3"/>
  <c r="OT84" i="3"/>
  <c r="OT98" i="3"/>
  <c r="OP40" i="3"/>
  <c r="OP50" i="3"/>
  <c r="OP74" i="3"/>
  <c r="OP130" i="3"/>
  <c r="OL26" i="3"/>
  <c r="OL132" i="3"/>
  <c r="OL28" i="3"/>
  <c r="OL14" i="3"/>
  <c r="OL128" i="3"/>
  <c r="OL16" i="3"/>
  <c r="OL24" i="3"/>
  <c r="OL22" i="3"/>
  <c r="OL44" i="3"/>
  <c r="OL38" i="3"/>
  <c r="OL46" i="3"/>
  <c r="OL48" i="3"/>
  <c r="OL52" i="3"/>
  <c r="OL102" i="3"/>
  <c r="OL106" i="3"/>
  <c r="OL70" i="3"/>
  <c r="OL20" i="3"/>
  <c r="OL36" i="3"/>
  <c r="OL40" i="3"/>
  <c r="OL62" i="3"/>
  <c r="OL32" i="3"/>
  <c r="OL34" i="3"/>
  <c r="OL18" i="3"/>
  <c r="OL178" i="3"/>
  <c r="OL66" i="3"/>
  <c r="PE177" i="3"/>
  <c r="OO193" i="3"/>
  <c r="OL68" i="3"/>
  <c r="OH70" i="3"/>
  <c r="OO177" i="3"/>
  <c r="NU73" i="3"/>
  <c r="OG83" i="3"/>
  <c r="OO83" i="3"/>
  <c r="OW83" i="3"/>
  <c r="PE83" i="3"/>
  <c r="PB83" i="3"/>
  <c r="NV102" i="3"/>
  <c r="NV66" i="3"/>
  <c r="OL83" i="3"/>
  <c r="OH26" i="3"/>
  <c r="OC51" i="3"/>
  <c r="OS51" i="3"/>
  <c r="OD83" i="3"/>
  <c r="OT83" i="3"/>
  <c r="NY31" i="3"/>
  <c r="PE31" i="3"/>
  <c r="NY33" i="3"/>
  <c r="OO17" i="3"/>
  <c r="PA23" i="3"/>
  <c r="NY27" i="3"/>
  <c r="PE171" i="3"/>
  <c r="NZ180" i="3"/>
  <c r="NU177" i="3"/>
  <c r="OG71" i="3"/>
  <c r="NZ84" i="3"/>
  <c r="OC83" i="3"/>
  <c r="OH84" i="3"/>
  <c r="OK83" i="3"/>
  <c r="OP84" i="3"/>
  <c r="OS83" i="3"/>
  <c r="OX84" i="3"/>
  <c r="PA83" i="3"/>
  <c r="PE71" i="3"/>
  <c r="NU119" i="3"/>
  <c r="OW47" i="3"/>
  <c r="PE47" i="3"/>
  <c r="NZ71" i="3"/>
  <c r="OC71" i="3"/>
  <c r="PE23" i="3"/>
  <c r="NY43" i="3"/>
  <c r="OD44" i="3"/>
  <c r="OO43" i="3"/>
  <c r="OW43" i="3"/>
  <c r="OW37" i="3"/>
  <c r="OG67" i="3"/>
  <c r="OO67" i="3"/>
  <c r="OW67" i="3"/>
  <c r="PE67" i="3"/>
  <c r="OH106" i="3"/>
  <c r="OO115" i="3"/>
  <c r="OO171" i="3"/>
  <c r="NU189" i="3"/>
  <c r="NZ190" i="3"/>
  <c r="PE193" i="3"/>
  <c r="NZ72" i="3"/>
  <c r="NY17" i="3"/>
  <c r="PA21" i="3"/>
  <c r="OS45" i="3"/>
  <c r="OS61" i="3"/>
  <c r="PA47" i="3"/>
  <c r="NY71" i="3"/>
  <c r="OS179" i="3"/>
  <c r="PE13" i="3"/>
  <c r="NY15" i="3"/>
  <c r="OD16" i="3"/>
  <c r="OO15" i="3"/>
  <c r="OW15" i="3"/>
  <c r="NY21" i="3"/>
  <c r="OD22" i="3"/>
  <c r="OO21" i="3"/>
  <c r="OW21" i="3"/>
  <c r="NZ40" i="3"/>
  <c r="NU91" i="3"/>
  <c r="OW165" i="3"/>
  <c r="OK175" i="3"/>
  <c r="OW179" i="3"/>
  <c r="OS183" i="3"/>
  <c r="PE185" i="3"/>
  <c r="PE191" i="3"/>
  <c r="NU193" i="3"/>
  <c r="NU197" i="3"/>
  <c r="NZ198" i="3"/>
  <c r="OC25" i="3"/>
  <c r="NU83" i="3"/>
  <c r="OW51" i="3"/>
  <c r="NU67" i="3"/>
  <c r="NZ68" i="3"/>
  <c r="OK67" i="3"/>
  <c r="OS67" i="3"/>
  <c r="PA67" i="3"/>
  <c r="NU71" i="3"/>
  <c r="NU95" i="3"/>
  <c r="NU171" i="3"/>
  <c r="PE175" i="3"/>
  <c r="OK185" i="3"/>
  <c r="OG195" i="3"/>
  <c r="OS191" i="3"/>
  <c r="PE25" i="3"/>
  <c r="PC168" i="3"/>
  <c r="OP113" i="3"/>
  <c r="OS113" i="3"/>
  <c r="NU103" i="3"/>
  <c r="OH104" i="3"/>
  <c r="PE103" i="3"/>
  <c r="NU105" i="3"/>
  <c r="NU113" i="3"/>
  <c r="OL72" i="3"/>
  <c r="OO71" i="3"/>
  <c r="PB98" i="3"/>
  <c r="PB64" i="3" s="1"/>
  <c r="PE97" i="3"/>
  <c r="OC73" i="3"/>
  <c r="OP71" i="3"/>
  <c r="OS71" i="3"/>
  <c r="OG93" i="3"/>
  <c r="PA65" i="3"/>
  <c r="PA91" i="3"/>
  <c r="OG73" i="3"/>
  <c r="OO73" i="3"/>
  <c r="NU81" i="3"/>
  <c r="OC97" i="3"/>
  <c r="NZ18" i="3"/>
  <c r="NZ34" i="3"/>
  <c r="NZ28" i="3"/>
  <c r="OK61" i="3"/>
  <c r="PE19" i="3"/>
  <c r="NY49" i="3"/>
  <c r="OC49" i="3"/>
  <c r="OO31" i="3"/>
  <c r="PE33" i="3"/>
  <c r="PE27" i="3"/>
  <c r="NZ20" i="3"/>
  <c r="PE21" i="3"/>
  <c r="NZ130" i="3"/>
  <c r="OC129" i="3"/>
  <c r="NY19" i="3"/>
  <c r="OS31" i="3"/>
  <c r="NY23" i="3"/>
  <c r="OD24" i="3"/>
  <c r="OO23" i="3"/>
  <c r="OW23" i="3"/>
  <c r="NU33" i="3"/>
  <c r="NU15" i="3"/>
  <c r="OK15" i="3"/>
  <c r="PA15" i="3"/>
  <c r="PE17" i="3"/>
  <c r="NU27" i="3"/>
  <c r="NU19" i="3"/>
  <c r="PA43" i="3"/>
  <c r="OW45" i="3"/>
  <c r="NY47" i="3"/>
  <c r="OD48" i="3"/>
  <c r="OO47" i="3"/>
  <c r="OS49" i="3"/>
  <c r="OD130" i="3"/>
  <c r="OD34" i="3"/>
  <c r="OD28" i="3"/>
  <c r="OD20" i="3"/>
  <c r="NZ36" i="3"/>
  <c r="OJ12" i="3"/>
  <c r="OZ12" i="3"/>
  <c r="OC37" i="3"/>
  <c r="OS37" i="3"/>
  <c r="OL130" i="3"/>
  <c r="OO129" i="3"/>
  <c r="OH71" i="3"/>
  <c r="OK71" i="3"/>
  <c r="PE101" i="3"/>
  <c r="PB101" i="3"/>
  <c r="OL187" i="3"/>
  <c r="OO187" i="3"/>
  <c r="PB187" i="3"/>
  <c r="PE187" i="3"/>
  <c r="OX196" i="3"/>
  <c r="PA195" i="3"/>
  <c r="OD18" i="3"/>
  <c r="OL50" i="3"/>
  <c r="OO49" i="3"/>
  <c r="PB12" i="3"/>
  <c r="OX71" i="3"/>
  <c r="PA71" i="3"/>
  <c r="PE39" i="3"/>
  <c r="PB39" i="3"/>
  <c r="OO61" i="3"/>
  <c r="OL61" i="3"/>
  <c r="OP175" i="3"/>
  <c r="OS175" i="3"/>
  <c r="OD187" i="3"/>
  <c r="OG187" i="3"/>
  <c r="OT187" i="3"/>
  <c r="OW187" i="3"/>
  <c r="OP196" i="3"/>
  <c r="OS195" i="3"/>
  <c r="OD32" i="3"/>
  <c r="OW127" i="3"/>
  <c r="PE127" i="3"/>
  <c r="OO33" i="3"/>
  <c r="PE15" i="3"/>
  <c r="NU17" i="3"/>
  <c r="OS39" i="3"/>
  <c r="OP39" i="3"/>
  <c r="PE49" i="3"/>
  <c r="OL113" i="3"/>
  <c r="OO113" i="3"/>
  <c r="NZ50" i="3"/>
  <c r="OD50" i="3"/>
  <c r="NU61" i="3"/>
  <c r="OP62" i="3"/>
  <c r="PE129" i="3"/>
  <c r="OJ64" i="3"/>
  <c r="OZ64" i="3"/>
  <c r="OS73" i="3"/>
  <c r="PA73" i="3"/>
  <c r="OD72" i="3"/>
  <c r="OH117" i="3"/>
  <c r="OK117" i="3"/>
  <c r="OH179" i="3"/>
  <c r="OK179" i="3"/>
  <c r="PB179" i="3"/>
  <c r="PE179" i="3"/>
  <c r="NU23" i="3"/>
  <c r="OK23" i="3"/>
  <c r="OO27" i="3"/>
  <c r="NU21" i="3"/>
  <c r="OK21" i="3"/>
  <c r="OO19" i="3"/>
  <c r="NU43" i="3"/>
  <c r="OK43" i="3"/>
  <c r="OO35" i="3"/>
  <c r="OS35" i="3"/>
  <c r="NU47" i="3"/>
  <c r="OK47" i="3"/>
  <c r="PA61" i="3"/>
  <c r="NX63" i="3"/>
  <c r="OB63" i="3"/>
  <c r="OJ63" i="3"/>
  <c r="OR63" i="3"/>
  <c r="OZ63" i="3"/>
  <c r="NT64" i="3"/>
  <c r="NU87" i="3"/>
  <c r="OC89" i="3"/>
  <c r="NZ89" i="3"/>
  <c r="NZ97" i="3"/>
  <c r="OS97" i="3"/>
  <c r="OD179" i="3"/>
  <c r="OG179" i="3"/>
  <c r="OL179" i="3"/>
  <c r="OO179" i="3"/>
  <c r="OX180" i="3"/>
  <c r="PA179" i="3"/>
  <c r="PB122" i="3"/>
  <c r="OO13" i="3"/>
  <c r="OW13" i="3"/>
  <c r="NU31" i="3"/>
  <c r="NV34" i="3"/>
  <c r="OS33" i="3"/>
  <c r="NV18" i="3"/>
  <c r="OS17" i="3"/>
  <c r="OS27" i="3"/>
  <c r="NV20" i="3"/>
  <c r="OS19" i="3"/>
  <c r="OD36" i="3"/>
  <c r="NY39" i="3"/>
  <c r="OS129" i="3"/>
  <c r="OW73" i="3"/>
  <c r="NU65" i="3"/>
  <c r="NY67" i="3"/>
  <c r="OW71" i="3"/>
  <c r="OC91" i="3"/>
  <c r="NZ92" i="3"/>
  <c r="OK91" i="3"/>
  <c r="NU93" i="3"/>
  <c r="OK93" i="3"/>
  <c r="PA93" i="3"/>
  <c r="NU89" i="3"/>
  <c r="OG89" i="3"/>
  <c r="PD100" i="3"/>
  <c r="OX102" i="3"/>
  <c r="PA101" i="3"/>
  <c r="PB184" i="3"/>
  <c r="PE183" i="3"/>
  <c r="NZ187" i="3"/>
  <c r="NZ188" i="3"/>
  <c r="OC187" i="3"/>
  <c r="OH187" i="3"/>
  <c r="OK187" i="3"/>
  <c r="OP187" i="3"/>
  <c r="OS187" i="3"/>
  <c r="OX188" i="3"/>
  <c r="PA187" i="3"/>
  <c r="PE91" i="3"/>
  <c r="NY93" i="3"/>
  <c r="OO93" i="3"/>
  <c r="PE93" i="3"/>
  <c r="NU101" i="3"/>
  <c r="OO103" i="3"/>
  <c r="OK105" i="3"/>
  <c r="PA105" i="3"/>
  <c r="OC113" i="3"/>
  <c r="OH114" i="3"/>
  <c r="NU115" i="3"/>
  <c r="OG165" i="3"/>
  <c r="ON173" i="3"/>
  <c r="OV173" i="3"/>
  <c r="OB174" i="3"/>
  <c r="OJ174" i="3"/>
  <c r="OR174" i="3"/>
  <c r="OZ174" i="3"/>
  <c r="PA181" i="3"/>
  <c r="OD195" i="3"/>
  <c r="OP26" i="3"/>
  <c r="OS25" i="3"/>
  <c r="OX26" i="3"/>
  <c r="PA25" i="3"/>
  <c r="PA119" i="3"/>
  <c r="NX157" i="3"/>
  <c r="OF157" i="3"/>
  <c r="ON157" i="3"/>
  <c r="OV157" i="3"/>
  <c r="PD157" i="3"/>
  <c r="OJ173" i="3"/>
  <c r="OR173" i="3"/>
  <c r="OZ173" i="3"/>
  <c r="NT174" i="3"/>
  <c r="OF174" i="3"/>
  <c r="NU175" i="3"/>
  <c r="OC179" i="3"/>
  <c r="PA117" i="3"/>
  <c r="NX168" i="3"/>
  <c r="ON168" i="3"/>
  <c r="OV168" i="3"/>
  <c r="PD168" i="3"/>
  <c r="ON174" i="3"/>
  <c r="OV174" i="3"/>
  <c r="OL196" i="3"/>
  <c r="OO195" i="3"/>
  <c r="OT196" i="3"/>
  <c r="OT174" i="3" s="1"/>
  <c r="OW195" i="3"/>
  <c r="PB196" i="3"/>
  <c r="PE195" i="3"/>
  <c r="NU181" i="3"/>
  <c r="NZ182" i="3"/>
  <c r="NU185" i="3"/>
  <c r="OO185" i="3"/>
  <c r="OK195" i="3"/>
  <c r="OO25" i="3"/>
  <c r="NU131" i="3"/>
  <c r="OK131" i="3"/>
  <c r="NU127" i="3"/>
  <c r="OK127" i="3"/>
  <c r="PA127" i="3"/>
  <c r="OD128" i="3"/>
  <c r="OO127" i="3"/>
  <c r="NT12" i="3"/>
  <c r="OV12" i="3"/>
  <c r="NU13" i="3"/>
  <c r="OK13" i="3"/>
  <c r="PA13" i="3"/>
  <c r="NY13" i="3"/>
  <c r="OD14" i="3"/>
  <c r="PA33" i="3"/>
  <c r="PA17" i="3"/>
  <c r="G3" i="3"/>
  <c r="OC13" i="3"/>
  <c r="OS13" i="3"/>
  <c r="OC127" i="3"/>
  <c r="OS127" i="3"/>
  <c r="OC15" i="3"/>
  <c r="OS15" i="3"/>
  <c r="OC23" i="3"/>
  <c r="OS23" i="3"/>
  <c r="OC21" i="3"/>
  <c r="OS21" i="3"/>
  <c r="OC43" i="3"/>
  <c r="OS43" i="3"/>
  <c r="NY35" i="3"/>
  <c r="OO39" i="3"/>
  <c r="PB61" i="3"/>
  <c r="PE61" i="3"/>
  <c r="PA19" i="3"/>
  <c r="G2" i="3"/>
  <c r="NV31" i="3"/>
  <c r="OL31" i="3"/>
  <c r="PB31" i="3"/>
  <c r="NV33" i="3"/>
  <c r="OL33" i="3"/>
  <c r="PB33" i="3"/>
  <c r="NV16" i="3"/>
  <c r="NV17" i="3"/>
  <c r="OL17" i="3"/>
  <c r="PB17" i="3"/>
  <c r="NV24" i="3"/>
  <c r="NV27" i="3"/>
  <c r="OL27" i="3"/>
  <c r="PB27" i="3"/>
  <c r="NV19" i="3"/>
  <c r="OL19" i="3"/>
  <c r="PB19" i="3"/>
  <c r="NV44" i="3"/>
  <c r="PE35" i="3"/>
  <c r="NV61" i="3"/>
  <c r="NY61" i="3"/>
  <c r="PA31" i="3"/>
  <c r="PA27" i="3"/>
  <c r="G8" i="3"/>
  <c r="NX11" i="3"/>
  <c r="OB11" i="3"/>
  <c r="OF11" i="3"/>
  <c r="OJ11" i="3"/>
  <c r="ON11" i="3"/>
  <c r="OR11" i="3"/>
  <c r="OV11" i="3"/>
  <c r="OZ11" i="3"/>
  <c r="PD11" i="3"/>
  <c r="NX12" i="3"/>
  <c r="OF12" i="3"/>
  <c r="ON12" i="3"/>
  <c r="PD12" i="3"/>
  <c r="OC31" i="3"/>
  <c r="OK31" i="3"/>
  <c r="OP32" i="3"/>
  <c r="OC33" i="3"/>
  <c r="OK33" i="3"/>
  <c r="OP34" i="3"/>
  <c r="OC17" i="3"/>
  <c r="OK17" i="3"/>
  <c r="OP18" i="3"/>
  <c r="OC27" i="3"/>
  <c r="OK27" i="3"/>
  <c r="OP28" i="3"/>
  <c r="OC19" i="3"/>
  <c r="OK19" i="3"/>
  <c r="OP20" i="3"/>
  <c r="NU35" i="3"/>
  <c r="NV39" i="3"/>
  <c r="NZ62" i="3"/>
  <c r="OC61" i="3"/>
  <c r="PA35" i="3"/>
  <c r="NU37" i="3"/>
  <c r="OK37" i="3"/>
  <c r="PA37" i="3"/>
  <c r="NU39" i="3"/>
  <c r="OD40" i="3"/>
  <c r="PA39" i="3"/>
  <c r="OK45" i="3"/>
  <c r="PA45" i="3"/>
  <c r="OC47" i="3"/>
  <c r="OS47" i="3"/>
  <c r="OK49" i="3"/>
  <c r="NY51" i="3"/>
  <c r="OD52" i="3"/>
  <c r="OO51" i="3"/>
  <c r="PE51" i="3"/>
  <c r="NU129" i="3"/>
  <c r="PA129" i="3"/>
  <c r="OF64" i="3"/>
  <c r="ON64" i="3"/>
  <c r="OV64" i="3"/>
  <c r="PD64" i="3"/>
  <c r="NZ73" i="3"/>
  <c r="OD73" i="3"/>
  <c r="OL73" i="3"/>
  <c r="OP73" i="3"/>
  <c r="OX73" i="3"/>
  <c r="OT74" i="3"/>
  <c r="OK65" i="3"/>
  <c r="OX66" i="3"/>
  <c r="NV67" i="3"/>
  <c r="NZ67" i="3"/>
  <c r="OD67" i="3"/>
  <c r="OH67" i="3"/>
  <c r="OL67" i="3"/>
  <c r="OP67" i="3"/>
  <c r="OT67" i="3"/>
  <c r="OX67" i="3"/>
  <c r="PB67" i="3"/>
  <c r="OK69" i="3"/>
  <c r="OK79" i="3"/>
  <c r="OO91" i="3"/>
  <c r="OS91" i="3"/>
  <c r="OS93" i="3"/>
  <c r="OK81" i="3"/>
  <c r="NU85" i="3"/>
  <c r="OW93" i="3"/>
  <c r="OX89" i="3"/>
  <c r="PA89" i="3"/>
  <c r="PE43" i="3"/>
  <c r="OC35" i="3"/>
  <c r="OK35" i="3"/>
  <c r="OP36" i="3"/>
  <c r="NY37" i="3"/>
  <c r="OD38" i="3"/>
  <c r="OO37" i="3"/>
  <c r="PE37" i="3"/>
  <c r="OC39" i="3"/>
  <c r="OK39" i="3"/>
  <c r="OD46" i="3"/>
  <c r="OO45" i="3"/>
  <c r="PE45" i="3"/>
  <c r="NU49" i="3"/>
  <c r="PA49" i="3"/>
  <c r="NU51" i="3"/>
  <c r="OK51" i="3"/>
  <c r="PA51" i="3"/>
  <c r="OK129" i="3"/>
  <c r="NV74" i="3"/>
  <c r="OH74" i="3"/>
  <c r="NV68" i="3"/>
  <c r="NU69" i="3"/>
  <c r="PA69" i="3"/>
  <c r="NU79" i="3"/>
  <c r="PA79" i="3"/>
  <c r="OC93" i="3"/>
  <c r="PA81" i="3"/>
  <c r="OP90" i="3"/>
  <c r="OS89" i="3"/>
  <c r="OD62" i="3"/>
  <c r="OF63" i="3"/>
  <c r="ON63" i="3"/>
  <c r="OV63" i="3"/>
  <c r="PD63" i="3"/>
  <c r="OB64" i="3"/>
  <c r="OR64" i="3"/>
  <c r="NY73" i="3"/>
  <c r="OK73" i="3"/>
  <c r="PE73" i="3"/>
  <c r="NZ66" i="3"/>
  <c r="OC67" i="3"/>
  <c r="NZ70" i="3"/>
  <c r="NZ82" i="3"/>
  <c r="OL89" i="3"/>
  <c r="OO89" i="3"/>
  <c r="NU97" i="3"/>
  <c r="OK101" i="3"/>
  <c r="OO101" i="3"/>
  <c r="OS101" i="3"/>
  <c r="OK103" i="3"/>
  <c r="PA103" i="3"/>
  <c r="PA113" i="3"/>
  <c r="PE113" i="3"/>
  <c r="PE115" i="3"/>
  <c r="OS115" i="3"/>
  <c r="NU117" i="3"/>
  <c r="OG117" i="3"/>
  <c r="OW117" i="3"/>
  <c r="PB158" i="3"/>
  <c r="OC165" i="3"/>
  <c r="OW89" i="3"/>
  <c r="NT100" i="3"/>
  <c r="OF100" i="3"/>
  <c r="OV100" i="3"/>
  <c r="NY101" i="3"/>
  <c r="OC101" i="3"/>
  <c r="OG103" i="3"/>
  <c r="OW103" i="3"/>
  <c r="OX106" i="3"/>
  <c r="OK113" i="3"/>
  <c r="NZ114" i="3"/>
  <c r="OC117" i="3"/>
  <c r="OS117" i="3"/>
  <c r="OK119" i="3"/>
  <c r="OX120" i="3"/>
  <c r="NT157" i="3"/>
  <c r="OB157" i="3"/>
  <c r="OJ157" i="3"/>
  <c r="OR157" i="3"/>
  <c r="OZ157" i="3"/>
  <c r="OF158" i="3"/>
  <c r="OV158" i="3"/>
  <c r="PC158" i="3"/>
  <c r="OW85" i="3"/>
  <c r="OO97" i="3"/>
  <c r="NX100" i="3"/>
  <c r="ON100" i="3"/>
  <c r="OH102" i="3"/>
  <c r="OC103" i="3"/>
  <c r="OS103" i="3"/>
  <c r="OG115" i="3"/>
  <c r="OL115" i="3"/>
  <c r="OW115" i="3"/>
  <c r="PB115" i="3"/>
  <c r="OC115" i="3"/>
  <c r="OP116" i="3"/>
  <c r="OO117" i="3"/>
  <c r="PE117" i="3"/>
  <c r="OD165" i="3"/>
  <c r="OO165" i="3"/>
  <c r="OT165" i="3"/>
  <c r="PE165" i="3"/>
  <c r="NZ166" i="3"/>
  <c r="OS165" i="3"/>
  <c r="OF99" i="3"/>
  <c r="ON99" i="3"/>
  <c r="OV99" i="3"/>
  <c r="OZ99" i="3"/>
  <c r="PD99" i="3"/>
  <c r="NU165" i="3"/>
  <c r="OC171" i="3"/>
  <c r="OC177" i="3"/>
  <c r="OK177" i="3"/>
  <c r="OC185" i="3"/>
  <c r="PA189" i="3"/>
  <c r="OC193" i="3"/>
  <c r="OK193" i="3"/>
  <c r="OC195" i="3"/>
  <c r="NZ196" i="3"/>
  <c r="PA197" i="3"/>
  <c r="OL168" i="3"/>
  <c r="NX174" i="3"/>
  <c r="PD174" i="3"/>
  <c r="OC175" i="3"/>
  <c r="OO175" i="3"/>
  <c r="PA175" i="3"/>
  <c r="OC183" i="3"/>
  <c r="OO183" i="3"/>
  <c r="PA183" i="3"/>
  <c r="OC191" i="3"/>
  <c r="OO191" i="3"/>
  <c r="PA191" i="3"/>
  <c r="NZ172" i="3"/>
  <c r="OS171" i="3"/>
  <c r="OF173" i="3"/>
  <c r="PD173" i="3"/>
  <c r="NY175" i="3"/>
  <c r="NZ178" i="3"/>
  <c r="OD178" i="3"/>
  <c r="OS177" i="3"/>
  <c r="PA177" i="3"/>
  <c r="NU179" i="3"/>
  <c r="OK181" i="3"/>
  <c r="OX182" i="3"/>
  <c r="OK183" i="3"/>
  <c r="NZ184" i="3"/>
  <c r="NZ186" i="3"/>
  <c r="OD186" i="3"/>
  <c r="OS185" i="3"/>
  <c r="PA185" i="3"/>
  <c r="NU187" i="3"/>
  <c r="OK189" i="3"/>
  <c r="OX190" i="3"/>
  <c r="OK191" i="3"/>
  <c r="NZ192" i="3"/>
  <c r="NZ194" i="3"/>
  <c r="OS193" i="3"/>
  <c r="PA193" i="3"/>
  <c r="NU195" i="3"/>
  <c r="OK197" i="3"/>
  <c r="OX198" i="3"/>
  <c r="OF167" i="3"/>
  <c r="ON167" i="3"/>
  <c r="OV167" i="3"/>
  <c r="PD167" i="3"/>
  <c r="OR168" i="3"/>
  <c r="OZ168" i="3"/>
  <c r="OL171" i="3"/>
  <c r="PB171" i="3"/>
  <c r="OL177" i="3"/>
  <c r="PB177" i="3"/>
  <c r="NU183" i="3"/>
  <c r="OL185" i="3"/>
  <c r="PB185" i="3"/>
  <c r="NU191" i="3"/>
  <c r="OL193" i="3"/>
  <c r="PB193" i="3"/>
  <c r="OK25" i="3"/>
  <c r="NU25" i="3"/>
  <c r="OH132" i="3"/>
  <c r="PA131" i="3"/>
  <c r="H8" i="3"/>
  <c r="H2" i="3"/>
  <c r="I7" i="3"/>
  <c r="H3" i="3"/>
  <c r="OB12" i="3"/>
  <c r="OR12" i="3"/>
  <c r="PC12" i="3"/>
  <c r="NV13" i="3"/>
  <c r="OD13" i="3"/>
  <c r="OH13" i="3"/>
  <c r="OL13" i="3"/>
  <c r="OT13" i="3"/>
  <c r="OX13" i="3"/>
  <c r="PB13" i="3"/>
  <c r="NZ14" i="3"/>
  <c r="OP14" i="3"/>
  <c r="OH32" i="3"/>
  <c r="OX32" i="3"/>
  <c r="NV127" i="3"/>
  <c r="OD127" i="3"/>
  <c r="OH127" i="3"/>
  <c r="OL127" i="3"/>
  <c r="OT127" i="3"/>
  <c r="OX127" i="3"/>
  <c r="PB127" i="3"/>
  <c r="NZ128" i="3"/>
  <c r="OP128" i="3"/>
  <c r="OH34" i="3"/>
  <c r="OX34" i="3"/>
  <c r="NV15" i="3"/>
  <c r="OD15" i="3"/>
  <c r="OH15" i="3"/>
  <c r="OL15" i="3"/>
  <c r="OT15" i="3"/>
  <c r="OX15" i="3"/>
  <c r="PB15" i="3"/>
  <c r="NZ16" i="3"/>
  <c r="OP16" i="3"/>
  <c r="OH18" i="3"/>
  <c r="OX18" i="3"/>
  <c r="NV23" i="3"/>
  <c r="OD23" i="3"/>
  <c r="OH23" i="3"/>
  <c r="OL23" i="3"/>
  <c r="OT23" i="3"/>
  <c r="OX23" i="3"/>
  <c r="PB23" i="3"/>
  <c r="NZ24" i="3"/>
  <c r="OP24" i="3"/>
  <c r="OH28" i="3"/>
  <c r="OX28" i="3"/>
  <c r="NV21" i="3"/>
  <c r="OD21" i="3"/>
  <c r="OH21" i="3"/>
  <c r="OL21" i="3"/>
  <c r="OT21" i="3"/>
  <c r="OX21" i="3"/>
  <c r="PB21" i="3"/>
  <c r="NZ22" i="3"/>
  <c r="OP22" i="3"/>
  <c r="OH20" i="3"/>
  <c r="OX20" i="3"/>
  <c r="NV43" i="3"/>
  <c r="OD43" i="3"/>
  <c r="OH43" i="3"/>
  <c r="OL43" i="3"/>
  <c r="OT43" i="3"/>
  <c r="OX43" i="3"/>
  <c r="PB43" i="3"/>
  <c r="NZ44" i="3"/>
  <c r="OP44" i="3"/>
  <c r="OH36" i="3"/>
  <c r="OX36" i="3"/>
  <c r="NV37" i="3"/>
  <c r="OD37" i="3"/>
  <c r="OH37" i="3"/>
  <c r="OL37" i="3"/>
  <c r="OT37" i="3"/>
  <c r="OX37" i="3"/>
  <c r="PB37" i="3"/>
  <c r="NZ38" i="3"/>
  <c r="OP38" i="3"/>
  <c r="OH40" i="3"/>
  <c r="OX40" i="3"/>
  <c r="OD45" i="3"/>
  <c r="OH45" i="3"/>
  <c r="OL45" i="3"/>
  <c r="OT45" i="3"/>
  <c r="OX45" i="3"/>
  <c r="PB45" i="3"/>
  <c r="OP46" i="3"/>
  <c r="NV47" i="3"/>
  <c r="OD47" i="3"/>
  <c r="OH47" i="3"/>
  <c r="OL47" i="3"/>
  <c r="OT47" i="3"/>
  <c r="OX47" i="3"/>
  <c r="PB47" i="3"/>
  <c r="NZ48" i="3"/>
  <c r="OP48" i="3"/>
  <c r="OH50" i="3"/>
  <c r="OX50" i="3"/>
  <c r="NV51" i="3"/>
  <c r="OD51" i="3"/>
  <c r="OH51" i="3"/>
  <c r="OL51" i="3"/>
  <c r="OT51" i="3"/>
  <c r="OX51" i="3"/>
  <c r="PB51" i="3"/>
  <c r="NZ52" i="3"/>
  <c r="OP52" i="3"/>
  <c r="OH62" i="3"/>
  <c r="OX62" i="3"/>
  <c r="OH130" i="3"/>
  <c r="OX130" i="3"/>
  <c r="NX64" i="3"/>
  <c r="OC65" i="3"/>
  <c r="OG65" i="3"/>
  <c r="OO65" i="3"/>
  <c r="OS65" i="3"/>
  <c r="OW65" i="3"/>
  <c r="PE65" i="3"/>
  <c r="NY69" i="3"/>
  <c r="OC69" i="3"/>
  <c r="OG69" i="3"/>
  <c r="OO69" i="3"/>
  <c r="OS69" i="3"/>
  <c r="OW69" i="3"/>
  <c r="PE69" i="3"/>
  <c r="NY79" i="3"/>
  <c r="OC79" i="3"/>
  <c r="OG79" i="3"/>
  <c r="OO79" i="3"/>
  <c r="OS79" i="3"/>
  <c r="OW79" i="3"/>
  <c r="PE79" i="3"/>
  <c r="OH92" i="3"/>
  <c r="OX92" i="3"/>
  <c r="NV93" i="3"/>
  <c r="OD93" i="3"/>
  <c r="OH93" i="3"/>
  <c r="OL93" i="3"/>
  <c r="OT93" i="3"/>
  <c r="OX93" i="3"/>
  <c r="PB93" i="3"/>
  <c r="NZ94" i="3"/>
  <c r="OP94" i="3"/>
  <c r="OC81" i="3"/>
  <c r="OG81" i="3"/>
  <c r="OO81" i="3"/>
  <c r="OS81" i="3"/>
  <c r="OW81" i="3"/>
  <c r="PE81" i="3"/>
  <c r="OC85" i="3"/>
  <c r="OG85" i="3"/>
  <c r="OK85" i="3"/>
  <c r="OO85" i="3"/>
  <c r="OS85" i="3"/>
  <c r="PA85" i="3"/>
  <c r="PE85" i="3"/>
  <c r="NV96" i="3"/>
  <c r="OP96" i="3"/>
  <c r="OS95" i="3"/>
  <c r="OK97" i="3"/>
  <c r="OH98" i="3"/>
  <c r="OB100" i="3"/>
  <c r="OJ100" i="3"/>
  <c r="OR100" i="3"/>
  <c r="OZ100" i="3"/>
  <c r="PC100" i="3"/>
  <c r="PB100" i="3"/>
  <c r="NZ106" i="3"/>
  <c r="OC105" i="3"/>
  <c r="NZ120" i="3"/>
  <c r="OC119" i="3"/>
  <c r="PD158" i="3"/>
  <c r="OB167" i="3"/>
  <c r="OJ167" i="3"/>
  <c r="OR167" i="3"/>
  <c r="OZ167" i="3"/>
  <c r="OG31" i="3"/>
  <c r="OW31" i="3"/>
  <c r="OG33" i="3"/>
  <c r="OW33" i="3"/>
  <c r="OG17" i="3"/>
  <c r="OW17" i="3"/>
  <c r="OG27" i="3"/>
  <c r="OW27" i="3"/>
  <c r="OG19" i="3"/>
  <c r="OW19" i="3"/>
  <c r="OG35" i="3"/>
  <c r="OW35" i="3"/>
  <c r="OG39" i="3"/>
  <c r="OW39" i="3"/>
  <c r="OG49" i="3"/>
  <c r="OW49" i="3"/>
  <c r="OG61" i="3"/>
  <c r="OW61" i="3"/>
  <c r="OG129" i="3"/>
  <c r="OW129" i="3"/>
  <c r="OG91" i="3"/>
  <c r="OW91" i="3"/>
  <c r="NV87" i="3"/>
  <c r="NY87" i="3"/>
  <c r="OL87" i="3"/>
  <c r="OO87" i="3"/>
  <c r="PB87" i="3"/>
  <c r="PE87" i="3"/>
  <c r="OD88" i="3"/>
  <c r="OG87" i="3"/>
  <c r="OP88" i="3"/>
  <c r="OS87" i="3"/>
  <c r="NV95" i="3"/>
  <c r="OD95" i="3"/>
  <c r="OG95" i="3"/>
  <c r="OL95" i="3"/>
  <c r="OO95" i="3"/>
  <c r="OT95" i="3"/>
  <c r="OW95" i="3"/>
  <c r="PB95" i="3"/>
  <c r="PE95" i="3"/>
  <c r="OB99" i="3"/>
  <c r="OJ99" i="3"/>
  <c r="OR99" i="3"/>
  <c r="OW101" i="3"/>
  <c r="OD114" i="3"/>
  <c r="OG113" i="3"/>
  <c r="PA115" i="3"/>
  <c r="OX116" i="3"/>
  <c r="OB158" i="3"/>
  <c r="OJ158" i="3"/>
  <c r="OR158" i="3"/>
  <c r="OZ158" i="3"/>
  <c r="OK165" i="3"/>
  <c r="OH166" i="3"/>
  <c r="NT168" i="3"/>
  <c r="OF168" i="3"/>
  <c r="OK171" i="3"/>
  <c r="OH172" i="3"/>
  <c r="OB173" i="3"/>
  <c r="NT11" i="3"/>
  <c r="OH14" i="3"/>
  <c r="OH128" i="3"/>
  <c r="OH16" i="3"/>
  <c r="OH24" i="3"/>
  <c r="OH22" i="3"/>
  <c r="OH44" i="3"/>
  <c r="OH38" i="3"/>
  <c r="OH46" i="3"/>
  <c r="OH48" i="3"/>
  <c r="OH52" i="3"/>
  <c r="NT63" i="3"/>
  <c r="NZ96" i="3"/>
  <c r="OC95" i="3"/>
  <c r="PA97" i="3"/>
  <c r="OX98" i="3"/>
  <c r="OL105" i="3"/>
  <c r="OO105" i="3"/>
  <c r="PB105" i="3"/>
  <c r="PE105" i="3"/>
  <c r="OP106" i="3"/>
  <c r="OS105" i="3"/>
  <c r="OL119" i="3"/>
  <c r="OO119" i="3"/>
  <c r="PB119" i="3"/>
  <c r="PE119" i="3"/>
  <c r="OP120" i="3"/>
  <c r="OS119" i="3"/>
  <c r="NX167" i="3"/>
  <c r="NT167" i="3"/>
  <c r="OG13" i="3"/>
  <c r="OG127" i="3"/>
  <c r="OG15" i="3"/>
  <c r="OG23" i="3"/>
  <c r="OG21" i="3"/>
  <c r="OG43" i="3"/>
  <c r="OG37" i="3"/>
  <c r="OG45" i="3"/>
  <c r="OG47" i="3"/>
  <c r="OG51" i="3"/>
  <c r="OH87" i="3"/>
  <c r="OK87" i="3"/>
  <c r="OX87" i="3"/>
  <c r="PA87" i="3"/>
  <c r="NZ88" i="3"/>
  <c r="OC87" i="3"/>
  <c r="OT88" i="3"/>
  <c r="OW87" i="3"/>
  <c r="NY89" i="3"/>
  <c r="OK89" i="3"/>
  <c r="PE89" i="3"/>
  <c r="OH95" i="3"/>
  <c r="OK95" i="3"/>
  <c r="OX95" i="3"/>
  <c r="PA95" i="3"/>
  <c r="NX99" i="3"/>
  <c r="NT99" i="3"/>
  <c r="OD102" i="3"/>
  <c r="OG101" i="3"/>
  <c r="NY103" i="3"/>
  <c r="OT114" i="3"/>
  <c r="OW113" i="3"/>
  <c r="OK115" i="3"/>
  <c r="OH116" i="3"/>
  <c r="NT158" i="3"/>
  <c r="ON158" i="3"/>
  <c r="PA165" i="3"/>
  <c r="OX166" i="3"/>
  <c r="OB168" i="3"/>
  <c r="OJ168" i="3"/>
  <c r="PA171" i="3"/>
  <c r="OX172" i="3"/>
  <c r="NX173" i="3"/>
  <c r="NT173" i="3"/>
  <c r="OH103" i="3"/>
  <c r="OG105" i="3"/>
  <c r="OW105" i="3"/>
  <c r="OG119" i="3"/>
  <c r="OW119" i="3"/>
  <c r="OC181" i="3"/>
  <c r="OG181" i="3"/>
  <c r="OO181" i="3"/>
  <c r="OS181" i="3"/>
  <c r="OW181" i="3"/>
  <c r="PE181" i="3"/>
  <c r="OC189" i="3"/>
  <c r="OG189" i="3"/>
  <c r="OO189" i="3"/>
  <c r="OS189" i="3"/>
  <c r="OW189" i="3"/>
  <c r="PE189" i="3"/>
  <c r="OC197" i="3"/>
  <c r="OG197" i="3"/>
  <c r="OO197" i="3"/>
  <c r="OS197" i="3"/>
  <c r="OW197" i="3"/>
  <c r="PE197" i="3"/>
  <c r="OC131" i="3"/>
  <c r="OG131" i="3"/>
  <c r="OO131" i="3"/>
  <c r="OS131" i="3"/>
  <c r="OW131" i="3"/>
  <c r="PE131" i="3"/>
  <c r="NX158" i="3"/>
  <c r="OG175" i="3"/>
  <c r="OW175" i="3"/>
  <c r="OH178" i="3"/>
  <c r="OX178" i="3"/>
  <c r="OG183" i="3"/>
  <c r="OW183" i="3"/>
  <c r="OH186" i="3"/>
  <c r="OX186" i="3"/>
  <c r="OG191" i="3"/>
  <c r="OW191" i="3"/>
  <c r="OH194" i="3"/>
  <c r="OX194" i="3"/>
  <c r="OG25" i="3"/>
  <c r="OW25" i="3"/>
  <c r="OG97" i="3"/>
  <c r="OW97" i="3"/>
  <c r="OG171" i="3"/>
  <c r="OW171" i="3"/>
  <c r="OG177" i="3"/>
  <c r="OW177" i="3"/>
  <c r="OG185" i="3"/>
  <c r="OW185" i="3"/>
  <c r="OG193" i="3"/>
  <c r="OW193" i="3"/>
  <c r="NV173" i="3" l="1"/>
  <c r="NV174" i="3"/>
  <c r="NW173" i="3"/>
  <c r="NW174" i="3"/>
  <c r="NY157" i="3"/>
  <c r="NV122" i="3"/>
  <c r="NY11" i="3"/>
  <c r="NW100" i="3"/>
  <c r="NY173" i="3"/>
  <c r="NY99" i="3"/>
  <c r="NY167" i="3"/>
  <c r="NW122" i="3"/>
  <c r="NY63" i="3"/>
  <c r="NW168" i="3"/>
  <c r="OE122" i="3"/>
  <c r="OT12" i="3"/>
  <c r="OP122" i="3"/>
  <c r="NZ121" i="3"/>
  <c r="OU122" i="3"/>
  <c r="OT122" i="3"/>
  <c r="OX122" i="3"/>
  <c r="OH122" i="3"/>
  <c r="PC122" i="3"/>
  <c r="OY122" i="3"/>
  <c r="OL122" i="3"/>
  <c r="PC121" i="3"/>
  <c r="PB121" i="3"/>
  <c r="OH121" i="3"/>
  <c r="OI121" i="3"/>
  <c r="OD122" i="3"/>
  <c r="OP121" i="3"/>
  <c r="OA122" i="3"/>
  <c r="OX121" i="3"/>
  <c r="OY121" i="3"/>
  <c r="OE121" i="3"/>
  <c r="OD121" i="3"/>
  <c r="OA121" i="3"/>
  <c r="NZ122" i="3"/>
  <c r="OT121" i="3"/>
  <c r="OU121" i="3"/>
  <c r="NW121" i="3"/>
  <c r="NV121" i="3"/>
  <c r="OM122" i="3"/>
  <c r="OI122" i="3"/>
  <c r="OL121" i="3"/>
  <c r="OM121" i="3"/>
  <c r="OM100" i="3"/>
  <c r="OG11" i="3"/>
  <c r="OU174" i="3"/>
  <c r="OM158" i="3"/>
  <c r="OO157" i="3"/>
  <c r="OL158" i="3"/>
  <c r="OL100" i="3"/>
  <c r="NV99" i="3"/>
  <c r="PE11" i="3"/>
  <c r="NU99" i="3"/>
  <c r="OC63" i="3"/>
  <c r="NV168" i="3"/>
  <c r="PC64" i="3"/>
  <c r="PE157" i="3"/>
  <c r="OY157" i="3"/>
  <c r="OM157" i="3"/>
  <c r="PA173" i="3"/>
  <c r="OM64" i="3"/>
  <c r="OL64" i="3"/>
  <c r="PA157" i="3"/>
  <c r="PE173" i="3"/>
  <c r="NW157" i="3"/>
  <c r="OX99" i="3"/>
  <c r="OM12" i="3"/>
  <c r="OK167" i="3"/>
  <c r="OO173" i="3"/>
  <c r="OT158" i="3"/>
  <c r="OA100" i="3"/>
  <c r="OS11" i="3"/>
  <c r="OL12" i="3"/>
  <c r="NU63" i="3"/>
  <c r="OC11" i="3"/>
  <c r="OG157" i="3"/>
  <c r="OM174" i="3"/>
  <c r="PC157" i="3"/>
  <c r="PA63" i="3"/>
  <c r="OK157" i="3"/>
  <c r="PA99" i="3"/>
  <c r="OO167" i="3"/>
  <c r="NW99" i="3"/>
  <c r="OL167" i="3"/>
  <c r="OW173" i="3"/>
  <c r="OS173" i="3"/>
  <c r="OP157" i="3"/>
  <c r="PC173" i="3"/>
  <c r="OK63" i="3"/>
  <c r="OU173" i="3"/>
  <c r="PB168" i="3"/>
  <c r="PB10" i="3" s="1"/>
  <c r="PB157" i="3"/>
  <c r="NV100" i="3"/>
  <c r="OL173" i="3"/>
  <c r="PA167" i="3"/>
  <c r="OL174" i="3"/>
  <c r="NZ174" i="3"/>
  <c r="NZ99" i="3"/>
  <c r="OY99" i="3"/>
  <c r="OE157" i="3"/>
  <c r="OL157" i="3"/>
  <c r="OS157" i="3"/>
  <c r="NZ173" i="3"/>
  <c r="PB173" i="3"/>
  <c r="OG173" i="3"/>
  <c r="NU173" i="3"/>
  <c r="OP174" i="3"/>
  <c r="OC173" i="3"/>
  <c r="PC174" i="3"/>
  <c r="OT173" i="3"/>
  <c r="OM173" i="3"/>
  <c r="NV167" i="3"/>
  <c r="NV157" i="3"/>
  <c r="OH158" i="3"/>
  <c r="OK173" i="3"/>
  <c r="NU157" i="3"/>
  <c r="OI158" i="3"/>
  <c r="NU11" i="3"/>
  <c r="OA158" i="3"/>
  <c r="OL99" i="3"/>
  <c r="OP158" i="3"/>
  <c r="OC157" i="3"/>
  <c r="OP173" i="3"/>
  <c r="OW157" i="3"/>
  <c r="PB174" i="3"/>
  <c r="OA173" i="3"/>
  <c r="OA174" i="3"/>
  <c r="OK11" i="3"/>
  <c r="OE173" i="3"/>
  <c r="NW167" i="3"/>
  <c r="NZ167" i="3"/>
  <c r="OS63" i="3"/>
  <c r="OW167" i="3"/>
  <c r="PB167" i="3"/>
  <c r="OS167" i="3"/>
  <c r="NW12" i="3"/>
  <c r="OR10" i="3"/>
  <c r="OA167" i="3"/>
  <c r="OC167" i="3"/>
  <c r="OG167" i="3"/>
  <c r="OV10" i="3"/>
  <c r="PC167" i="3"/>
  <c r="OM167" i="3"/>
  <c r="OM168" i="3"/>
  <c r="PD10" i="3"/>
  <c r="OY167" i="3"/>
  <c r="PE167" i="3"/>
  <c r="OB10" i="3"/>
  <c r="OZ9" i="3"/>
  <c r="ON9" i="3"/>
  <c r="OI99" i="3"/>
  <c r="OI100" i="3"/>
  <c r="NZ100" i="3"/>
  <c r="OZ10" i="3"/>
  <c r="PE99" i="3"/>
  <c r="ON10" i="3"/>
  <c r="OF10" i="3"/>
  <c r="PD9" i="3"/>
  <c r="OV9" i="3"/>
  <c r="OR9" i="3"/>
  <c r="OF9" i="3"/>
  <c r="OB9" i="3"/>
  <c r="NX9" i="3"/>
  <c r="OU100" i="3"/>
  <c r="NX10" i="3"/>
  <c r="OJ10" i="3"/>
  <c r="NV64" i="3"/>
  <c r="OJ9" i="3"/>
  <c r="NT9" i="3"/>
  <c r="PA11" i="3"/>
  <c r="NV158" i="3"/>
  <c r="OO11" i="3"/>
  <c r="OA168" i="3"/>
  <c r="NV12" i="3"/>
  <c r="OD12" i="3"/>
  <c r="OW11" i="3"/>
  <c r="OX173" i="3"/>
  <c r="OH167" i="3"/>
  <c r="PB63" i="3"/>
  <c r="OI63" i="3"/>
  <c r="NZ11" i="3"/>
  <c r="NW158" i="3"/>
  <c r="OO99" i="3"/>
  <c r="OW99" i="3"/>
  <c r="PE63" i="3"/>
  <c r="OE12" i="3"/>
  <c r="OM99" i="3"/>
  <c r="OD64" i="3"/>
  <c r="OA99" i="3"/>
  <c r="OE63" i="3"/>
  <c r="OY12" i="3"/>
  <c r="OG99" i="3"/>
  <c r="OW63" i="3"/>
  <c r="OD168" i="3"/>
  <c r="OH12" i="3"/>
  <c r="NZ168" i="3"/>
  <c r="OP63" i="3"/>
  <c r="OT63" i="3"/>
  <c r="NW63" i="3"/>
  <c r="OO63" i="3"/>
  <c r="OT64" i="3"/>
  <c r="PC99" i="3"/>
  <c r="OU158" i="3"/>
  <c r="OT100" i="3"/>
  <c r="NZ63" i="3"/>
  <c r="OM63" i="3"/>
  <c r="OY63" i="3"/>
  <c r="OG63" i="3"/>
  <c r="OD99" i="3"/>
  <c r="OE99" i="3"/>
  <c r="OX167" i="3"/>
  <c r="OD158" i="3"/>
  <c r="OA157" i="3"/>
  <c r="NU167" i="3"/>
  <c r="OP99" i="3"/>
  <c r="OD173" i="3"/>
  <c r="OP168" i="3"/>
  <c r="OH168" i="3"/>
  <c r="OE158" i="3"/>
  <c r="OS99" i="3"/>
  <c r="PC11" i="3"/>
  <c r="PB11" i="3"/>
  <c r="OI11" i="3"/>
  <c r="OH11" i="3"/>
  <c r="OX12" i="3"/>
  <c r="OD63" i="3"/>
  <c r="OY100" i="3"/>
  <c r="OL63" i="3"/>
  <c r="OU63" i="3"/>
  <c r="OP11" i="3"/>
  <c r="OD100" i="3"/>
  <c r="OY64" i="3"/>
  <c r="NW64" i="3"/>
  <c r="OI12" i="3"/>
  <c r="OY174" i="3"/>
  <c r="OX168" i="3"/>
  <c r="OY158" i="3"/>
  <c r="OX158" i="3"/>
  <c r="OP167" i="3"/>
  <c r="OD157" i="3"/>
  <c r="OP100" i="3"/>
  <c r="OH99" i="3"/>
  <c r="OT167" i="3"/>
  <c r="OT168" i="3"/>
  <c r="OU167" i="3"/>
  <c r="OX157" i="3"/>
  <c r="OK99" i="3"/>
  <c r="NV63" i="3"/>
  <c r="OY11" i="3"/>
  <c r="OX11" i="3"/>
  <c r="OE11" i="3"/>
  <c r="OD11" i="3"/>
  <c r="OU64" i="3"/>
  <c r="OX63" i="3"/>
  <c r="OA63" i="3"/>
  <c r="J7" i="3"/>
  <c r="I3" i="3"/>
  <c r="I8" i="3"/>
  <c r="I2" i="3"/>
  <c r="OA64" i="3"/>
  <c r="OE64" i="3"/>
  <c r="OH63" i="3"/>
  <c r="OI174" i="3"/>
  <c r="OI157" i="3"/>
  <c r="OH157" i="3"/>
  <c r="OE174" i="3"/>
  <c r="OI173" i="3"/>
  <c r="OD167" i="3"/>
  <c r="OE167" i="3"/>
  <c r="OE100" i="3"/>
  <c r="OD174" i="3"/>
  <c r="OE168" i="3"/>
  <c r="OT157" i="3"/>
  <c r="OH100" i="3"/>
  <c r="OX100" i="3"/>
  <c r="OC99" i="3"/>
  <c r="OP12" i="3"/>
  <c r="OT11" i="3"/>
  <c r="NW11" i="3"/>
  <c r="NV11" i="3"/>
  <c r="OP64" i="3"/>
  <c r="OX64" i="3"/>
  <c r="PC63" i="3"/>
  <c r="OY168" i="3"/>
  <c r="NZ64" i="3"/>
  <c r="OH64" i="3"/>
  <c r="OH173" i="3"/>
  <c r="NZ157" i="3"/>
  <c r="OY173" i="3"/>
  <c r="OH174" i="3"/>
  <c r="OI167" i="3"/>
  <c r="OU157" i="3"/>
  <c r="NZ158" i="3"/>
  <c r="OT99" i="3"/>
  <c r="OU99" i="3"/>
  <c r="NT10" i="3"/>
  <c r="OX174" i="3"/>
  <c r="OU168" i="3"/>
  <c r="PB99" i="3"/>
  <c r="OA12" i="3"/>
  <c r="NZ12" i="3"/>
  <c r="OM11" i="3"/>
  <c r="OL11" i="3"/>
  <c r="OI168" i="3"/>
  <c r="OI64" i="3"/>
  <c r="OA11" i="3"/>
  <c r="NY9" i="3" l="1"/>
  <c r="OQ121" i="3"/>
  <c r="OU11" i="3"/>
  <c r="OT10" i="3"/>
  <c r="OQ157" i="3"/>
  <c r="OQ63" i="3"/>
  <c r="OQ167" i="3"/>
  <c r="OQ99" i="3"/>
  <c r="OQ173" i="3"/>
  <c r="OQ11" i="3"/>
  <c r="OL10" i="3"/>
  <c r="PA9" i="3"/>
  <c r="OS9" i="3"/>
  <c r="OC9" i="3"/>
  <c r="PE9" i="3"/>
  <c r="NU9" i="3"/>
  <c r="NZ10" i="3"/>
  <c r="OH10" i="3"/>
  <c r="OW9" i="3"/>
  <c r="OL9" i="3"/>
  <c r="NV9" i="3"/>
  <c r="OD10" i="3"/>
  <c r="OO9" i="3"/>
  <c r="OK9" i="3"/>
  <c r="NV10" i="3"/>
  <c r="OG9" i="3"/>
  <c r="NZ9" i="3"/>
  <c r="OX9" i="3"/>
  <c r="OX10" i="3"/>
  <c r="OP10" i="3"/>
  <c r="OP9" i="3"/>
  <c r="OH9" i="3"/>
  <c r="J3" i="3"/>
  <c r="J8" i="3"/>
  <c r="J2" i="3"/>
  <c r="K7" i="3"/>
  <c r="OD9" i="3"/>
  <c r="OT9" i="3"/>
  <c r="PB9" i="3"/>
  <c r="OU9" i="3" l="1"/>
  <c r="OQ9" i="3"/>
  <c r="OM9" i="3"/>
  <c r="OI9" i="3"/>
  <c r="K3" i="3"/>
  <c r="K8" i="3"/>
  <c r="K2" i="3"/>
  <c r="L7" i="3"/>
  <c r="L8" i="3" l="1"/>
  <c r="L2" i="3"/>
  <c r="M7" i="3"/>
  <c r="L3" i="3"/>
  <c r="N7" i="3" l="1"/>
  <c r="M3" i="3"/>
  <c r="M8" i="3"/>
  <c r="M2" i="3"/>
  <c r="N3" i="3" l="1"/>
  <c r="N8" i="3"/>
  <c r="N2" i="3"/>
  <c r="O7" i="3"/>
  <c r="O3" i="3" l="1"/>
  <c r="O8" i="3"/>
  <c r="O2" i="3"/>
  <c r="P7" i="3"/>
  <c r="P8" i="3" l="1"/>
  <c r="P2" i="3"/>
  <c r="Q7" i="3"/>
  <c r="P3" i="3"/>
  <c r="R7" i="3" l="1"/>
  <c r="Q3" i="3"/>
  <c r="Q8" i="3"/>
  <c r="Q2" i="3"/>
  <c r="R3" i="3" l="1"/>
  <c r="R8" i="3"/>
  <c r="R2" i="3"/>
  <c r="S7" i="3"/>
  <c r="S3" i="3" l="1"/>
  <c r="S8" i="3"/>
  <c r="S2" i="3"/>
  <c r="T7" i="3"/>
  <c r="T8" i="3" l="1"/>
  <c r="T2" i="3"/>
  <c r="U7" i="3"/>
  <c r="T3" i="3"/>
  <c r="V7" i="3" l="1"/>
  <c r="U3" i="3"/>
  <c r="U8" i="3"/>
  <c r="U2" i="3"/>
  <c r="V3" i="3" l="1"/>
  <c r="V8" i="3"/>
  <c r="V2" i="3"/>
  <c r="W7" i="3"/>
  <c r="W3" i="3" l="1"/>
  <c r="W8" i="3"/>
  <c r="W2" i="3"/>
  <c r="X7" i="3"/>
  <c r="X8" i="3" l="1"/>
  <c r="X2" i="3"/>
  <c r="Y7" i="3"/>
  <c r="X3" i="3"/>
  <c r="Z7" i="3" l="1"/>
  <c r="Y3" i="3"/>
  <c r="Y8" i="3"/>
  <c r="Y2" i="3"/>
  <c r="Z3" i="3" l="1"/>
  <c r="Z8" i="3"/>
  <c r="Z2" i="3"/>
  <c r="AA7" i="3"/>
  <c r="AA3" i="3" l="1"/>
  <c r="AA8" i="3"/>
  <c r="AA2" i="3"/>
  <c r="AB7" i="3"/>
  <c r="AB8" i="3" l="1"/>
  <c r="AB2" i="3"/>
  <c r="AC7" i="3"/>
  <c r="AB3" i="3"/>
  <c r="AD7" i="3" l="1"/>
  <c r="AC3" i="3"/>
  <c r="AC8" i="3"/>
  <c r="AC2" i="3"/>
  <c r="AD3" i="3" l="1"/>
  <c r="AD8" i="3"/>
  <c r="AD2" i="3"/>
  <c r="AE7" i="3"/>
  <c r="AE3" i="3" l="1"/>
  <c r="AE8" i="3"/>
  <c r="AE2" i="3"/>
  <c r="AF7" i="3"/>
  <c r="AF8" i="3" l="1"/>
  <c r="AF2" i="3"/>
  <c r="AG7" i="3"/>
  <c r="AF3" i="3"/>
  <c r="AH7" i="3" l="1"/>
  <c r="AG3" i="3"/>
  <c r="AG8" i="3"/>
  <c r="AG2" i="3"/>
  <c r="AH3" i="3" l="1"/>
  <c r="AH8" i="3"/>
  <c r="AH2" i="3"/>
  <c r="AI7" i="3"/>
  <c r="AI3" i="3" l="1"/>
  <c r="AI8" i="3"/>
  <c r="AI2" i="3"/>
  <c r="AJ7" i="3"/>
  <c r="AJ8" i="3" l="1"/>
  <c r="AJ2" i="3"/>
  <c r="AK7" i="3"/>
  <c r="AJ3" i="3"/>
  <c r="AL7" i="3" l="1"/>
  <c r="AK3" i="3"/>
  <c r="AK8" i="3"/>
  <c r="AK2" i="3"/>
  <c r="AL3" i="3" l="1"/>
  <c r="AL8" i="3"/>
  <c r="AL2" i="3"/>
  <c r="AM7" i="3"/>
  <c r="AM3" i="3" l="1"/>
  <c r="AM8" i="3"/>
  <c r="AM2" i="3"/>
  <c r="AN7" i="3"/>
  <c r="AN8" i="3" l="1"/>
  <c r="AN2" i="3"/>
  <c r="AO7" i="3"/>
  <c r="AN3" i="3"/>
  <c r="AP7" i="3" l="1"/>
  <c r="AO3" i="3"/>
  <c r="AO8" i="3"/>
  <c r="AO2" i="3"/>
  <c r="AP3" i="3" l="1"/>
  <c r="AP8" i="3"/>
  <c r="AP2" i="3"/>
  <c r="AQ7" i="3"/>
  <c r="AQ3" i="3" l="1"/>
  <c r="AQ8" i="3"/>
  <c r="AQ2" i="3"/>
  <c r="AR7" i="3"/>
  <c r="AR8" i="3" l="1"/>
  <c r="AR2" i="3"/>
  <c r="AS7" i="3"/>
  <c r="AT7" i="3" s="1"/>
  <c r="AS3" i="3"/>
  <c r="AR3" i="3"/>
  <c r="AT3" i="3" l="1"/>
  <c r="AT8" i="3"/>
  <c r="AT2" i="3"/>
  <c r="AU7" i="3"/>
  <c r="AU3" i="3" l="1"/>
  <c r="AU8" i="3"/>
  <c r="AU2" i="3"/>
  <c r="AV7" i="3"/>
  <c r="CH2" i="3"/>
  <c r="AV8" i="3" l="1"/>
  <c r="AV2" i="3"/>
  <c r="AW7" i="3"/>
  <c r="AV3" i="3"/>
  <c r="AX7" i="3" l="1"/>
  <c r="AW3" i="3"/>
  <c r="AW8" i="3"/>
  <c r="AW2" i="3"/>
  <c r="AX3" i="3" l="1"/>
  <c r="AX8" i="3"/>
  <c r="AX2" i="3"/>
  <c r="AY7" i="3"/>
  <c r="AY3" i="3" l="1"/>
  <c r="AY8" i="3"/>
  <c r="AY2" i="3"/>
  <c r="AZ7" i="3"/>
  <c r="AZ8" i="3" l="1"/>
  <c r="AZ2" i="3"/>
  <c r="BA7" i="3"/>
  <c r="AZ3" i="3"/>
  <c r="BB7" i="3" l="1"/>
  <c r="BA3" i="3"/>
  <c r="BA8" i="3"/>
  <c r="BA2" i="3"/>
  <c r="BB3" i="3" l="1"/>
  <c r="BB8" i="3"/>
  <c r="BB2" i="3"/>
  <c r="BC7" i="3"/>
  <c r="BC3" i="3" l="1"/>
  <c r="BC8" i="3"/>
  <c r="BC2" i="3"/>
  <c r="BD7" i="3"/>
  <c r="BD8" i="3" l="1"/>
  <c r="BD2" i="3"/>
  <c r="BE7" i="3"/>
  <c r="BD3" i="3"/>
  <c r="BF7" i="3" l="1"/>
  <c r="BE3" i="3"/>
  <c r="BE8" i="3"/>
  <c r="BE2" i="3"/>
  <c r="BF3" i="3" l="1"/>
  <c r="BF8" i="3"/>
  <c r="BF2" i="3"/>
  <c r="BG7" i="3"/>
  <c r="BG3" i="3" l="1"/>
  <c r="BG8" i="3"/>
  <c r="BG2" i="3"/>
  <c r="BH7" i="3"/>
  <c r="BH8" i="3" l="1"/>
  <c r="BH2" i="3"/>
  <c r="BI7" i="3"/>
  <c r="BH3" i="3"/>
  <c r="BJ7" i="3" l="1"/>
  <c r="BI3" i="3"/>
  <c r="BI8" i="3"/>
  <c r="BI2" i="3"/>
  <c r="BJ3" i="3" l="1"/>
  <c r="BJ8" i="3"/>
  <c r="BJ2" i="3"/>
  <c r="BK7" i="3"/>
  <c r="BK3" i="3" l="1"/>
  <c r="BK8" i="3"/>
  <c r="BK2" i="3"/>
  <c r="BL7" i="3"/>
  <c r="BL8" i="3" l="1"/>
  <c r="BL2" i="3"/>
  <c r="BM7" i="3"/>
  <c r="BL3" i="3"/>
  <c r="BN7" i="3" l="1"/>
  <c r="BM3" i="3"/>
  <c r="BM8" i="3"/>
  <c r="BM2" i="3"/>
  <c r="BN3" i="3" l="1"/>
  <c r="BN8" i="3"/>
  <c r="BN2" i="3"/>
  <c r="BO7" i="3"/>
  <c r="BO3" i="3" l="1"/>
  <c r="BO8" i="3"/>
  <c r="BO2" i="3"/>
  <c r="BP7" i="3"/>
  <c r="BP8" i="3" l="1"/>
  <c r="BP2" i="3"/>
  <c r="BQ7" i="3"/>
  <c r="BP3" i="3"/>
  <c r="BR7" i="3" l="1"/>
  <c r="BQ3" i="3"/>
  <c r="BQ8" i="3"/>
  <c r="BQ2" i="3"/>
  <c r="BR3" i="3" l="1"/>
  <c r="BR8" i="3"/>
  <c r="BR2" i="3"/>
  <c r="BS7" i="3"/>
  <c r="BS3" i="3" l="1"/>
  <c r="BS8" i="3"/>
  <c r="BS2" i="3"/>
  <c r="BT7" i="3"/>
  <c r="BT8" i="3" l="1"/>
  <c r="BT2" i="3"/>
  <c r="BU7" i="3"/>
  <c r="BT3" i="3"/>
  <c r="BV7" i="3" l="1"/>
  <c r="BU3" i="3"/>
  <c r="BU8" i="3"/>
  <c r="BU2" i="3"/>
  <c r="BV3" i="3" l="1"/>
  <c r="BV8" i="3"/>
  <c r="BV2" i="3"/>
  <c r="BW7" i="3"/>
  <c r="BW3" i="3" l="1"/>
  <c r="BW8" i="3"/>
  <c r="BW2" i="3"/>
  <c r="BX7" i="3"/>
  <c r="BX8" i="3" l="1"/>
  <c r="BX2" i="3"/>
  <c r="BY7" i="3"/>
  <c r="BX3" i="3"/>
  <c r="BZ7" i="3" l="1"/>
  <c r="BY3" i="3"/>
  <c r="BY8" i="3"/>
  <c r="BY2" i="3"/>
  <c r="BZ3" i="3" l="1"/>
  <c r="BZ8" i="3"/>
  <c r="BZ2" i="3"/>
  <c r="CA7" i="3"/>
  <c r="CA3" i="3" l="1"/>
  <c r="CA8" i="3"/>
  <c r="CA2" i="3"/>
  <c r="CB7" i="3"/>
  <c r="CB8" i="3" l="1"/>
  <c r="CB2" i="3"/>
  <c r="CC7" i="3"/>
  <c r="CB3" i="3"/>
  <c r="CD7" i="3" l="1"/>
  <c r="CC3" i="3"/>
  <c r="CC8" i="3"/>
  <c r="CC2" i="3"/>
  <c r="CD3" i="3" l="1"/>
  <c r="CD8" i="3"/>
  <c r="CD2" i="3"/>
  <c r="CE7" i="3"/>
  <c r="CE3" i="3" l="1"/>
  <c r="CE8" i="3"/>
  <c r="CE2" i="3"/>
  <c r="CF7" i="3"/>
  <c r="CF8" i="3" l="1"/>
  <c r="CF2" i="3"/>
  <c r="CG7" i="3"/>
  <c r="CF3" i="3"/>
  <c r="CH7" i="3" l="1"/>
  <c r="CG3" i="3"/>
  <c r="CG8" i="3"/>
  <c r="CG2" i="3"/>
  <c r="CH3" i="3"/>
  <c r="CH8" i="3" l="1"/>
  <c r="CI7" i="3"/>
  <c r="CI3" i="3" l="1"/>
  <c r="CI8" i="3"/>
  <c r="CI2" i="3"/>
  <c r="CJ7" i="3"/>
  <c r="CJ8" i="3" l="1"/>
  <c r="CJ2" i="3"/>
  <c r="CK7" i="3"/>
  <c r="CJ3" i="3"/>
  <c r="CL7" i="3" l="1"/>
  <c r="CK3" i="3"/>
  <c r="CK8" i="3"/>
  <c r="CK2" i="3"/>
  <c r="CL3" i="3" l="1"/>
  <c r="CL8" i="3"/>
  <c r="CL2" i="3"/>
  <c r="CM7" i="3"/>
  <c r="CM3" i="3" l="1"/>
  <c r="CM8" i="3"/>
  <c r="CM2" i="3"/>
  <c r="CN7" i="3"/>
  <c r="CN8" i="3" l="1"/>
  <c r="CN2" i="3"/>
  <c r="CO7" i="3"/>
  <c r="CN3" i="3"/>
  <c r="CP7" i="3" l="1"/>
  <c r="CO3" i="3"/>
  <c r="CO8" i="3"/>
  <c r="CO2" i="3"/>
  <c r="CP3" i="3" l="1"/>
  <c r="CP8" i="3"/>
  <c r="CP2" i="3"/>
  <c r="CQ7" i="3"/>
  <c r="CQ3" i="3" l="1"/>
  <c r="CQ8" i="3"/>
  <c r="CQ2" i="3"/>
  <c r="CR7" i="3"/>
  <c r="CR8" i="3" l="1"/>
  <c r="CR2" i="3"/>
  <c r="CS7" i="3"/>
  <c r="CR3" i="3"/>
  <c r="CT7" i="3" l="1"/>
  <c r="CS3" i="3"/>
  <c r="CS8" i="3"/>
  <c r="CS2" i="3"/>
  <c r="CT3" i="3" l="1"/>
  <c r="CT8" i="3"/>
  <c r="CT2" i="3"/>
  <c r="CU7" i="3"/>
  <c r="CU3" i="3" l="1"/>
  <c r="CU8" i="3"/>
  <c r="CU2" i="3"/>
  <c r="CV7" i="3"/>
  <c r="CV8" i="3" l="1"/>
  <c r="CV2" i="3"/>
  <c r="CW7" i="3"/>
  <c r="CV3" i="3"/>
  <c r="CX7" i="3" l="1"/>
  <c r="CW3" i="3"/>
  <c r="CW8" i="3"/>
  <c r="CW2" i="3"/>
  <c r="CX3" i="3" l="1"/>
  <c r="CX8" i="3"/>
  <c r="CX2" i="3"/>
  <c r="CY7" i="3"/>
  <c r="CY3" i="3" l="1"/>
  <c r="CY8" i="3"/>
  <c r="CY2" i="3"/>
  <c r="CZ7" i="3"/>
  <c r="CZ8" i="3" l="1"/>
  <c r="CZ2" i="3"/>
  <c r="DA7" i="3"/>
  <c r="CZ3" i="3"/>
  <c r="DB7" i="3" l="1"/>
  <c r="DA3" i="3"/>
  <c r="DA8" i="3"/>
  <c r="DA2" i="3"/>
  <c r="DB3" i="3" l="1"/>
  <c r="DB8" i="3"/>
  <c r="DB2" i="3"/>
  <c r="DC7" i="3"/>
  <c r="DC3" i="3" l="1"/>
  <c r="DC8" i="3"/>
  <c r="DC2" i="3"/>
  <c r="DD7" i="3"/>
  <c r="DD8" i="3" l="1"/>
  <c r="DD2" i="3"/>
  <c r="DE7" i="3"/>
  <c r="DD3" i="3"/>
  <c r="DF7" i="3" l="1"/>
  <c r="DE3" i="3"/>
  <c r="DE8" i="3"/>
  <c r="DE2" i="3"/>
  <c r="DF3" i="3" l="1"/>
  <c r="DF8" i="3"/>
  <c r="DF2" i="3"/>
  <c r="DG7" i="3"/>
  <c r="DG3" i="3" l="1"/>
  <c r="DG8" i="3"/>
  <c r="DG2" i="3"/>
  <c r="DH7" i="3"/>
  <c r="DH8" i="3" l="1"/>
  <c r="DH2" i="3"/>
  <c r="DI7" i="3"/>
  <c r="DH3" i="3"/>
  <c r="DJ7" i="3" l="1"/>
  <c r="DI3" i="3"/>
  <c r="DI8" i="3"/>
  <c r="DI2" i="3"/>
  <c r="DJ3" i="3" l="1"/>
  <c r="DJ8" i="3"/>
  <c r="DJ2" i="3"/>
  <c r="DK7" i="3"/>
  <c r="DK3" i="3" l="1"/>
  <c r="DK8" i="3"/>
  <c r="DK2" i="3"/>
  <c r="DL7" i="3"/>
  <c r="DL8" i="3" l="1"/>
  <c r="DL2" i="3"/>
  <c r="DM7" i="3"/>
  <c r="DL3" i="3"/>
  <c r="DN7" i="3" l="1"/>
  <c r="DM3" i="3"/>
  <c r="DM8" i="3"/>
  <c r="DM2" i="3"/>
  <c r="DN3" i="3" l="1"/>
  <c r="DN8" i="3"/>
  <c r="DN2" i="3"/>
  <c r="DO7" i="3"/>
  <c r="DO3" i="3" l="1"/>
  <c r="DO8" i="3"/>
  <c r="DO2" i="3"/>
  <c r="DP7" i="3"/>
  <c r="DP8" i="3" l="1"/>
  <c r="DP2" i="3"/>
  <c r="DQ7" i="3"/>
  <c r="DP3" i="3"/>
  <c r="DR7" i="3" l="1"/>
  <c r="DQ3" i="3"/>
  <c r="DQ8" i="3"/>
  <c r="DQ2" i="3"/>
  <c r="DR3" i="3" l="1"/>
  <c r="DR8" i="3"/>
  <c r="DR2" i="3"/>
  <c r="DS7" i="3"/>
  <c r="DS3" i="3" l="1"/>
  <c r="DS8" i="3"/>
  <c r="DS2" i="3"/>
  <c r="DT7" i="3"/>
  <c r="DT8" i="3" l="1"/>
  <c r="DT2" i="3"/>
  <c r="DU7" i="3"/>
  <c r="DT3" i="3"/>
  <c r="DV7" i="3" l="1"/>
  <c r="DU3" i="3"/>
  <c r="DU8" i="3"/>
  <c r="DU2" i="3"/>
  <c r="DV3" i="3" l="1"/>
  <c r="DV8" i="3"/>
  <c r="DV2" i="3"/>
  <c r="DW7" i="3"/>
  <c r="DW3" i="3" l="1"/>
  <c r="DW8" i="3"/>
  <c r="DW2" i="3"/>
  <c r="DX7" i="3"/>
  <c r="DX8" i="3" l="1"/>
  <c r="DX2" i="3"/>
  <c r="DY7" i="3"/>
  <c r="DX3" i="3"/>
  <c r="DZ7" i="3" l="1"/>
  <c r="DY3" i="3"/>
  <c r="DY8" i="3"/>
  <c r="DY2" i="3"/>
  <c r="DZ3" i="3" l="1"/>
  <c r="DZ8" i="3"/>
  <c r="DZ2" i="3"/>
  <c r="EA7" i="3"/>
  <c r="EA3" i="3" l="1"/>
  <c r="EA8" i="3"/>
  <c r="EA2" i="3"/>
  <c r="EB7" i="3"/>
  <c r="EB8" i="3" l="1"/>
  <c r="EB2" i="3"/>
  <c r="EC7" i="3"/>
  <c r="EB3" i="3"/>
  <c r="ED7" i="3" l="1"/>
  <c r="EC3" i="3"/>
  <c r="EC8" i="3"/>
  <c r="EC2" i="3"/>
  <c r="ED3" i="3" l="1"/>
  <c r="ED8" i="3"/>
  <c r="ED2" i="3"/>
  <c r="EE7" i="3"/>
  <c r="EE3" i="3" l="1"/>
  <c r="EE8" i="3"/>
  <c r="EE2" i="3"/>
  <c r="EF7" i="3"/>
  <c r="EF8" i="3" l="1"/>
  <c r="EF2" i="3"/>
  <c r="EG7" i="3"/>
  <c r="EF3" i="3"/>
  <c r="EH7" i="3" l="1"/>
  <c r="EG3" i="3"/>
  <c r="EG8" i="3"/>
  <c r="EG2" i="3"/>
  <c r="EH3" i="3" l="1"/>
  <c r="EH8" i="3"/>
  <c r="EH2" i="3"/>
  <c r="EI7" i="3"/>
  <c r="EI3" i="3" l="1"/>
  <c r="EI8" i="3"/>
  <c r="EI2" i="3"/>
  <c r="EJ7" i="3"/>
  <c r="EJ8" i="3" l="1"/>
  <c r="EJ2" i="3"/>
  <c r="EK7" i="3"/>
  <c r="EJ3" i="3"/>
  <c r="EL7" i="3" l="1"/>
  <c r="EK3" i="3"/>
  <c r="EK8" i="3"/>
  <c r="EK2" i="3"/>
  <c r="EL3" i="3" l="1"/>
  <c r="EL8" i="3"/>
  <c r="EL2" i="3"/>
  <c r="EM7" i="3"/>
  <c r="EM3" i="3" l="1"/>
  <c r="EM8" i="3"/>
  <c r="EM2" i="3"/>
  <c r="EN7" i="3"/>
  <c r="EN8" i="3" l="1"/>
  <c r="EN2" i="3"/>
  <c r="EO7" i="3"/>
  <c r="EN3" i="3"/>
  <c r="EP7" i="3" l="1"/>
  <c r="EO3" i="3"/>
  <c r="EO8" i="3"/>
  <c r="EO2" i="3"/>
  <c r="EP3" i="3" l="1"/>
  <c r="EP8" i="3"/>
  <c r="EP2" i="3"/>
  <c r="EQ7" i="3"/>
  <c r="EQ3" i="3" l="1"/>
  <c r="EQ8" i="3"/>
  <c r="EQ2" i="3"/>
  <c r="ER7" i="3"/>
  <c r="ER8" i="3" l="1"/>
  <c r="ER2" i="3"/>
  <c r="ES7" i="3"/>
  <c r="ER3" i="3"/>
  <c r="ET7" i="3" l="1"/>
  <c r="ES3" i="3"/>
  <c r="ES8" i="3"/>
  <c r="ES2" i="3"/>
  <c r="ET3" i="3" l="1"/>
  <c r="ET8" i="3"/>
  <c r="ET2" i="3"/>
  <c r="EU7" i="3"/>
  <c r="EU3" i="3" l="1"/>
  <c r="EU8" i="3"/>
  <c r="EU2" i="3"/>
  <c r="EV7" i="3"/>
  <c r="EV8" i="3" l="1"/>
  <c r="EV2" i="3"/>
  <c r="EW7" i="3"/>
  <c r="EV3" i="3"/>
  <c r="EX7" i="3" l="1"/>
  <c r="EW3" i="3"/>
  <c r="EW8" i="3"/>
  <c r="EW2" i="3"/>
  <c r="EX3" i="3" l="1"/>
  <c r="EX8" i="3"/>
  <c r="EX2" i="3"/>
  <c r="EY7" i="3"/>
  <c r="EY3" i="3" l="1"/>
  <c r="EY8" i="3"/>
  <c r="EY2" i="3"/>
  <c r="EZ7" i="3"/>
  <c r="EZ8" i="3" l="1"/>
  <c r="EZ2" i="3"/>
  <c r="FA7" i="3"/>
  <c r="EZ3" i="3"/>
  <c r="FB7" i="3" l="1"/>
  <c r="FA3" i="3"/>
  <c r="FA8" i="3"/>
  <c r="FA2" i="3"/>
  <c r="FB3" i="3" l="1"/>
  <c r="FB8" i="3"/>
  <c r="FB2" i="3"/>
  <c r="FC7" i="3"/>
  <c r="FC3" i="3" l="1"/>
  <c r="FC8" i="3"/>
  <c r="FC2" i="3"/>
  <c r="FD7" i="3"/>
  <c r="FD8" i="3" l="1"/>
  <c r="FD2" i="3"/>
  <c r="FE7" i="3"/>
  <c r="FD3" i="3"/>
  <c r="FF7" i="3" l="1"/>
  <c r="FE3" i="3"/>
  <c r="FE8" i="3"/>
  <c r="FE2" i="3"/>
  <c r="FF3" i="3" l="1"/>
  <c r="FF8" i="3"/>
  <c r="FF2" i="3"/>
  <c r="FG7" i="3"/>
  <c r="FG3" i="3" l="1"/>
  <c r="FG8" i="3"/>
  <c r="FG2" i="3"/>
  <c r="FH7" i="3"/>
  <c r="FH8" i="3" l="1"/>
  <c r="FH2" i="3"/>
  <c r="FI7" i="3"/>
  <c r="FH3" i="3"/>
  <c r="FJ7" i="3" l="1"/>
  <c r="FI3" i="3"/>
  <c r="FI8" i="3"/>
  <c r="FI2" i="3"/>
  <c r="FJ3" i="3" l="1"/>
  <c r="FJ8" i="3"/>
  <c r="FJ2" i="3"/>
  <c r="FK7" i="3"/>
  <c r="FK3" i="3" l="1"/>
  <c r="FK8" i="3"/>
  <c r="FK2" i="3"/>
  <c r="FL7" i="3"/>
  <c r="FL8" i="3" l="1"/>
  <c r="FL2" i="3"/>
  <c r="FM7" i="3"/>
  <c r="FL3" i="3"/>
  <c r="FN7" i="3" l="1"/>
  <c r="FM3" i="3"/>
  <c r="FM8" i="3"/>
  <c r="FM2" i="3"/>
  <c r="FN3" i="3" l="1"/>
  <c r="FN8" i="3"/>
  <c r="FN2" i="3"/>
  <c r="FO7" i="3"/>
  <c r="FO3" i="3" l="1"/>
  <c r="FO8" i="3"/>
  <c r="FO2" i="3"/>
  <c r="FP7" i="3"/>
  <c r="FP8" i="3" l="1"/>
  <c r="FP2" i="3"/>
  <c r="FQ7" i="3"/>
  <c r="FP3" i="3"/>
  <c r="FR7" i="3" l="1"/>
  <c r="FQ3" i="3"/>
  <c r="FQ8" i="3"/>
  <c r="FQ2" i="3"/>
  <c r="FR3" i="3" l="1"/>
  <c r="FR8" i="3"/>
  <c r="FR2" i="3"/>
  <c r="FS7" i="3"/>
  <c r="FS3" i="3" l="1"/>
  <c r="FS8" i="3"/>
  <c r="FS2" i="3"/>
  <c r="FT7" i="3"/>
  <c r="FT8" i="3" l="1"/>
  <c r="FT2" i="3"/>
  <c r="FU7" i="3"/>
  <c r="FT3" i="3"/>
  <c r="FV7" i="3" l="1"/>
  <c r="FU3" i="3"/>
  <c r="FU8" i="3"/>
  <c r="FU2" i="3"/>
  <c r="FV3" i="3" l="1"/>
  <c r="FV8" i="3"/>
  <c r="FV2" i="3"/>
  <c r="FW7" i="3"/>
  <c r="FW3" i="3" l="1"/>
  <c r="FW8" i="3"/>
  <c r="FW2" i="3"/>
  <c r="FX7" i="3"/>
  <c r="FX8" i="3" l="1"/>
  <c r="FX2" i="3"/>
  <c r="FY7" i="3"/>
  <c r="FX3" i="3"/>
  <c r="FZ7" i="3" l="1"/>
  <c r="FY3" i="3"/>
  <c r="FY8" i="3"/>
  <c r="FY2" i="3"/>
  <c r="FZ3" i="3" l="1"/>
  <c r="FZ8" i="3"/>
  <c r="FZ2" i="3"/>
  <c r="GA7" i="3"/>
  <c r="GA3" i="3" l="1"/>
  <c r="GA8" i="3"/>
  <c r="GA2" i="3"/>
  <c r="GB7" i="3"/>
  <c r="GB8" i="3" l="1"/>
  <c r="GB2" i="3"/>
  <c r="GC7" i="3"/>
  <c r="GB3" i="3"/>
  <c r="GD7" i="3" l="1"/>
  <c r="GC3" i="3"/>
  <c r="GC8" i="3"/>
  <c r="GC2" i="3"/>
  <c r="GD3" i="3" l="1"/>
  <c r="GD8" i="3"/>
  <c r="GD2" i="3"/>
  <c r="GE7" i="3"/>
  <c r="GE3" i="3" l="1"/>
  <c r="GE8" i="3"/>
  <c r="GE2" i="3"/>
  <c r="GF7" i="3"/>
  <c r="GF8" i="3" l="1"/>
  <c r="GF2" i="3"/>
  <c r="GG7" i="3"/>
  <c r="GF3" i="3"/>
  <c r="GH7" i="3" l="1"/>
  <c r="GG3" i="3"/>
  <c r="GG8" i="3"/>
  <c r="GG2" i="3"/>
  <c r="GH3" i="3" l="1"/>
  <c r="GH8" i="3"/>
  <c r="GH2" i="3"/>
  <c r="GI7" i="3"/>
  <c r="GI3" i="3" l="1"/>
  <c r="GI8" i="3"/>
  <c r="GI2" i="3"/>
  <c r="GJ7" i="3"/>
  <c r="GJ8" i="3" l="1"/>
  <c r="GJ2" i="3"/>
  <c r="GK7" i="3"/>
  <c r="GJ3" i="3"/>
  <c r="GL7" i="3" l="1"/>
  <c r="GK3" i="3"/>
  <c r="GK8" i="3"/>
  <c r="GK2" i="3"/>
  <c r="GL3" i="3" l="1"/>
  <c r="GL8" i="3"/>
  <c r="GL2" i="3"/>
  <c r="GM7" i="3"/>
  <c r="GM3" i="3" l="1"/>
  <c r="GM8" i="3"/>
  <c r="GM2" i="3"/>
  <c r="GN7" i="3"/>
  <c r="GN8" i="3" l="1"/>
  <c r="GN2" i="3"/>
  <c r="GO7" i="3"/>
  <c r="GN3" i="3"/>
  <c r="GP7" i="3" l="1"/>
  <c r="GO3" i="3"/>
  <c r="GO8" i="3"/>
  <c r="GO2" i="3"/>
  <c r="GP3" i="3" l="1"/>
  <c r="GP8" i="3"/>
  <c r="GP2" i="3"/>
  <c r="GQ7" i="3"/>
  <c r="GQ3" i="3" l="1"/>
  <c r="GQ8" i="3"/>
  <c r="GQ2" i="3"/>
  <c r="GR7" i="3"/>
  <c r="GR8" i="3" l="1"/>
  <c r="GR2" i="3"/>
  <c r="GS7" i="3"/>
  <c r="GR3" i="3"/>
  <c r="GT7" i="3" l="1"/>
  <c r="GS3" i="3"/>
  <c r="GS8" i="3"/>
  <c r="GS2" i="3"/>
  <c r="GT3" i="3" l="1"/>
  <c r="GT8" i="3"/>
  <c r="GT2" i="3"/>
  <c r="GU7" i="3"/>
  <c r="GU3" i="3" l="1"/>
  <c r="GU8" i="3"/>
  <c r="GU2" i="3"/>
  <c r="GV7" i="3"/>
  <c r="GV8" i="3" l="1"/>
  <c r="GV2" i="3"/>
  <c r="GW7" i="3"/>
  <c r="GV3" i="3"/>
  <c r="GX7" i="3" l="1"/>
  <c r="GW3" i="3"/>
  <c r="GW8" i="3"/>
  <c r="GW2" i="3"/>
  <c r="GX3" i="3" l="1"/>
  <c r="GX8" i="3"/>
  <c r="GX2" i="3"/>
  <c r="GY7" i="3"/>
  <c r="GY3" i="3" l="1"/>
  <c r="GY8" i="3"/>
  <c r="GY2" i="3"/>
  <c r="GZ7" i="3"/>
  <c r="GZ8" i="3" l="1"/>
  <c r="GZ2" i="3"/>
  <c r="HA7" i="3"/>
  <c r="GZ3" i="3"/>
  <c r="HB7" i="3" l="1"/>
  <c r="HA3" i="3"/>
  <c r="HA8" i="3"/>
  <c r="HA2" i="3"/>
  <c r="HB3" i="3" l="1"/>
  <c r="HB8" i="3"/>
  <c r="HB2" i="3"/>
  <c r="HC7" i="3"/>
  <c r="HC3" i="3" l="1"/>
  <c r="HC8" i="3"/>
  <c r="HC2" i="3"/>
  <c r="HD7" i="3"/>
  <c r="HD8" i="3" l="1"/>
  <c r="HD2" i="3"/>
  <c r="HE7" i="3"/>
  <c r="HD3" i="3"/>
  <c r="HF7" i="3" l="1"/>
  <c r="HE3" i="3"/>
  <c r="HE8" i="3"/>
  <c r="HE2" i="3"/>
  <c r="HF3" i="3" l="1"/>
  <c r="HF8" i="3"/>
  <c r="HF2" i="3"/>
  <c r="HG7" i="3"/>
  <c r="HG3" i="3" l="1"/>
  <c r="HG8" i="3"/>
  <c r="HG2" i="3"/>
  <c r="HH7" i="3"/>
  <c r="HH8" i="3" l="1"/>
  <c r="HH2" i="3"/>
  <c r="HI7" i="3"/>
  <c r="HH3" i="3"/>
  <c r="HJ7" i="3" l="1"/>
  <c r="HI3" i="3"/>
  <c r="HI8" i="3"/>
  <c r="HI2" i="3"/>
  <c r="HJ3" i="3" l="1"/>
  <c r="HJ8" i="3"/>
  <c r="HJ2" i="3"/>
  <c r="HK7" i="3"/>
  <c r="HK3" i="3" l="1"/>
  <c r="HK8" i="3"/>
  <c r="HK2" i="3"/>
  <c r="HL7" i="3"/>
  <c r="HL8" i="3" l="1"/>
  <c r="HL2" i="3"/>
  <c r="HM7" i="3"/>
  <c r="HL3" i="3"/>
  <c r="HN7" i="3" l="1"/>
  <c r="HM3" i="3"/>
  <c r="HM8" i="3"/>
  <c r="HM2" i="3"/>
  <c r="HN3" i="3" l="1"/>
  <c r="HN8" i="3"/>
  <c r="HN2" i="3"/>
  <c r="HO7" i="3"/>
  <c r="HO3" i="3" l="1"/>
  <c r="HO8" i="3"/>
  <c r="HO2" i="3"/>
  <c r="HP7" i="3"/>
  <c r="HP8" i="3" l="1"/>
  <c r="HP2" i="3"/>
  <c r="HQ7" i="3"/>
  <c r="HP3" i="3"/>
  <c r="HR7" i="3" l="1"/>
  <c r="HQ3" i="3"/>
  <c r="HQ8" i="3"/>
  <c r="HQ2" i="3"/>
  <c r="HR3" i="3" l="1"/>
  <c r="HR8" i="3"/>
  <c r="HR2" i="3"/>
  <c r="HS7" i="3"/>
  <c r="HS3" i="3" l="1"/>
  <c r="HS8" i="3"/>
  <c r="HS2" i="3"/>
  <c r="HT7" i="3"/>
  <c r="HT8" i="3" l="1"/>
  <c r="HT2" i="3"/>
  <c r="HU7" i="3"/>
  <c r="HT3" i="3"/>
  <c r="HV7" i="3" l="1"/>
  <c r="HU3" i="3"/>
  <c r="HU8" i="3"/>
  <c r="HU2" i="3"/>
  <c r="HV3" i="3" l="1"/>
  <c r="HV8" i="3"/>
  <c r="HV2" i="3"/>
  <c r="HW7" i="3"/>
  <c r="HW3" i="3" l="1"/>
  <c r="HW8" i="3"/>
  <c r="HW2" i="3"/>
  <c r="HX7" i="3"/>
  <c r="HX8" i="3" l="1"/>
  <c r="HX2" i="3"/>
  <c r="HY7" i="3"/>
  <c r="HX3" i="3"/>
  <c r="HZ7" i="3" l="1"/>
  <c r="HY3" i="3"/>
  <c r="HY8" i="3"/>
  <c r="HY2" i="3"/>
  <c r="HZ3" i="3" l="1"/>
  <c r="HZ8" i="3"/>
  <c r="HZ2" i="3"/>
  <c r="IA7" i="3"/>
  <c r="IA3" i="3" l="1"/>
  <c r="IA8" i="3"/>
  <c r="IA2" i="3"/>
  <c r="IB7" i="3"/>
  <c r="IB8" i="3" l="1"/>
  <c r="IB2" i="3"/>
  <c r="IC7" i="3"/>
  <c r="IB3" i="3"/>
  <c r="ID7" i="3" l="1"/>
  <c r="IC3" i="3"/>
  <c r="IC8" i="3"/>
  <c r="IC2" i="3"/>
  <c r="ID3" i="3" l="1"/>
  <c r="ID8" i="3"/>
  <c r="ID2" i="3"/>
  <c r="IE7" i="3"/>
  <c r="IE3" i="3" l="1"/>
  <c r="IE8" i="3"/>
  <c r="IE2" i="3"/>
  <c r="IF7" i="3"/>
  <c r="IF8" i="3" l="1"/>
  <c r="IF2" i="3"/>
  <c r="IG7" i="3"/>
  <c r="IF3" i="3"/>
  <c r="IH7" i="3" l="1"/>
  <c r="IG3" i="3"/>
  <c r="IG8" i="3"/>
  <c r="IG2" i="3"/>
  <c r="IH3" i="3" l="1"/>
  <c r="IH8" i="3"/>
  <c r="IH2" i="3"/>
  <c r="II7" i="3"/>
  <c r="II3" i="3" l="1"/>
  <c r="II8" i="3"/>
  <c r="II2" i="3"/>
  <c r="IJ7" i="3"/>
  <c r="IJ8" i="3" l="1"/>
  <c r="IJ2" i="3"/>
  <c r="IK7" i="3"/>
  <c r="IJ3" i="3"/>
  <c r="IL7" i="3" l="1"/>
  <c r="IK3" i="3"/>
  <c r="IK8" i="3"/>
  <c r="IK2" i="3"/>
  <c r="IL3" i="3" l="1"/>
  <c r="IL8" i="3"/>
  <c r="IL2" i="3"/>
  <c r="IM7" i="3"/>
  <c r="IM3" i="3" l="1"/>
  <c r="IM8" i="3"/>
  <c r="IM2" i="3"/>
  <c r="IN7" i="3"/>
  <c r="IN8" i="3" l="1"/>
  <c r="IN2" i="3"/>
  <c r="IO7" i="3"/>
  <c r="IN3" i="3"/>
  <c r="IP7" i="3" l="1"/>
  <c r="IO3" i="3"/>
  <c r="IO8" i="3"/>
  <c r="IO2" i="3"/>
  <c r="IP3" i="3" l="1"/>
  <c r="IP8" i="3"/>
  <c r="IP2" i="3"/>
  <c r="IQ7" i="3"/>
  <c r="IQ3" i="3" l="1"/>
  <c r="IQ8" i="3"/>
  <c r="IQ2" i="3"/>
  <c r="IR7" i="3"/>
  <c r="IR8" i="3" l="1"/>
  <c r="IR2" i="3"/>
  <c r="IS7" i="3"/>
  <c r="IR3" i="3"/>
  <c r="IT7" i="3" l="1"/>
  <c r="IS3" i="3"/>
  <c r="IS8" i="3"/>
  <c r="IS2" i="3"/>
  <c r="IT3" i="3" l="1"/>
  <c r="IT8" i="3"/>
  <c r="IT2" i="3"/>
  <c r="IU7" i="3"/>
  <c r="IU3" i="3" l="1"/>
  <c r="IU8" i="3"/>
  <c r="IU2" i="3"/>
  <c r="IV7" i="3"/>
  <c r="IV8" i="3" l="1"/>
  <c r="IV2" i="3"/>
  <c r="IW7" i="3"/>
  <c r="IV3" i="3"/>
  <c r="IX7" i="3" l="1"/>
  <c r="IW3" i="3"/>
  <c r="IW8" i="3"/>
  <c r="IW2" i="3"/>
  <c r="IX3" i="3" l="1"/>
  <c r="IX8" i="3"/>
  <c r="IX2" i="3"/>
  <c r="IY7" i="3"/>
  <c r="IY3" i="3" l="1"/>
  <c r="IY8" i="3"/>
  <c r="IY2" i="3"/>
  <c r="IZ7" i="3"/>
  <c r="IZ8" i="3" l="1"/>
  <c r="IZ2" i="3"/>
  <c r="JA7" i="3"/>
  <c r="IZ3" i="3"/>
  <c r="JB7" i="3" l="1"/>
  <c r="JA3" i="3"/>
  <c r="JA8" i="3"/>
  <c r="JA2" i="3"/>
  <c r="JB3" i="3" l="1"/>
  <c r="JB8" i="3"/>
  <c r="JB2" i="3"/>
  <c r="JC7" i="3"/>
  <c r="JC3" i="3" l="1"/>
  <c r="JC8" i="3"/>
  <c r="JC2" i="3"/>
  <c r="JD7" i="3"/>
  <c r="JD8" i="3" l="1"/>
  <c r="JD2" i="3"/>
  <c r="JE7" i="3"/>
  <c r="JD3" i="3"/>
  <c r="JF7" i="3" l="1"/>
  <c r="JE3" i="3"/>
  <c r="JE8" i="3"/>
  <c r="JE2" i="3"/>
  <c r="JF3" i="3" l="1"/>
  <c r="JF8" i="3"/>
  <c r="JF2" i="3"/>
  <c r="JG7" i="3"/>
  <c r="JG3" i="3" l="1"/>
  <c r="JG8" i="3"/>
  <c r="JG2" i="3"/>
  <c r="JH7" i="3"/>
  <c r="JH8" i="3" l="1"/>
  <c r="JH2" i="3"/>
  <c r="JI7" i="3"/>
  <c r="JH3" i="3"/>
  <c r="JJ7" i="3" l="1"/>
  <c r="JI3" i="3"/>
  <c r="JI8" i="3"/>
  <c r="JI2" i="3"/>
  <c r="JJ3" i="3" l="1"/>
  <c r="JJ8" i="3"/>
  <c r="JJ2" i="3"/>
  <c r="JK7" i="3"/>
  <c r="JK3" i="3" l="1"/>
  <c r="JK8" i="3"/>
  <c r="JK2" i="3"/>
  <c r="JL7" i="3"/>
  <c r="JL8" i="3" l="1"/>
  <c r="JL2" i="3"/>
  <c r="JM7" i="3"/>
  <c r="JL3" i="3"/>
  <c r="JN7" i="3" l="1"/>
  <c r="JM3" i="3"/>
  <c r="JM8" i="3"/>
  <c r="JM2" i="3"/>
  <c r="JN3" i="3" l="1"/>
  <c r="JN8" i="3"/>
  <c r="JN2" i="3"/>
  <c r="JO7" i="3"/>
  <c r="JO3" i="3" l="1"/>
  <c r="JO8" i="3"/>
  <c r="JO2" i="3"/>
  <c r="JP7" i="3"/>
  <c r="JP8" i="3" l="1"/>
  <c r="JP2" i="3"/>
  <c r="JQ7" i="3"/>
  <c r="JP3" i="3"/>
  <c r="JR7" i="3" l="1"/>
  <c r="JQ3" i="3"/>
  <c r="JQ8" i="3"/>
  <c r="JQ2" i="3"/>
  <c r="JR3" i="3" l="1"/>
  <c r="JR8" i="3"/>
  <c r="JR2" i="3"/>
  <c r="JS7" i="3"/>
  <c r="JS3" i="3" l="1"/>
  <c r="JS8" i="3"/>
  <c r="JS2" i="3"/>
  <c r="JT7" i="3"/>
  <c r="JT8" i="3" l="1"/>
  <c r="JT2" i="3"/>
  <c r="JU7" i="3"/>
  <c r="JT3" i="3"/>
  <c r="JV7" i="3" l="1"/>
  <c r="JU3" i="3"/>
  <c r="JU8" i="3"/>
  <c r="JU2" i="3"/>
  <c r="JV3" i="3" l="1"/>
  <c r="JV8" i="3"/>
  <c r="JV2" i="3"/>
  <c r="JW7" i="3"/>
  <c r="JW3" i="3" l="1"/>
  <c r="JW8" i="3"/>
  <c r="JW2" i="3"/>
  <c r="JX7" i="3"/>
  <c r="JX8" i="3" l="1"/>
  <c r="JX2" i="3"/>
  <c r="JY7" i="3"/>
  <c r="JX3" i="3"/>
  <c r="JZ7" i="3" l="1"/>
  <c r="JY3" i="3"/>
  <c r="JY8" i="3"/>
  <c r="JY2" i="3"/>
  <c r="JZ3" i="3" l="1"/>
  <c r="JZ8" i="3"/>
  <c r="JZ2" i="3"/>
  <c r="KA7" i="3"/>
  <c r="KA3" i="3" l="1"/>
  <c r="KA8" i="3"/>
  <c r="KA2" i="3"/>
  <c r="KB7" i="3"/>
  <c r="KB8" i="3" l="1"/>
  <c r="KB2" i="3"/>
  <c r="KC7" i="3"/>
  <c r="KB3" i="3"/>
  <c r="KD7" i="3" l="1"/>
  <c r="KC3" i="3"/>
  <c r="KC8" i="3"/>
  <c r="KC2" i="3"/>
  <c r="KD3" i="3" l="1"/>
  <c r="KD8" i="3"/>
  <c r="KD2" i="3"/>
  <c r="KE7" i="3"/>
  <c r="KE3" i="3" l="1"/>
  <c r="KE8" i="3"/>
  <c r="KE2" i="3"/>
  <c r="KF7" i="3"/>
  <c r="KF8" i="3" l="1"/>
  <c r="KF2" i="3"/>
  <c r="KG7" i="3"/>
  <c r="KF3" i="3"/>
  <c r="KH7" i="3" l="1"/>
  <c r="KG3" i="3"/>
  <c r="KG8" i="3"/>
  <c r="KG2" i="3"/>
  <c r="KH3" i="3" l="1"/>
  <c r="KH8" i="3"/>
  <c r="KH2" i="3"/>
  <c r="KI7" i="3"/>
  <c r="KI3" i="3" l="1"/>
  <c r="KI8" i="3"/>
  <c r="KI2" i="3"/>
  <c r="KJ7" i="3"/>
  <c r="KJ8" i="3" l="1"/>
  <c r="KJ2" i="3"/>
  <c r="KK7" i="3"/>
  <c r="KJ3" i="3"/>
  <c r="KL7" i="3" l="1"/>
  <c r="KK3" i="3"/>
  <c r="KK8" i="3"/>
  <c r="KK2" i="3"/>
  <c r="KL3" i="3" l="1"/>
  <c r="KL8" i="3"/>
  <c r="KL2" i="3"/>
  <c r="KM7" i="3"/>
  <c r="KM3" i="3" l="1"/>
  <c r="KM8" i="3"/>
  <c r="KM2" i="3"/>
  <c r="KN7" i="3"/>
  <c r="KN8" i="3" l="1"/>
  <c r="KN2" i="3"/>
  <c r="KO7" i="3"/>
  <c r="KN3" i="3"/>
  <c r="KP7" i="3" l="1"/>
  <c r="KO3" i="3"/>
  <c r="KO8" i="3"/>
  <c r="KO2" i="3"/>
  <c r="KP3" i="3" l="1"/>
  <c r="KP8" i="3"/>
  <c r="KP2" i="3"/>
  <c r="KQ7" i="3"/>
  <c r="KQ3" i="3" l="1"/>
  <c r="KQ8" i="3"/>
  <c r="KQ2" i="3"/>
  <c r="KR7" i="3"/>
  <c r="KR8" i="3" l="1"/>
  <c r="KR2" i="3"/>
  <c r="KS7" i="3"/>
  <c r="KR3" i="3"/>
  <c r="KT7" i="3" l="1"/>
  <c r="KS3" i="3"/>
  <c r="KS8" i="3"/>
  <c r="KS2" i="3"/>
  <c r="KT3" i="3" l="1"/>
  <c r="KT8" i="3"/>
  <c r="KT2" i="3"/>
  <c r="KU7" i="3"/>
  <c r="KU3" i="3" l="1"/>
  <c r="KU8" i="3"/>
  <c r="KU2" i="3"/>
  <c r="KV7" i="3"/>
  <c r="KV8" i="3" l="1"/>
  <c r="KV2" i="3"/>
  <c r="KW7" i="3"/>
  <c r="KV3" i="3"/>
  <c r="KX7" i="3" l="1"/>
  <c r="KW3" i="3"/>
  <c r="KW8" i="3"/>
  <c r="KW2" i="3"/>
  <c r="KX3" i="3" l="1"/>
  <c r="KX8" i="3"/>
  <c r="KX2" i="3"/>
  <c r="KY7" i="3"/>
  <c r="KY3" i="3" l="1"/>
  <c r="KY8" i="3"/>
  <c r="KY2" i="3"/>
  <c r="KZ7" i="3"/>
  <c r="KZ8" i="3" l="1"/>
  <c r="KZ2" i="3"/>
  <c r="LA7" i="3"/>
  <c r="KZ3" i="3"/>
  <c r="LB7" i="3" l="1"/>
  <c r="LA3" i="3"/>
  <c r="LA8" i="3"/>
  <c r="LA2" i="3"/>
  <c r="LB3" i="3" l="1"/>
  <c r="LB8" i="3"/>
  <c r="LB2" i="3"/>
  <c r="LC7" i="3"/>
  <c r="LC3" i="3" l="1"/>
  <c r="LC8" i="3"/>
  <c r="LC2" i="3"/>
  <c r="LD7" i="3"/>
  <c r="LD8" i="3" l="1"/>
  <c r="LD2" i="3"/>
  <c r="LE7" i="3"/>
  <c r="LD3" i="3"/>
  <c r="LF7" i="3" l="1"/>
  <c r="LE3" i="3"/>
  <c r="LE8" i="3"/>
  <c r="LE2" i="3"/>
  <c r="LF3" i="3" l="1"/>
  <c r="LF8" i="3"/>
  <c r="LF2" i="3"/>
  <c r="LG7" i="3"/>
  <c r="LG3" i="3" l="1"/>
  <c r="LG8" i="3"/>
  <c r="LG2" i="3"/>
  <c r="LH7" i="3"/>
  <c r="LH8" i="3" l="1"/>
  <c r="LH2" i="3"/>
  <c r="LI7" i="3"/>
  <c r="LH3" i="3"/>
  <c r="LJ7" i="3" l="1"/>
  <c r="LI3" i="3"/>
  <c r="LI8" i="3"/>
  <c r="LI2" i="3"/>
  <c r="LJ3" i="3" l="1"/>
  <c r="LJ8" i="3"/>
  <c r="LJ2" i="3"/>
  <c r="LK7" i="3"/>
  <c r="LK3" i="3" l="1"/>
  <c r="LK8" i="3"/>
  <c r="LK2" i="3"/>
  <c r="LL7" i="3"/>
  <c r="LL8" i="3" l="1"/>
  <c r="LL2" i="3"/>
  <c r="LM7" i="3"/>
  <c r="LL3" i="3"/>
  <c r="LN7" i="3" l="1"/>
  <c r="LM3" i="3"/>
  <c r="LM8" i="3"/>
  <c r="LM2" i="3"/>
  <c r="LN3" i="3" l="1"/>
  <c r="LN8" i="3"/>
  <c r="LN2" i="3"/>
  <c r="LO7" i="3"/>
  <c r="LO3" i="3" l="1"/>
  <c r="LO8" i="3"/>
  <c r="LO2" i="3"/>
  <c r="LP7" i="3"/>
  <c r="LP8" i="3" l="1"/>
  <c r="LP2" i="3"/>
  <c r="LQ7" i="3"/>
  <c r="LP3" i="3"/>
  <c r="LR7" i="3" l="1"/>
  <c r="LQ3" i="3"/>
  <c r="LQ8" i="3"/>
  <c r="LQ2" i="3"/>
  <c r="LR3" i="3" l="1"/>
  <c r="LR8" i="3"/>
  <c r="LR2" i="3"/>
  <c r="LS7" i="3"/>
  <c r="LS3" i="3" l="1"/>
  <c r="LS8" i="3"/>
  <c r="LS2" i="3"/>
  <c r="LT7" i="3"/>
  <c r="LT8" i="3" l="1"/>
  <c r="LT2" i="3"/>
  <c r="LU7" i="3"/>
  <c r="LT3" i="3"/>
  <c r="LV7" i="3" l="1"/>
  <c r="LU3" i="3"/>
  <c r="LU8" i="3"/>
  <c r="LU2" i="3"/>
  <c r="LV3" i="3" l="1"/>
  <c r="LV8" i="3"/>
  <c r="LV2" i="3"/>
  <c r="LW7" i="3"/>
  <c r="LW3" i="3" l="1"/>
  <c r="LW8" i="3"/>
  <c r="LW2" i="3"/>
  <c r="LX7" i="3"/>
  <c r="LX8" i="3" l="1"/>
  <c r="LX2" i="3"/>
  <c r="LY7" i="3"/>
  <c r="LX3" i="3"/>
  <c r="LZ7" i="3" l="1"/>
  <c r="LY3" i="3"/>
  <c r="LY8" i="3"/>
  <c r="LY2" i="3"/>
  <c r="LZ3" i="3" l="1"/>
  <c r="LZ8" i="3"/>
  <c r="LZ2" i="3"/>
  <c r="MA7" i="3"/>
  <c r="MA3" i="3" l="1"/>
  <c r="MA8" i="3"/>
  <c r="MA2" i="3"/>
  <c r="MB7" i="3"/>
  <c r="MB8" i="3" l="1"/>
  <c r="MB2" i="3"/>
  <c r="MC7" i="3"/>
  <c r="MB3" i="3"/>
  <c r="MD7" i="3" l="1"/>
  <c r="MC3" i="3"/>
  <c r="MC8" i="3"/>
  <c r="MC2" i="3"/>
  <c r="MD3" i="3" l="1"/>
  <c r="MD8" i="3"/>
  <c r="MD2" i="3"/>
  <c r="ME7" i="3"/>
  <c r="ME3" i="3" l="1"/>
  <c r="ME8" i="3"/>
  <c r="ME2" i="3"/>
  <c r="MF7" i="3"/>
  <c r="MF8" i="3" l="1"/>
  <c r="MF2" i="3"/>
  <c r="MG7" i="3"/>
  <c r="MF3" i="3"/>
  <c r="MH7" i="3" l="1"/>
  <c r="MG3" i="3"/>
  <c r="MG8" i="3"/>
  <c r="MG2" i="3"/>
  <c r="MH3" i="3" l="1"/>
  <c r="MH8" i="3"/>
  <c r="MH2" i="3"/>
  <c r="MI7" i="3"/>
  <c r="MI3" i="3" l="1"/>
  <c r="MI8" i="3"/>
  <c r="MI2" i="3"/>
  <c r="MJ7" i="3"/>
  <c r="MJ8" i="3" l="1"/>
  <c r="MJ2" i="3"/>
  <c r="MK7" i="3"/>
  <c r="MJ3" i="3"/>
  <c r="ML7" i="3" l="1"/>
  <c r="MK3" i="3"/>
  <c r="MK8" i="3"/>
  <c r="MK2" i="3"/>
  <c r="ML3" i="3" l="1"/>
  <c r="ML8" i="3"/>
  <c r="ML2" i="3"/>
  <c r="MM7" i="3"/>
  <c r="MM3" i="3" l="1"/>
  <c r="MM8" i="3"/>
  <c r="MM2" i="3"/>
  <c r="MN7" i="3"/>
  <c r="MN8" i="3" l="1"/>
  <c r="MN2" i="3"/>
  <c r="MO7" i="3"/>
  <c r="MN3" i="3"/>
  <c r="MP7" i="3" l="1"/>
  <c r="MO3" i="3"/>
  <c r="MO8" i="3"/>
  <c r="MO2" i="3"/>
  <c r="MP3" i="3" l="1"/>
  <c r="MP8" i="3"/>
  <c r="MP2" i="3"/>
  <c r="MQ7" i="3"/>
  <c r="MQ3" i="3" l="1"/>
  <c r="MQ8" i="3"/>
  <c r="MQ2" i="3"/>
  <c r="MR7" i="3"/>
  <c r="MR8" i="3" l="1"/>
  <c r="MR2" i="3"/>
  <c r="MS7" i="3"/>
  <c r="MR3" i="3"/>
  <c r="MT7" i="3" l="1"/>
  <c r="MS3" i="3"/>
  <c r="MS8" i="3"/>
  <c r="MS2" i="3"/>
  <c r="MT3" i="3" l="1"/>
  <c r="MT8" i="3"/>
  <c r="MT2" i="3"/>
  <c r="MU7" i="3"/>
  <c r="MU3" i="3" l="1"/>
  <c r="MU8" i="3"/>
  <c r="MU2" i="3"/>
  <c r="MV7" i="3"/>
  <c r="MV8" i="3" l="1"/>
  <c r="MV2" i="3"/>
  <c r="MW7" i="3"/>
  <c r="MV3" i="3"/>
  <c r="MX7" i="3" l="1"/>
  <c r="MW3" i="3"/>
  <c r="MW8" i="3"/>
  <c r="MW2" i="3"/>
  <c r="MX3" i="3" l="1"/>
  <c r="MX8" i="3"/>
  <c r="MX2" i="3"/>
  <c r="MY7" i="3"/>
  <c r="MY3" i="3" l="1"/>
  <c r="MY8" i="3"/>
  <c r="MY2" i="3"/>
  <c r="MZ7" i="3"/>
  <c r="MZ8" i="3" l="1"/>
  <c r="MZ2" i="3"/>
  <c r="NA7" i="3"/>
  <c r="MZ3" i="3"/>
  <c r="NB7" i="3" l="1"/>
  <c r="NA3" i="3"/>
  <c r="NA8" i="3"/>
  <c r="NA2" i="3"/>
  <c r="NB3" i="3" l="1"/>
  <c r="NB8" i="3"/>
  <c r="NB2" i="3"/>
  <c r="NC7" i="3"/>
  <c r="NC3" i="3" l="1"/>
  <c r="NC8" i="3"/>
  <c r="NC2" i="3"/>
  <c r="ND7" i="3"/>
  <c r="ND8" i="3" l="1"/>
  <c r="ND2" i="3"/>
  <c r="NE7" i="3"/>
  <c r="ND3" i="3"/>
  <c r="NF7" i="3" l="1"/>
  <c r="NE3" i="3"/>
  <c r="NE8" i="3"/>
  <c r="NE2" i="3"/>
  <c r="NF3" i="3" l="1"/>
  <c r="NF8" i="3"/>
  <c r="NF2" i="3"/>
  <c r="NG7" i="3"/>
  <c r="NG3" i="3" l="1"/>
  <c r="NG8" i="3"/>
  <c r="NG2" i="3"/>
  <c r="NH7" i="3"/>
  <c r="NH8" i="3" l="1"/>
  <c r="NH2" i="3"/>
  <c r="NI7" i="3"/>
  <c r="NH3" i="3"/>
  <c r="NJ7" i="3" l="1"/>
  <c r="NI3" i="3"/>
  <c r="NI8" i="3"/>
  <c r="NI2" i="3"/>
  <c r="NJ3" i="3" l="1"/>
  <c r="NJ8" i="3"/>
  <c r="NJ2" i="3"/>
  <c r="NK7" i="3"/>
  <c r="NK3" i="3" l="1"/>
  <c r="NK8" i="3"/>
  <c r="NK2" i="3"/>
  <c r="NL7" i="3"/>
  <c r="NL8" i="3" l="1"/>
  <c r="NL2" i="3"/>
  <c r="NM7" i="3"/>
  <c r="NL3" i="3"/>
  <c r="NN7" i="3" l="1"/>
  <c r="NM3" i="3"/>
  <c r="NM8" i="3"/>
  <c r="NM2" i="3"/>
  <c r="NN3" i="3" l="1"/>
  <c r="NN8" i="3"/>
  <c r="NN2" i="3"/>
  <c r="NO7" i="3"/>
  <c r="NO3" i="3" l="1"/>
  <c r="NO8" i="3"/>
  <c r="NO2" i="3"/>
  <c r="NP7" i="3"/>
  <c r="NP8" i="3" l="1"/>
  <c r="NP2" i="3"/>
  <c r="NQ7" i="3"/>
  <c r="NP3" i="3"/>
  <c r="NR7" i="3" l="1"/>
  <c r="NQ3" i="3"/>
  <c r="NQ8" i="3"/>
  <c r="NQ2" i="3"/>
  <c r="NR3" i="3" l="1"/>
  <c r="NR8" i="3"/>
  <c r="NR2" i="3"/>
  <c r="NS7" i="3"/>
  <c r="NS3" i="3" l="1"/>
  <c r="NS8" i="3"/>
  <c r="NS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yp00475</author>
    <author>yp00179</author>
  </authors>
  <commentList>
    <comment ref="I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Problemas de Conexión a Sistema SAP</t>
        </r>
      </text>
    </comment>
    <comment ref="F2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P.O.: 4500021425, 4500021418, 4500020943 y 4500021412.</t>
        </r>
      </text>
    </comment>
    <comment ref="I2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 4500021390</t>
        </r>
      </text>
    </comment>
    <comment ref="J2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 4500021312, 4500021344, 4500021374, 4500021330, 4500021286 y 4500021263</t>
        </r>
      </text>
    </comment>
    <comment ref="L2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 4500021412</t>
        </r>
      </text>
    </comment>
    <comment ref="R2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 4500021290.</t>
        </r>
      </text>
    </comment>
    <comment ref="T2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yp00475:
</t>
        </r>
        <r>
          <rPr>
            <sz val="9"/>
            <color indexed="81"/>
            <rFont val="Tahoma"/>
            <family val="2"/>
          </rPr>
          <t>Recepción de P.O. 45/21172, 45/21431 y 45/21342</t>
        </r>
      </text>
    </comment>
    <comment ref="AK2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Gases Industriales (Aga Gas)
</t>
        </r>
      </text>
    </comment>
    <comment ref="AO2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 4500020916, 4500021203 y 4500021486 </t>
        </r>
      </text>
    </comment>
    <comment ref="Z2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P.O: 4500021342.</t>
        </r>
      </text>
    </comment>
    <comment ref="AK3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Apoyo a Ing. de Pozos, I&amp;C y de Planta en ubicación de equipos correspondientes a Fase 300 para inspección y toma de fotografías.</t>
        </r>
      </text>
    </comment>
    <comment ref="AN3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Revisión de materiales correspondientes a las torres secadoras, en conjunto a personal de Mantenimiento, a solicitud de Ing. de Mantenimiento.</t>
        </r>
      </text>
    </comment>
    <comment ref="J3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Espera reparación de camión pitman.
</t>
        </r>
      </text>
    </comment>
    <comment ref="M3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Espera reparación de camión pitman.
</t>
        </r>
      </text>
    </comment>
    <comment ref="F4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Espera reparación de camión pitman.
</t>
        </r>
      </text>
    </comment>
    <comment ref="AU48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yp00179:</t>
        </r>
        <r>
          <rPr>
            <sz val="9"/>
            <color indexed="81"/>
            <rFont val="Tahoma"/>
            <family val="2"/>
          </rPr>
          <t xml:space="preserve">
No se tuvo información al respecto por finanzas
</t>
        </r>
      </text>
    </comment>
    <comment ref="AV48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yp00179:</t>
        </r>
        <r>
          <rPr>
            <sz val="9"/>
            <color indexed="81"/>
            <rFont val="Tahoma"/>
            <family val="2"/>
          </rPr>
          <t xml:space="preserve">
No se tuvo información al respecto por finanzas
</t>
        </r>
      </text>
    </comment>
    <comment ref="F6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Limpieza por parte de personal de Sr. Duvilio.</t>
        </r>
      </text>
    </comment>
    <comment ref="AE6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Supervisión a recolección de desechos (madera / maleza) en patios, por parte de personal de Sr. Duvilio.</t>
        </r>
      </text>
    </comment>
    <comment ref="F12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Problemas de Conexión y tranca en zona de Acapral</t>
        </r>
      </text>
    </comment>
    <comment ref="AV124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yp00179:</t>
        </r>
        <r>
          <rPr>
            <sz val="9"/>
            <color indexed="81"/>
            <rFont val="Tahoma"/>
            <family val="2"/>
          </rPr>
          <t xml:space="preserve">
Presentación Objetivos y Plan Remediacion Almacenes 2018</t>
        </r>
      </text>
    </comment>
    <comment ref="M159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Betilde Mejias: 
22-12-17 a 12-01-18</t>
        </r>
      </text>
    </comment>
    <comment ref="X15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Stephany Tabares
02-01-18 al 22-01-18
</t>
        </r>
      </text>
    </comment>
    <comment ref="AR16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Gustavo Pereira
</t>
        </r>
      </text>
    </comment>
    <comment ref="BP161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yp00179:</t>
        </r>
        <r>
          <rPr>
            <sz val="9"/>
            <color indexed="81"/>
            <rFont val="Tahoma"/>
            <family val="2"/>
          </rPr>
          <t xml:space="preserve">
Victor Miletic
(Tentativo)</t>
        </r>
      </text>
    </comment>
    <comment ref="L16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 xml:space="preserve">yp00475:
</t>
        </r>
        <r>
          <rPr>
            <sz val="9"/>
            <color indexed="81"/>
            <rFont val="Tahoma"/>
            <family val="2"/>
          </rPr>
          <t>Stephany Tabares</t>
        </r>
      </text>
    </comment>
    <comment ref="AF18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Apoyo logístico en reubicación de trailers y mantenimiento de generador.</t>
        </r>
      </text>
    </comment>
    <comment ref="J187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P.O. 4500021263
</t>
        </r>
      </text>
    </comment>
    <comment ref="C18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Participación: Victor Miletic y Stephany Tabares</t>
        </r>
      </text>
    </comment>
    <comment ref="AR190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yp00179:</t>
        </r>
        <r>
          <rPr>
            <sz val="9"/>
            <color indexed="81"/>
            <rFont val="Tahoma"/>
            <family val="2"/>
          </rPr>
          <t xml:space="preserve">
Fue movida para el Viernes 26</t>
        </r>
      </text>
    </comment>
  </commentList>
</comments>
</file>

<file path=xl/sharedStrings.xml><?xml version="1.0" encoding="utf-8"?>
<sst xmlns="http://schemas.openxmlformats.org/spreadsheetml/2006/main" count="681" uniqueCount="122">
  <si>
    <t>S</t>
  </si>
  <si>
    <t>M</t>
  </si>
  <si>
    <t>1 IF START OF MONTH</t>
  </si>
  <si>
    <t>WEEK NUMBER</t>
  </si>
  <si>
    <t>D</t>
  </si>
  <si>
    <t>L</t>
  </si>
  <si>
    <t>V</t>
  </si>
  <si>
    <t>J</t>
  </si>
  <si>
    <t>Prog</t>
  </si>
  <si>
    <t>Ejec</t>
  </si>
  <si>
    <t>Total 2017</t>
  </si>
  <si>
    <t>Primer Periodo</t>
  </si>
  <si>
    <t>Segundo Periodo</t>
  </si>
  <si>
    <t>Tercer Periodo</t>
  </si>
  <si>
    <t>Cuarto Periodo</t>
  </si>
  <si>
    <t>Quinto Periodo</t>
  </si>
  <si>
    <t>Sexto Periodo</t>
  </si>
  <si>
    <t>Septimo Periodo</t>
  </si>
  <si>
    <t>Noveno Periodo</t>
  </si>
  <si>
    <t>FRECUENCIA</t>
  </si>
  <si>
    <t>Mensual</t>
  </si>
  <si>
    <t>ACTIVIDADES RUTINARIAS TRIMESTRALES, SEMESTRALES, ANUALES</t>
  </si>
  <si>
    <t>ACTIVIDADES RUTINARIAS DIARIAS, SEMANALES, QUINCENALES Y MENSUALES</t>
  </si>
  <si>
    <t>ACTIVIDADES ADICIONALES</t>
  </si>
  <si>
    <t>COSHA</t>
  </si>
  <si>
    <t>Octavo Periodo</t>
  </si>
  <si>
    <t>ACTIV</t>
  </si>
  <si>
    <t>Reunión Semanal de Planificación</t>
  </si>
  <si>
    <t>Charla Semanal de Seguridad</t>
  </si>
  <si>
    <t>Reunión Seguimiento tarjetas Opersafe</t>
  </si>
  <si>
    <t>Reunión Operacional</t>
  </si>
  <si>
    <t>REUNIONES / CHARLAS</t>
  </si>
  <si>
    <t>Reunión Seguimiento Pedidos de Modificación</t>
  </si>
  <si>
    <t>Reunión Permisos de Trabajos</t>
  </si>
  <si>
    <t>Reunión Selección Anomalia</t>
  </si>
  <si>
    <t>COPER</t>
  </si>
  <si>
    <t>COINT</t>
  </si>
  <si>
    <t>CODES</t>
  </si>
  <si>
    <t>Ausencia por Jornada de Exámenes Médicos Anuales</t>
  </si>
  <si>
    <t>DEPARTAMENTO</t>
  </si>
  <si>
    <t>ADIESTRAMIENTOS</t>
  </si>
  <si>
    <t xml:space="preserve">DINAMICA DEL PERSONAL </t>
  </si>
  <si>
    <t>SEGUIMIENTO PROCURA DE MATERIALES Y SERVICIOS</t>
  </si>
  <si>
    <t>ACTIVIDADES ESPORÁDICAS O ESPECIALES PARADA DE PLANTA, INTERVENCIÓN DE FILTROS</t>
  </si>
  <si>
    <t>Reporte diario Almacen</t>
  </si>
  <si>
    <t>Catalogación de materiales para plan de compras mensual de todos los departamentos, generación de RQ en SAP.</t>
  </si>
  <si>
    <t>Reporte Semanal de Explotación</t>
  </si>
  <si>
    <t xml:space="preserve">Recepción de materiales a Almacen </t>
  </si>
  <si>
    <t>Despacho de Materiales de Almacen</t>
  </si>
  <si>
    <t>Revisión de estatus de Órdenes de Compra Pendientes por movimiento aprobatorio 105, actualización de archivo.</t>
  </si>
  <si>
    <t>Colococación en Pre-despacho materiales solicitados</t>
  </si>
  <si>
    <t>Revisión disponibilidad de materiales en stock físico y envío de información solicitadas por diversas disciplinas</t>
  </si>
  <si>
    <t xml:space="preserve">Apoyo en planta para movilización e instalación de químicos en planta y locaciones. </t>
  </si>
  <si>
    <t xml:space="preserve">Movimiento de Gases Insdustriales a planta y locaciones: Nitrogeno, Aire Comprimido, Helio. </t>
  </si>
  <si>
    <t>Colocacion en Pre-despacho de materiales asociados a intervención de filtros</t>
  </si>
  <si>
    <t>Movimientos de salida de materiales utilizados y retorno de materiales no utilizados en Intervención de Filtro.</t>
  </si>
  <si>
    <t>Limpieza de áreas externas (patios #1 y #2).</t>
  </si>
  <si>
    <t>Elaboración / Actualización de Procedimientos.</t>
  </si>
  <si>
    <t>Codificación y ubicación en Físico de materiales recibidos y/o devueltos</t>
  </si>
  <si>
    <t>Movimiento de entrada en sistema SAP (GR. 103).</t>
  </si>
  <si>
    <t>Movilización de materiales y equipos para preservación de los mismos.</t>
  </si>
  <si>
    <t>Orden y Limpieza de galpones, Almacenes Ypergas</t>
  </si>
  <si>
    <t>Actividades Post-Inventario 100% Octubre - 2017 (en Sistema y en Físico)</t>
  </si>
  <si>
    <t>Reparación de brazo articulado (camión pitman)</t>
  </si>
  <si>
    <t>Actualización plan a 6 semanas</t>
  </si>
  <si>
    <t>Auditoria mensual con personal Finanzas CPF.</t>
  </si>
  <si>
    <t>Apoyo en actividades de planta.</t>
  </si>
  <si>
    <t>Revisión, Atención y Actualización de tarjetas Opersafe.</t>
  </si>
  <si>
    <t>Elaboracion / Actualización de Plan (MS Project) Objetivos de Almacén 2018 / Actividades críticas / Inventarios.</t>
  </si>
  <si>
    <t>Diaria</t>
  </si>
  <si>
    <t>Semanal</t>
  </si>
  <si>
    <t>Trimestral</t>
  </si>
  <si>
    <t>Trabajos con materiales SCRAP (Levantamiento, clasificación, pesado y envío de información para disposición final). OPERSAFE 82C.</t>
  </si>
  <si>
    <t>Anual</t>
  </si>
  <si>
    <t>Y</t>
  </si>
  <si>
    <t>X</t>
  </si>
  <si>
    <t>Compra de Combustible diésel en tambor para suministro de Montacargas.</t>
  </si>
  <si>
    <t>Seguimiento a mantenimiento 1000 horas a camión pitman (Maquinarias Mega)</t>
  </si>
  <si>
    <t>Seguimiento a mantenimiento 1000 horas a Montacargas (SVF)</t>
  </si>
  <si>
    <t>Depuración del Maestro de Materiales SAP.</t>
  </si>
  <si>
    <t>Inspección de brazo articulado y montacarga en conjunto a personal SHA e I&amp;C.</t>
  </si>
  <si>
    <t>Certificación de equipos de carga e izaje (Montacragas y br4azo articulado), en conjunto a personal de I&amp;C</t>
  </si>
  <si>
    <t>Certificación de operadores de equipos de carga.</t>
  </si>
  <si>
    <t>Auditoria Aleatoria Almacenes Ypergas con Procura y Contrato.</t>
  </si>
  <si>
    <t>Mudanza de Almacén Base a CPF.</t>
  </si>
  <si>
    <t>Presentación de Objetivos Logística &amp; Almacén 2018, en CCS a la Gerencia.</t>
  </si>
  <si>
    <t>Actualización de matriz de seguimiento orden de compra.</t>
  </si>
  <si>
    <t>Movimientos en SAP: salidas de Materiales / Normalizacion de Notas de Salida en Físico y Sistema / retornos al stock (devoluciones).</t>
  </si>
  <si>
    <t>DIARIA</t>
  </si>
  <si>
    <t>INTERDIARIA</t>
  </si>
  <si>
    <t>Traslado a CPF y Retiro de planta camion ford cargo 1721.</t>
  </si>
  <si>
    <t>Desarrollo de archivos para control de KPI almacen, actualizacion de archivos de control y  Stock SAP.</t>
  </si>
  <si>
    <t>MENSUAL</t>
  </si>
  <si>
    <t>Supervisión a desmalezamientos de áreas en patio Almacen BAO.</t>
  </si>
  <si>
    <t>Revisión y mantenimiento a camión de plataforma Ford-1721 por personal de Multiservicio (cambio de filtro de aire y ajuste de mangueras).</t>
  </si>
  <si>
    <t>Mantenimiento, limpieza y engrase brazo articulado personal de Almacén, revisión de horas de trabajo por vencer, revisión de mangueras hidráulicas del mismo.</t>
  </si>
  <si>
    <t>1000 HORAS</t>
  </si>
  <si>
    <t>Inventario 100% Almacenes (Procura - Finanzas - Control Interno)</t>
  </si>
  <si>
    <t>Actualización, entrega a personal y envío a Gerencia de Planta, evaluaciones de personal Almacén correspondientes al año2018, Objetivos y plan de capacitación para el año 2019</t>
  </si>
  <si>
    <t>Elaboracion de Plan Vacaciones Personal Almacén, actualizacion de plan de vacaciones.</t>
  </si>
  <si>
    <t>Cernido de Carbon, pesado y apartado de Ceramica con apoyo de Personal de Multiservicios CPF.</t>
  </si>
  <si>
    <t>Movilizacion de equipos, materiales referentes a intervención de filtros. Participacion en Intervención de filtros 1-F 0830 / 0830A / 0840.</t>
  </si>
  <si>
    <t>Colocacion en Pre despacho de materiales asociados a Parada de Planta</t>
  </si>
  <si>
    <t>Movilizacion de equipos, materiales referentes a Parada de Planta y participación.</t>
  </si>
  <si>
    <t>Movimientos de salida de materiales utilizados y retorno de materiales no utilizados en Parada de Planta.</t>
  </si>
  <si>
    <t>Ausencia por Disfrute de Vacaciones</t>
  </si>
  <si>
    <t>Ausencia por Disfrute de Compensatorios</t>
  </si>
  <si>
    <t>Ausencia por Reposo médico</t>
  </si>
  <si>
    <t>SEMANAL</t>
  </si>
  <si>
    <t>TRIMESTRAL</t>
  </si>
  <si>
    <t>ANUAL</t>
  </si>
  <si>
    <t>Inspección de equipos ICSS en apoyo a Ingeniero de Planificación.</t>
  </si>
  <si>
    <t>Elaboración de RDM y Presentaciones y seguimiento a Procura de materiales y servicios para Logistica&amp;Almacen.</t>
  </si>
  <si>
    <t>Actualización de Plan de Compra correspondiente a Almacén</t>
  </si>
  <si>
    <t>Actualización de matriz correspondiente a inventario de EPP</t>
  </si>
  <si>
    <t>Actualización de matriz seguimiento de despacho y movimientos en sistema</t>
  </si>
  <si>
    <t>x</t>
  </si>
  <si>
    <t>Atención Visita Gerencial Base</t>
  </si>
  <si>
    <t>GASTOS OPERATIVOS DECOR</t>
  </si>
  <si>
    <t>Auditoria con los socios, personal CCS y CFF.</t>
  </si>
  <si>
    <t>Y+I17:AE56</t>
  </si>
  <si>
    <t>Apoyo a Ing. de Pozos, I&amp;C y de Planta en ubicación de equipos correspondientes a Proyecto para inspección y toma de fotografías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</si>
</sst>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;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double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/>
      <top style="medium">
        <color indexed="64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 style="medium">
        <color indexed="64"/>
      </left>
      <right style="double">
        <color auto="1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auto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double">
        <color auto="1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" fontId="0" fillId="0" borderId="4" xfId="0" applyNumberFormat="1" applyBorder="1" applyAlignment="1">
      <alignment vertical="center"/>
    </xf>
    <xf numFmtId="1" fontId="0" fillId="6" borderId="8" xfId="1" applyNumberFormat="1" applyFont="1" applyFill="1" applyBorder="1" applyAlignment="1">
      <alignment horizontal="center" vertical="center"/>
    </xf>
    <xf numFmtId="1" fontId="0" fillId="6" borderId="9" xfId="1" applyNumberFormat="1" applyFont="1" applyFill="1" applyBorder="1" applyAlignment="1">
      <alignment horizontal="center" vertical="center"/>
    </xf>
    <xf numFmtId="1" fontId="0" fillId="4" borderId="16" xfId="1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textRotation="90"/>
    </xf>
    <xf numFmtId="0" fontId="1" fillId="0" borderId="7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5" fontId="1" fillId="0" borderId="19" xfId="0" applyNumberFormat="1" applyFont="1" applyBorder="1" applyAlignment="1">
      <alignment horizontal="center" vertical="center" textRotation="90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4" borderId="11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" fontId="0" fillId="6" borderId="29" xfId="1" applyNumberFormat="1" applyFont="1" applyFill="1" applyBorder="1" applyAlignment="1">
      <alignment horizontal="center" vertical="center"/>
    </xf>
    <xf numFmtId="2" fontId="0" fillId="4" borderId="17" xfId="1" applyNumberFormat="1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" fontId="0" fillId="7" borderId="16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2" fontId="0" fillId="7" borderId="11" xfId="1" applyNumberFormat="1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66" fontId="0" fillId="6" borderId="8" xfId="1" applyNumberFormat="1" applyFont="1" applyFill="1" applyBorder="1" applyAlignment="1">
      <alignment horizontal="center" vertical="center"/>
    </xf>
    <xf numFmtId="166" fontId="0" fillId="6" borderId="9" xfId="1" applyNumberFormat="1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1" fontId="1" fillId="8" borderId="0" xfId="0" applyNumberFormat="1" applyFont="1" applyFill="1" applyAlignment="1">
      <alignment horizontal="center" vertical="center" textRotation="90"/>
    </xf>
    <xf numFmtId="164" fontId="1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5" fontId="1" fillId="8" borderId="19" xfId="0" applyNumberFormat="1" applyFont="1" applyFill="1" applyBorder="1" applyAlignment="1">
      <alignment horizontal="center" vertical="center" textRotation="90"/>
    </xf>
    <xf numFmtId="0" fontId="1" fillId="8" borderId="7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9" fontId="0" fillId="0" borderId="31" xfId="1" applyFont="1" applyFill="1" applyBorder="1" applyAlignment="1">
      <alignment horizontal="center" vertical="center"/>
    </xf>
    <xf numFmtId="9" fontId="0" fillId="0" borderId="26" xfId="1" applyFont="1" applyFill="1" applyBorder="1" applyAlignment="1">
      <alignment horizontal="center" vertical="center"/>
    </xf>
    <xf numFmtId="165" fontId="0" fillId="6" borderId="8" xfId="1" applyNumberFormat="1" applyFont="1" applyFill="1" applyBorder="1" applyAlignment="1">
      <alignment horizontal="center" vertical="center"/>
    </xf>
    <xf numFmtId="165" fontId="0" fillId="6" borderId="9" xfId="1" applyNumberFormat="1" applyFont="1" applyFill="1" applyBorder="1" applyAlignment="1">
      <alignment horizontal="center" vertical="center"/>
    </xf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9" fontId="0" fillId="0" borderId="25" xfId="1" applyFont="1" applyFill="1" applyBorder="1" applyAlignment="1">
      <alignment horizontal="center" vertical="center"/>
    </xf>
    <xf numFmtId="9" fontId="0" fillId="0" borderId="13" xfId="1" applyFont="1" applyFill="1" applyBorder="1" applyAlignment="1">
      <alignment horizontal="center" vertical="center"/>
    </xf>
    <xf numFmtId="9" fontId="0" fillId="0" borderId="12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9" fontId="0" fillId="4" borderId="10" xfId="1" applyFont="1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9" fontId="0" fillId="4" borderId="13" xfId="1" applyFont="1" applyFill="1" applyBorder="1" applyAlignment="1">
      <alignment horizontal="center" vertical="center"/>
    </xf>
    <xf numFmtId="9" fontId="0" fillId="4" borderId="12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9" fontId="0" fillId="7" borderId="10" xfId="1" applyFont="1" applyFill="1" applyBorder="1" applyAlignment="1">
      <alignment horizontal="center" vertical="center"/>
    </xf>
    <xf numFmtId="9" fontId="0" fillId="7" borderId="11" xfId="1" applyFont="1" applyFill="1" applyBorder="1" applyAlignment="1">
      <alignment horizontal="center" vertical="center"/>
    </xf>
    <xf numFmtId="9" fontId="0" fillId="4" borderId="8" xfId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9" fontId="0" fillId="6" borderId="8" xfId="1" applyFont="1" applyFill="1" applyBorder="1" applyAlignment="1">
      <alignment horizontal="center" vertical="center"/>
    </xf>
    <xf numFmtId="9" fontId="0" fillId="6" borderId="9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4" borderId="13" xfId="1" applyNumberFormat="1" applyFont="1" applyFill="1" applyBorder="1" applyAlignment="1">
      <alignment horizontal="center" vertical="center"/>
    </xf>
    <xf numFmtId="165" fontId="0" fillId="4" borderId="12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9" fontId="0" fillId="7" borderId="13" xfId="1" applyFont="1" applyFill="1" applyBorder="1" applyAlignment="1">
      <alignment horizontal="center" vertical="center"/>
    </xf>
    <xf numFmtId="9" fontId="0" fillId="7" borderId="12" xfId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134">
    <dxf>
      <fill>
        <patternFill>
          <bgColor theme="6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theme="1" tint="4.9989318521683403E-2"/>
        </left>
        <vertical/>
        <horizontal/>
      </border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theme="1" tint="4.9989318521683403E-2"/>
        </left>
        <vertical/>
        <horizontal/>
      </border>
    </dxf>
    <dxf>
      <border>
        <left style="thin">
          <color theme="1" tint="4.9989318521683403E-2"/>
        </left>
        <vertical/>
        <horizontal/>
      </border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6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 tint="4.9989318521683403E-2"/>
        </left>
        <vertical/>
        <horizontal/>
      </border>
    </dxf>
    <dxf>
      <border>
        <left style="thin">
          <color theme="1" tint="4.9989318521683403E-2"/>
        </left>
        <vertical/>
        <horizontal/>
      </border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FF"/>
      <color rgb="FFFFFFCC"/>
      <color rgb="FF33CCCC"/>
      <color rgb="FFFFFF99"/>
      <color rgb="FFFF9966"/>
      <color rgb="FF99FF33"/>
      <color rgb="FF28A06F"/>
      <color rgb="FF95B850"/>
      <color rgb="FF9999FF"/>
      <color rgb="FFB2C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9" tint="0.39997558519241921"/>
  </sheetPr>
  <dimension ref="A2:PE276"/>
  <sheetViews>
    <sheetView tabSelected="1" topLeftCell="C7" zoomScale="85" zoomScaleNormal="85" workbookViewId="0">
      <pane xSplit="3" ySplit="4" topLeftCell="F190" activePane="bottomRight" state="frozen"/>
      <selection activeCell="C7" sqref="C7"/>
      <selection pane="topRight" activeCell="F7" sqref="F7"/>
      <selection pane="bottomLeft" activeCell="C11" sqref="C11"/>
      <selection pane="bottomRight" activeCell="C53" sqref="C53:C54"/>
    </sheetView>
  </sheetViews>
  <sheetFormatPr baseColWidth="10" defaultColWidth="9.140625" defaultRowHeight="15" outlineLevelRow="1" x14ac:dyDescent="0.25"/>
  <cols>
    <col min="1" max="2" width="1.85546875" style="8" customWidth="1"/>
    <col min="3" max="3" width="89.85546875" style="8" customWidth="1"/>
    <col min="4" max="4" width="11.85546875" style="8" customWidth="1"/>
    <col min="5" max="5" width="5.5703125" style="5" customWidth="1"/>
    <col min="6" max="15" width="3" style="5" customWidth="1"/>
    <col min="16" max="16" width="3" style="65" customWidth="1"/>
    <col min="17" max="22" width="3" style="5" customWidth="1"/>
    <col min="23" max="23" width="3" style="65" customWidth="1"/>
    <col min="24" max="383" width="3" style="5" customWidth="1"/>
    <col min="384" max="384" width="9.140625" style="5"/>
    <col min="385" max="385" width="9.140625" style="8"/>
    <col min="386" max="387" width="6.42578125" style="3" customWidth="1"/>
    <col min="388" max="389" width="12" style="8" customWidth="1"/>
    <col min="390" max="391" width="6.42578125" style="3" customWidth="1"/>
    <col min="392" max="393" width="12" style="8" customWidth="1"/>
    <col min="394" max="395" width="6.42578125" style="3" customWidth="1"/>
    <col min="396" max="397" width="12" style="8" customWidth="1"/>
    <col min="398" max="399" width="6.42578125" style="3" customWidth="1"/>
    <col min="400" max="401" width="12" style="8" customWidth="1"/>
    <col min="402" max="403" width="6.42578125" style="3" customWidth="1"/>
    <col min="404" max="405" width="12" style="8" customWidth="1"/>
    <col min="406" max="407" width="6.42578125" style="3" customWidth="1"/>
    <col min="408" max="409" width="12" style="8" customWidth="1"/>
    <col min="410" max="410" width="8.7109375" style="3" bestFit="1" customWidth="1"/>
    <col min="411" max="411" width="6" style="3" bestFit="1" customWidth="1"/>
    <col min="412" max="413" width="12" style="8" customWidth="1"/>
    <col min="414" max="415" width="6.42578125" style="3" customWidth="1"/>
    <col min="416" max="417" width="12" style="8" customWidth="1"/>
    <col min="418" max="419" width="6.42578125" style="3" customWidth="1"/>
    <col min="420" max="421" width="12" style="8" customWidth="1"/>
    <col min="422" max="16384" width="9.140625" style="8"/>
  </cols>
  <sheetData>
    <row r="2" spans="1:421" s="3" customFormat="1" ht="35.25" customHeight="1" x14ac:dyDescent="0.25">
      <c r="C2" s="2" t="s">
        <v>3</v>
      </c>
      <c r="D2" s="2"/>
      <c r="E2" s="9"/>
      <c r="F2" s="23">
        <f t="shared" ref="F2:BQ2" si="0">(YEAR(F7)-2000)*100+WEEKNUM(F7)</f>
        <v>1750</v>
      </c>
      <c r="G2" s="23">
        <f t="shared" si="0"/>
        <v>1750</v>
      </c>
      <c r="H2" s="23">
        <f t="shared" si="0"/>
        <v>1751</v>
      </c>
      <c r="I2" s="23">
        <f t="shared" si="0"/>
        <v>1751</v>
      </c>
      <c r="J2" s="23">
        <f t="shared" si="0"/>
        <v>1751</v>
      </c>
      <c r="K2" s="23">
        <f t="shared" si="0"/>
        <v>1751</v>
      </c>
      <c r="L2" s="23">
        <f t="shared" si="0"/>
        <v>1751</v>
      </c>
      <c r="M2" s="23">
        <f t="shared" si="0"/>
        <v>1751</v>
      </c>
      <c r="N2" s="23">
        <f t="shared" si="0"/>
        <v>1751</v>
      </c>
      <c r="O2" s="23">
        <f t="shared" si="0"/>
        <v>1752</v>
      </c>
      <c r="P2" s="63">
        <f t="shared" si="0"/>
        <v>1752</v>
      </c>
      <c r="Q2" s="23">
        <f t="shared" si="0"/>
        <v>1752</v>
      </c>
      <c r="R2" s="23">
        <f t="shared" si="0"/>
        <v>1752</v>
      </c>
      <c r="S2" s="23">
        <f t="shared" si="0"/>
        <v>1752</v>
      </c>
      <c r="T2" s="23">
        <f t="shared" si="0"/>
        <v>1752</v>
      </c>
      <c r="U2" s="23">
        <f t="shared" si="0"/>
        <v>1752</v>
      </c>
      <c r="V2" s="23">
        <f t="shared" si="0"/>
        <v>1753</v>
      </c>
      <c r="W2" s="63">
        <f t="shared" si="0"/>
        <v>1801</v>
      </c>
      <c r="X2" s="23">
        <f t="shared" si="0"/>
        <v>1801</v>
      </c>
      <c r="Y2" s="23">
        <f t="shared" si="0"/>
        <v>1801</v>
      </c>
      <c r="Z2" s="23">
        <f t="shared" si="0"/>
        <v>1801</v>
      </c>
      <c r="AA2" s="23">
        <f t="shared" si="0"/>
        <v>1801</v>
      </c>
      <c r="AB2" s="23">
        <f t="shared" si="0"/>
        <v>1801</v>
      </c>
      <c r="AC2" s="23">
        <f t="shared" si="0"/>
        <v>1802</v>
      </c>
      <c r="AD2" s="23">
        <f t="shared" si="0"/>
        <v>1802</v>
      </c>
      <c r="AE2" s="23">
        <f t="shared" si="0"/>
        <v>1802</v>
      </c>
      <c r="AF2" s="23">
        <f t="shared" si="0"/>
        <v>1802</v>
      </c>
      <c r="AG2" s="23">
        <f t="shared" si="0"/>
        <v>1802</v>
      </c>
      <c r="AH2" s="23">
        <f t="shared" si="0"/>
        <v>1802</v>
      </c>
      <c r="AI2" s="23">
        <f t="shared" si="0"/>
        <v>1802</v>
      </c>
      <c r="AJ2" s="23">
        <f t="shared" si="0"/>
        <v>1803</v>
      </c>
      <c r="AK2" s="23">
        <f t="shared" si="0"/>
        <v>1803</v>
      </c>
      <c r="AL2" s="23">
        <f t="shared" si="0"/>
        <v>1803</v>
      </c>
      <c r="AM2" s="23">
        <f t="shared" si="0"/>
        <v>1803</v>
      </c>
      <c r="AN2" s="23">
        <f t="shared" si="0"/>
        <v>1803</v>
      </c>
      <c r="AO2" s="23">
        <f t="shared" si="0"/>
        <v>1803</v>
      </c>
      <c r="AP2" s="23">
        <f t="shared" si="0"/>
        <v>1803</v>
      </c>
      <c r="AQ2" s="23">
        <f t="shared" si="0"/>
        <v>1804</v>
      </c>
      <c r="AR2" s="23">
        <f t="shared" si="0"/>
        <v>1804</v>
      </c>
      <c r="AS2" s="23">
        <f>(YEAR(F7)-2000)*100+WEEKNUM(F7)</f>
        <v>1750</v>
      </c>
      <c r="AT2" s="23">
        <f t="shared" si="0"/>
        <v>1804</v>
      </c>
      <c r="AU2" s="23">
        <f t="shared" si="0"/>
        <v>1804</v>
      </c>
      <c r="AV2" s="23">
        <f t="shared" si="0"/>
        <v>1804</v>
      </c>
      <c r="AW2" s="23">
        <f t="shared" si="0"/>
        <v>1804</v>
      </c>
      <c r="AX2" s="23">
        <f t="shared" si="0"/>
        <v>1805</v>
      </c>
      <c r="AY2" s="23">
        <f t="shared" si="0"/>
        <v>1805</v>
      </c>
      <c r="AZ2" s="23">
        <f t="shared" si="0"/>
        <v>1805</v>
      </c>
      <c r="BA2" s="23">
        <f t="shared" si="0"/>
        <v>1805</v>
      </c>
      <c r="BB2" s="23">
        <f t="shared" si="0"/>
        <v>1805</v>
      </c>
      <c r="BC2" s="23">
        <f t="shared" si="0"/>
        <v>1805</v>
      </c>
      <c r="BD2" s="23">
        <f t="shared" si="0"/>
        <v>1805</v>
      </c>
      <c r="BE2" s="23">
        <f t="shared" si="0"/>
        <v>1806</v>
      </c>
      <c r="BF2" s="23">
        <f t="shared" si="0"/>
        <v>1806</v>
      </c>
      <c r="BG2" s="23">
        <f t="shared" si="0"/>
        <v>1806</v>
      </c>
      <c r="BH2" s="23">
        <f t="shared" si="0"/>
        <v>1806</v>
      </c>
      <c r="BI2" s="23">
        <f t="shared" si="0"/>
        <v>1806</v>
      </c>
      <c r="BJ2" s="23">
        <f t="shared" si="0"/>
        <v>1806</v>
      </c>
      <c r="BK2" s="23">
        <f t="shared" si="0"/>
        <v>1806</v>
      </c>
      <c r="BL2" s="23">
        <f t="shared" si="0"/>
        <v>1807</v>
      </c>
      <c r="BM2" s="23">
        <f t="shared" si="0"/>
        <v>1807</v>
      </c>
      <c r="BN2" s="23">
        <f t="shared" si="0"/>
        <v>1807</v>
      </c>
      <c r="BO2" s="23">
        <f t="shared" si="0"/>
        <v>1807</v>
      </c>
      <c r="BP2" s="23">
        <f t="shared" si="0"/>
        <v>1807</v>
      </c>
      <c r="BQ2" s="23">
        <f t="shared" si="0"/>
        <v>1807</v>
      </c>
      <c r="BR2" s="23">
        <f t="shared" ref="BR2:EC2" si="1">(YEAR(BR7)-2000)*100+WEEKNUM(BR7)</f>
        <v>1807</v>
      </c>
      <c r="BS2" s="23">
        <f t="shared" si="1"/>
        <v>1808</v>
      </c>
      <c r="BT2" s="23">
        <f t="shared" si="1"/>
        <v>1808</v>
      </c>
      <c r="BU2" s="23">
        <f t="shared" si="1"/>
        <v>1808</v>
      </c>
      <c r="BV2" s="23">
        <f t="shared" si="1"/>
        <v>1808</v>
      </c>
      <c r="BW2" s="23">
        <f t="shared" si="1"/>
        <v>1808</v>
      </c>
      <c r="BX2" s="23">
        <f t="shared" si="1"/>
        <v>1808</v>
      </c>
      <c r="BY2" s="23">
        <f t="shared" si="1"/>
        <v>1808</v>
      </c>
      <c r="BZ2" s="23">
        <f t="shared" si="1"/>
        <v>1809</v>
      </c>
      <c r="CA2" s="23">
        <f t="shared" si="1"/>
        <v>1809</v>
      </c>
      <c r="CB2" s="23">
        <f t="shared" si="1"/>
        <v>1809</v>
      </c>
      <c r="CC2" s="23">
        <f t="shared" si="1"/>
        <v>1809</v>
      </c>
      <c r="CD2" s="23">
        <f t="shared" si="1"/>
        <v>1809</v>
      </c>
      <c r="CE2" s="23">
        <f t="shared" si="1"/>
        <v>1809</v>
      </c>
      <c r="CF2" s="23">
        <f t="shared" si="1"/>
        <v>1809</v>
      </c>
      <c r="CG2" s="23">
        <f t="shared" si="1"/>
        <v>1810</v>
      </c>
      <c r="CH2" s="23">
        <f>(YEAR(AU7)-2000)*100+WEEKNUM(AU7)</f>
        <v>1804</v>
      </c>
      <c r="CI2" s="23">
        <f t="shared" si="1"/>
        <v>1810</v>
      </c>
      <c r="CJ2" s="23">
        <f t="shared" si="1"/>
        <v>1810</v>
      </c>
      <c r="CK2" s="23">
        <f t="shared" si="1"/>
        <v>1810</v>
      </c>
      <c r="CL2" s="23">
        <f t="shared" si="1"/>
        <v>1810</v>
      </c>
      <c r="CM2" s="23">
        <f t="shared" si="1"/>
        <v>1810</v>
      </c>
      <c r="CN2" s="23">
        <f t="shared" si="1"/>
        <v>1811</v>
      </c>
      <c r="CO2" s="23">
        <f t="shared" si="1"/>
        <v>1811</v>
      </c>
      <c r="CP2" s="23">
        <f t="shared" si="1"/>
        <v>1811</v>
      </c>
      <c r="CQ2" s="23">
        <f t="shared" si="1"/>
        <v>1811</v>
      </c>
      <c r="CR2" s="23">
        <f t="shared" si="1"/>
        <v>1811</v>
      </c>
      <c r="CS2" s="23">
        <f t="shared" si="1"/>
        <v>1811</v>
      </c>
      <c r="CT2" s="23">
        <f t="shared" si="1"/>
        <v>1811</v>
      </c>
      <c r="CU2" s="23">
        <f t="shared" si="1"/>
        <v>1812</v>
      </c>
      <c r="CV2" s="23">
        <f t="shared" si="1"/>
        <v>1812</v>
      </c>
      <c r="CW2" s="23">
        <f t="shared" si="1"/>
        <v>1812</v>
      </c>
      <c r="CX2" s="23">
        <f t="shared" si="1"/>
        <v>1812</v>
      </c>
      <c r="CY2" s="23">
        <f t="shared" si="1"/>
        <v>1812</v>
      </c>
      <c r="CZ2" s="23">
        <f t="shared" si="1"/>
        <v>1812</v>
      </c>
      <c r="DA2" s="23">
        <f t="shared" si="1"/>
        <v>1812</v>
      </c>
      <c r="DB2" s="23">
        <f t="shared" si="1"/>
        <v>1813</v>
      </c>
      <c r="DC2" s="23">
        <f t="shared" si="1"/>
        <v>1813</v>
      </c>
      <c r="DD2" s="23">
        <f t="shared" si="1"/>
        <v>1813</v>
      </c>
      <c r="DE2" s="23">
        <f t="shared" si="1"/>
        <v>1813</v>
      </c>
      <c r="DF2" s="23">
        <f t="shared" si="1"/>
        <v>1813</v>
      </c>
      <c r="DG2" s="23">
        <f t="shared" si="1"/>
        <v>1813</v>
      </c>
      <c r="DH2" s="23">
        <f t="shared" si="1"/>
        <v>1813</v>
      </c>
      <c r="DI2" s="23">
        <f t="shared" si="1"/>
        <v>1814</v>
      </c>
      <c r="DJ2" s="23">
        <f t="shared" si="1"/>
        <v>1814</v>
      </c>
      <c r="DK2" s="23">
        <f t="shared" si="1"/>
        <v>1814</v>
      </c>
      <c r="DL2" s="23">
        <f t="shared" si="1"/>
        <v>1814</v>
      </c>
      <c r="DM2" s="23">
        <f t="shared" si="1"/>
        <v>1814</v>
      </c>
      <c r="DN2" s="23">
        <f t="shared" si="1"/>
        <v>1814</v>
      </c>
      <c r="DO2" s="23">
        <f t="shared" si="1"/>
        <v>1814</v>
      </c>
      <c r="DP2" s="23">
        <f t="shared" si="1"/>
        <v>1815</v>
      </c>
      <c r="DQ2" s="23">
        <f t="shared" si="1"/>
        <v>1815</v>
      </c>
      <c r="DR2" s="23">
        <f t="shared" si="1"/>
        <v>1815</v>
      </c>
      <c r="DS2" s="23">
        <f t="shared" si="1"/>
        <v>1815</v>
      </c>
      <c r="DT2" s="23">
        <f t="shared" si="1"/>
        <v>1815</v>
      </c>
      <c r="DU2" s="23">
        <f t="shared" si="1"/>
        <v>1815</v>
      </c>
      <c r="DV2" s="23">
        <f t="shared" si="1"/>
        <v>1815</v>
      </c>
      <c r="DW2" s="23">
        <f t="shared" si="1"/>
        <v>1816</v>
      </c>
      <c r="DX2" s="23">
        <f t="shared" si="1"/>
        <v>1816</v>
      </c>
      <c r="DY2" s="23">
        <f t="shared" si="1"/>
        <v>1816</v>
      </c>
      <c r="DZ2" s="23">
        <f t="shared" si="1"/>
        <v>1816</v>
      </c>
      <c r="EA2" s="23">
        <f t="shared" si="1"/>
        <v>1816</v>
      </c>
      <c r="EB2" s="23">
        <f t="shared" si="1"/>
        <v>1816</v>
      </c>
      <c r="EC2" s="23">
        <f t="shared" si="1"/>
        <v>1816</v>
      </c>
      <c r="ED2" s="23">
        <f t="shared" ref="ED2:GO2" si="2">(YEAR(ED7)-2000)*100+WEEKNUM(ED7)</f>
        <v>1817</v>
      </c>
      <c r="EE2" s="23">
        <f t="shared" si="2"/>
        <v>1817</v>
      </c>
      <c r="EF2" s="23">
        <f t="shared" si="2"/>
        <v>1817</v>
      </c>
      <c r="EG2" s="23">
        <f t="shared" si="2"/>
        <v>1817</v>
      </c>
      <c r="EH2" s="23">
        <f t="shared" si="2"/>
        <v>1817</v>
      </c>
      <c r="EI2" s="23">
        <f t="shared" si="2"/>
        <v>1817</v>
      </c>
      <c r="EJ2" s="23">
        <f t="shared" si="2"/>
        <v>1817</v>
      </c>
      <c r="EK2" s="23">
        <f t="shared" si="2"/>
        <v>1818</v>
      </c>
      <c r="EL2" s="23">
        <f t="shared" si="2"/>
        <v>1818</v>
      </c>
      <c r="EM2" s="23">
        <f t="shared" si="2"/>
        <v>1818</v>
      </c>
      <c r="EN2" s="23">
        <f t="shared" si="2"/>
        <v>1818</v>
      </c>
      <c r="EO2" s="23">
        <f t="shared" si="2"/>
        <v>1818</v>
      </c>
      <c r="EP2" s="23">
        <f t="shared" si="2"/>
        <v>1818</v>
      </c>
      <c r="EQ2" s="23">
        <f t="shared" si="2"/>
        <v>1818</v>
      </c>
      <c r="ER2" s="23">
        <f t="shared" si="2"/>
        <v>1819</v>
      </c>
      <c r="ES2" s="23">
        <f t="shared" si="2"/>
        <v>1819</v>
      </c>
      <c r="ET2" s="23">
        <f t="shared" si="2"/>
        <v>1819</v>
      </c>
      <c r="EU2" s="23">
        <f t="shared" si="2"/>
        <v>1819</v>
      </c>
      <c r="EV2" s="23">
        <f t="shared" si="2"/>
        <v>1819</v>
      </c>
      <c r="EW2" s="23">
        <f t="shared" si="2"/>
        <v>1819</v>
      </c>
      <c r="EX2" s="23">
        <f t="shared" si="2"/>
        <v>1819</v>
      </c>
      <c r="EY2" s="23">
        <f t="shared" si="2"/>
        <v>1820</v>
      </c>
      <c r="EZ2" s="23">
        <f t="shared" si="2"/>
        <v>1820</v>
      </c>
      <c r="FA2" s="23">
        <f t="shared" si="2"/>
        <v>1820</v>
      </c>
      <c r="FB2" s="23">
        <f t="shared" si="2"/>
        <v>1820</v>
      </c>
      <c r="FC2" s="23">
        <f t="shared" si="2"/>
        <v>1820</v>
      </c>
      <c r="FD2" s="23">
        <f t="shared" si="2"/>
        <v>1820</v>
      </c>
      <c r="FE2" s="23">
        <f t="shared" si="2"/>
        <v>1820</v>
      </c>
      <c r="FF2" s="23">
        <f t="shared" si="2"/>
        <v>1821</v>
      </c>
      <c r="FG2" s="23">
        <f t="shared" si="2"/>
        <v>1821</v>
      </c>
      <c r="FH2" s="23">
        <f t="shared" si="2"/>
        <v>1821</v>
      </c>
      <c r="FI2" s="23">
        <f t="shared" si="2"/>
        <v>1821</v>
      </c>
      <c r="FJ2" s="23">
        <f t="shared" si="2"/>
        <v>1821</v>
      </c>
      <c r="FK2" s="23">
        <f t="shared" si="2"/>
        <v>1821</v>
      </c>
      <c r="FL2" s="23">
        <f t="shared" si="2"/>
        <v>1821</v>
      </c>
      <c r="FM2" s="23">
        <f t="shared" si="2"/>
        <v>1822</v>
      </c>
      <c r="FN2" s="23">
        <f t="shared" si="2"/>
        <v>1822</v>
      </c>
      <c r="FO2" s="23">
        <f t="shared" si="2"/>
        <v>1822</v>
      </c>
      <c r="FP2" s="23">
        <f t="shared" si="2"/>
        <v>1822</v>
      </c>
      <c r="FQ2" s="23">
        <f t="shared" si="2"/>
        <v>1822</v>
      </c>
      <c r="FR2" s="23">
        <f t="shared" si="2"/>
        <v>1822</v>
      </c>
      <c r="FS2" s="23">
        <f t="shared" si="2"/>
        <v>1822</v>
      </c>
      <c r="FT2" s="23">
        <f t="shared" si="2"/>
        <v>1823</v>
      </c>
      <c r="FU2" s="23">
        <f t="shared" si="2"/>
        <v>1823</v>
      </c>
      <c r="FV2" s="23">
        <f t="shared" si="2"/>
        <v>1823</v>
      </c>
      <c r="FW2" s="23">
        <f t="shared" si="2"/>
        <v>1823</v>
      </c>
      <c r="FX2" s="23">
        <f t="shared" si="2"/>
        <v>1823</v>
      </c>
      <c r="FY2" s="23">
        <f t="shared" si="2"/>
        <v>1823</v>
      </c>
      <c r="FZ2" s="23">
        <f t="shared" si="2"/>
        <v>1823</v>
      </c>
      <c r="GA2" s="23">
        <f t="shared" si="2"/>
        <v>1824</v>
      </c>
      <c r="GB2" s="23">
        <f t="shared" si="2"/>
        <v>1824</v>
      </c>
      <c r="GC2" s="23">
        <f t="shared" si="2"/>
        <v>1824</v>
      </c>
      <c r="GD2" s="23">
        <f t="shared" si="2"/>
        <v>1824</v>
      </c>
      <c r="GE2" s="23">
        <f t="shared" si="2"/>
        <v>1824</v>
      </c>
      <c r="GF2" s="23">
        <f t="shared" si="2"/>
        <v>1824</v>
      </c>
      <c r="GG2" s="23">
        <f t="shared" si="2"/>
        <v>1824</v>
      </c>
      <c r="GH2" s="23">
        <f t="shared" si="2"/>
        <v>1825</v>
      </c>
      <c r="GI2" s="23">
        <f t="shared" si="2"/>
        <v>1825</v>
      </c>
      <c r="GJ2" s="23">
        <f t="shared" si="2"/>
        <v>1825</v>
      </c>
      <c r="GK2" s="23">
        <f t="shared" si="2"/>
        <v>1825</v>
      </c>
      <c r="GL2" s="23">
        <f t="shared" si="2"/>
        <v>1825</v>
      </c>
      <c r="GM2" s="23">
        <f t="shared" si="2"/>
        <v>1825</v>
      </c>
      <c r="GN2" s="23">
        <f t="shared" si="2"/>
        <v>1825</v>
      </c>
      <c r="GO2" s="23">
        <f t="shared" si="2"/>
        <v>1826</v>
      </c>
      <c r="GP2" s="23">
        <f t="shared" ref="GP2:JA2" si="3">(YEAR(GP7)-2000)*100+WEEKNUM(GP7)</f>
        <v>1826</v>
      </c>
      <c r="GQ2" s="23">
        <f t="shared" si="3"/>
        <v>1826</v>
      </c>
      <c r="GR2" s="23">
        <f t="shared" si="3"/>
        <v>1826</v>
      </c>
      <c r="GS2" s="23">
        <f t="shared" si="3"/>
        <v>1826</v>
      </c>
      <c r="GT2" s="23">
        <f t="shared" si="3"/>
        <v>1826</v>
      </c>
      <c r="GU2" s="23">
        <f t="shared" si="3"/>
        <v>1826</v>
      </c>
      <c r="GV2" s="23">
        <f t="shared" si="3"/>
        <v>1827</v>
      </c>
      <c r="GW2" s="23">
        <f t="shared" si="3"/>
        <v>1827</v>
      </c>
      <c r="GX2" s="23">
        <f t="shared" si="3"/>
        <v>1827</v>
      </c>
      <c r="GY2" s="23">
        <f t="shared" si="3"/>
        <v>1827</v>
      </c>
      <c r="GZ2" s="23">
        <f t="shared" si="3"/>
        <v>1827</v>
      </c>
      <c r="HA2" s="23">
        <f t="shared" si="3"/>
        <v>1827</v>
      </c>
      <c r="HB2" s="23">
        <f t="shared" si="3"/>
        <v>1827</v>
      </c>
      <c r="HC2" s="23">
        <f t="shared" si="3"/>
        <v>1828</v>
      </c>
      <c r="HD2" s="23">
        <f t="shared" si="3"/>
        <v>1828</v>
      </c>
      <c r="HE2" s="23">
        <f t="shared" si="3"/>
        <v>1828</v>
      </c>
      <c r="HF2" s="23">
        <f t="shared" si="3"/>
        <v>1828</v>
      </c>
      <c r="HG2" s="23">
        <f t="shared" si="3"/>
        <v>1828</v>
      </c>
      <c r="HH2" s="23">
        <f t="shared" si="3"/>
        <v>1828</v>
      </c>
      <c r="HI2" s="23">
        <f t="shared" si="3"/>
        <v>1828</v>
      </c>
      <c r="HJ2" s="23">
        <f t="shared" si="3"/>
        <v>1829</v>
      </c>
      <c r="HK2" s="23">
        <f t="shared" si="3"/>
        <v>1829</v>
      </c>
      <c r="HL2" s="23">
        <f t="shared" si="3"/>
        <v>1829</v>
      </c>
      <c r="HM2" s="23">
        <f t="shared" si="3"/>
        <v>1829</v>
      </c>
      <c r="HN2" s="23">
        <f t="shared" si="3"/>
        <v>1829</v>
      </c>
      <c r="HO2" s="23">
        <f t="shared" si="3"/>
        <v>1829</v>
      </c>
      <c r="HP2" s="23">
        <f t="shared" si="3"/>
        <v>1829</v>
      </c>
      <c r="HQ2" s="23">
        <f t="shared" si="3"/>
        <v>1830</v>
      </c>
      <c r="HR2" s="23">
        <f t="shared" si="3"/>
        <v>1830</v>
      </c>
      <c r="HS2" s="23">
        <f t="shared" si="3"/>
        <v>1830</v>
      </c>
      <c r="HT2" s="23">
        <f t="shared" si="3"/>
        <v>1830</v>
      </c>
      <c r="HU2" s="23">
        <f t="shared" si="3"/>
        <v>1830</v>
      </c>
      <c r="HV2" s="23">
        <f t="shared" si="3"/>
        <v>1830</v>
      </c>
      <c r="HW2" s="23">
        <f t="shared" si="3"/>
        <v>1830</v>
      </c>
      <c r="HX2" s="23">
        <f t="shared" si="3"/>
        <v>1831</v>
      </c>
      <c r="HY2" s="23">
        <f t="shared" si="3"/>
        <v>1831</v>
      </c>
      <c r="HZ2" s="23">
        <f t="shared" si="3"/>
        <v>1831</v>
      </c>
      <c r="IA2" s="23">
        <f t="shared" si="3"/>
        <v>1831</v>
      </c>
      <c r="IB2" s="23">
        <f t="shared" si="3"/>
        <v>1831</v>
      </c>
      <c r="IC2" s="23">
        <f t="shared" si="3"/>
        <v>1831</v>
      </c>
      <c r="ID2" s="23">
        <f t="shared" si="3"/>
        <v>1831</v>
      </c>
      <c r="IE2" s="23">
        <f t="shared" si="3"/>
        <v>1832</v>
      </c>
      <c r="IF2" s="23">
        <f t="shared" si="3"/>
        <v>1832</v>
      </c>
      <c r="IG2" s="23">
        <f t="shared" si="3"/>
        <v>1832</v>
      </c>
      <c r="IH2" s="23">
        <f t="shared" si="3"/>
        <v>1832</v>
      </c>
      <c r="II2" s="23">
        <f t="shared" si="3"/>
        <v>1832</v>
      </c>
      <c r="IJ2" s="23">
        <f t="shared" si="3"/>
        <v>1832</v>
      </c>
      <c r="IK2" s="23">
        <f t="shared" si="3"/>
        <v>1832</v>
      </c>
      <c r="IL2" s="23">
        <f t="shared" si="3"/>
        <v>1833</v>
      </c>
      <c r="IM2" s="23">
        <f t="shared" si="3"/>
        <v>1833</v>
      </c>
      <c r="IN2" s="23">
        <f t="shared" si="3"/>
        <v>1833</v>
      </c>
      <c r="IO2" s="23">
        <f t="shared" si="3"/>
        <v>1833</v>
      </c>
      <c r="IP2" s="23">
        <f t="shared" si="3"/>
        <v>1833</v>
      </c>
      <c r="IQ2" s="23">
        <f t="shared" si="3"/>
        <v>1833</v>
      </c>
      <c r="IR2" s="23">
        <f t="shared" si="3"/>
        <v>1833</v>
      </c>
      <c r="IS2" s="23">
        <f t="shared" si="3"/>
        <v>1834</v>
      </c>
      <c r="IT2" s="23">
        <f t="shared" si="3"/>
        <v>1834</v>
      </c>
      <c r="IU2" s="23">
        <f t="shared" si="3"/>
        <v>1834</v>
      </c>
      <c r="IV2" s="23">
        <f t="shared" si="3"/>
        <v>1834</v>
      </c>
      <c r="IW2" s="23">
        <f t="shared" si="3"/>
        <v>1834</v>
      </c>
      <c r="IX2" s="23">
        <f t="shared" si="3"/>
        <v>1834</v>
      </c>
      <c r="IY2" s="23">
        <f t="shared" si="3"/>
        <v>1834</v>
      </c>
      <c r="IZ2" s="23">
        <f t="shared" si="3"/>
        <v>1835</v>
      </c>
      <c r="JA2" s="23">
        <f t="shared" si="3"/>
        <v>1835</v>
      </c>
      <c r="JB2" s="23">
        <f t="shared" ref="JB2:LM2" si="4">(YEAR(JB7)-2000)*100+WEEKNUM(JB7)</f>
        <v>1835</v>
      </c>
      <c r="JC2" s="23">
        <f t="shared" si="4"/>
        <v>1835</v>
      </c>
      <c r="JD2" s="23">
        <f t="shared" si="4"/>
        <v>1835</v>
      </c>
      <c r="JE2" s="23">
        <f t="shared" si="4"/>
        <v>1835</v>
      </c>
      <c r="JF2" s="23">
        <f t="shared" si="4"/>
        <v>1835</v>
      </c>
      <c r="JG2" s="23">
        <f t="shared" si="4"/>
        <v>1836</v>
      </c>
      <c r="JH2" s="23">
        <f t="shared" si="4"/>
        <v>1836</v>
      </c>
      <c r="JI2" s="23">
        <f t="shared" si="4"/>
        <v>1836</v>
      </c>
      <c r="JJ2" s="23">
        <f t="shared" si="4"/>
        <v>1836</v>
      </c>
      <c r="JK2" s="23">
        <f t="shared" si="4"/>
        <v>1836</v>
      </c>
      <c r="JL2" s="23">
        <f t="shared" si="4"/>
        <v>1836</v>
      </c>
      <c r="JM2" s="23">
        <f t="shared" si="4"/>
        <v>1836</v>
      </c>
      <c r="JN2" s="23">
        <f t="shared" si="4"/>
        <v>1837</v>
      </c>
      <c r="JO2" s="23">
        <f t="shared" si="4"/>
        <v>1837</v>
      </c>
      <c r="JP2" s="23">
        <f t="shared" si="4"/>
        <v>1837</v>
      </c>
      <c r="JQ2" s="23">
        <f t="shared" si="4"/>
        <v>1837</v>
      </c>
      <c r="JR2" s="23">
        <f t="shared" si="4"/>
        <v>1837</v>
      </c>
      <c r="JS2" s="23">
        <f t="shared" si="4"/>
        <v>1837</v>
      </c>
      <c r="JT2" s="23">
        <f t="shared" si="4"/>
        <v>1837</v>
      </c>
      <c r="JU2" s="23">
        <f t="shared" si="4"/>
        <v>1838</v>
      </c>
      <c r="JV2" s="23">
        <f t="shared" si="4"/>
        <v>1838</v>
      </c>
      <c r="JW2" s="23">
        <f t="shared" si="4"/>
        <v>1838</v>
      </c>
      <c r="JX2" s="23">
        <f t="shared" si="4"/>
        <v>1838</v>
      </c>
      <c r="JY2" s="23">
        <f t="shared" si="4"/>
        <v>1838</v>
      </c>
      <c r="JZ2" s="23">
        <f t="shared" si="4"/>
        <v>1838</v>
      </c>
      <c r="KA2" s="23">
        <f t="shared" si="4"/>
        <v>1838</v>
      </c>
      <c r="KB2" s="23">
        <f t="shared" si="4"/>
        <v>1839</v>
      </c>
      <c r="KC2" s="23">
        <f t="shared" si="4"/>
        <v>1839</v>
      </c>
      <c r="KD2" s="23">
        <f t="shared" si="4"/>
        <v>1839</v>
      </c>
      <c r="KE2" s="23">
        <f t="shared" si="4"/>
        <v>1839</v>
      </c>
      <c r="KF2" s="23">
        <f t="shared" si="4"/>
        <v>1839</v>
      </c>
      <c r="KG2" s="23">
        <f t="shared" si="4"/>
        <v>1839</v>
      </c>
      <c r="KH2" s="23">
        <f t="shared" si="4"/>
        <v>1839</v>
      </c>
      <c r="KI2" s="23">
        <f t="shared" si="4"/>
        <v>1840</v>
      </c>
      <c r="KJ2" s="23">
        <f t="shared" si="4"/>
        <v>1840</v>
      </c>
      <c r="KK2" s="23">
        <f t="shared" si="4"/>
        <v>1840</v>
      </c>
      <c r="KL2" s="23">
        <f t="shared" si="4"/>
        <v>1840</v>
      </c>
      <c r="KM2" s="23">
        <f t="shared" si="4"/>
        <v>1840</v>
      </c>
      <c r="KN2" s="23">
        <f t="shared" si="4"/>
        <v>1840</v>
      </c>
      <c r="KO2" s="23">
        <f t="shared" si="4"/>
        <v>1840</v>
      </c>
      <c r="KP2" s="23">
        <f t="shared" si="4"/>
        <v>1841</v>
      </c>
      <c r="KQ2" s="23">
        <f t="shared" si="4"/>
        <v>1841</v>
      </c>
      <c r="KR2" s="23">
        <f t="shared" si="4"/>
        <v>1841</v>
      </c>
      <c r="KS2" s="23">
        <f t="shared" si="4"/>
        <v>1841</v>
      </c>
      <c r="KT2" s="23">
        <f t="shared" si="4"/>
        <v>1841</v>
      </c>
      <c r="KU2" s="23">
        <f t="shared" si="4"/>
        <v>1841</v>
      </c>
      <c r="KV2" s="23">
        <f t="shared" si="4"/>
        <v>1841</v>
      </c>
      <c r="KW2" s="23">
        <f t="shared" si="4"/>
        <v>1842</v>
      </c>
      <c r="KX2" s="23">
        <f t="shared" si="4"/>
        <v>1842</v>
      </c>
      <c r="KY2" s="23">
        <f t="shared" si="4"/>
        <v>1842</v>
      </c>
      <c r="KZ2" s="23">
        <f t="shared" si="4"/>
        <v>1842</v>
      </c>
      <c r="LA2" s="23">
        <f t="shared" si="4"/>
        <v>1842</v>
      </c>
      <c r="LB2" s="23">
        <f t="shared" si="4"/>
        <v>1842</v>
      </c>
      <c r="LC2" s="23">
        <f t="shared" si="4"/>
        <v>1842</v>
      </c>
      <c r="LD2" s="23">
        <f t="shared" si="4"/>
        <v>1843</v>
      </c>
      <c r="LE2" s="23">
        <f t="shared" si="4"/>
        <v>1843</v>
      </c>
      <c r="LF2" s="23">
        <f t="shared" si="4"/>
        <v>1843</v>
      </c>
      <c r="LG2" s="23">
        <f t="shared" si="4"/>
        <v>1843</v>
      </c>
      <c r="LH2" s="23">
        <f t="shared" si="4"/>
        <v>1843</v>
      </c>
      <c r="LI2" s="23">
        <f t="shared" si="4"/>
        <v>1843</v>
      </c>
      <c r="LJ2" s="23">
        <f t="shared" si="4"/>
        <v>1843</v>
      </c>
      <c r="LK2" s="23">
        <f t="shared" si="4"/>
        <v>1844</v>
      </c>
      <c r="LL2" s="23">
        <f t="shared" si="4"/>
        <v>1844</v>
      </c>
      <c r="LM2" s="23">
        <f t="shared" si="4"/>
        <v>1844</v>
      </c>
      <c r="LN2" s="23">
        <f t="shared" ref="LN2:NS2" si="5">(YEAR(LN7)-2000)*100+WEEKNUM(LN7)</f>
        <v>1844</v>
      </c>
      <c r="LO2" s="23">
        <f t="shared" si="5"/>
        <v>1844</v>
      </c>
      <c r="LP2" s="23">
        <f t="shared" si="5"/>
        <v>1844</v>
      </c>
      <c r="LQ2" s="23">
        <f t="shared" si="5"/>
        <v>1844</v>
      </c>
      <c r="LR2" s="23">
        <f t="shared" si="5"/>
        <v>1845</v>
      </c>
      <c r="LS2" s="23">
        <f t="shared" si="5"/>
        <v>1845</v>
      </c>
      <c r="LT2" s="23">
        <f t="shared" si="5"/>
        <v>1845</v>
      </c>
      <c r="LU2" s="23">
        <f t="shared" si="5"/>
        <v>1845</v>
      </c>
      <c r="LV2" s="23">
        <f t="shared" si="5"/>
        <v>1845</v>
      </c>
      <c r="LW2" s="23">
        <f t="shared" si="5"/>
        <v>1845</v>
      </c>
      <c r="LX2" s="23">
        <f t="shared" si="5"/>
        <v>1845</v>
      </c>
      <c r="LY2" s="23">
        <f t="shared" si="5"/>
        <v>1846</v>
      </c>
      <c r="LZ2" s="23">
        <f t="shared" si="5"/>
        <v>1846</v>
      </c>
      <c r="MA2" s="23">
        <f t="shared" si="5"/>
        <v>1846</v>
      </c>
      <c r="MB2" s="23">
        <f t="shared" si="5"/>
        <v>1846</v>
      </c>
      <c r="MC2" s="23">
        <f t="shared" si="5"/>
        <v>1846</v>
      </c>
      <c r="MD2" s="23">
        <f t="shared" si="5"/>
        <v>1846</v>
      </c>
      <c r="ME2" s="23">
        <f t="shared" si="5"/>
        <v>1846</v>
      </c>
      <c r="MF2" s="23">
        <f t="shared" si="5"/>
        <v>1847</v>
      </c>
      <c r="MG2" s="23">
        <f t="shared" si="5"/>
        <v>1847</v>
      </c>
      <c r="MH2" s="23">
        <f t="shared" si="5"/>
        <v>1847</v>
      </c>
      <c r="MI2" s="23">
        <f t="shared" si="5"/>
        <v>1847</v>
      </c>
      <c r="MJ2" s="23">
        <f t="shared" si="5"/>
        <v>1847</v>
      </c>
      <c r="MK2" s="23">
        <f t="shared" si="5"/>
        <v>1847</v>
      </c>
      <c r="ML2" s="23">
        <f t="shared" si="5"/>
        <v>1847</v>
      </c>
      <c r="MM2" s="23">
        <f t="shared" si="5"/>
        <v>1848</v>
      </c>
      <c r="MN2" s="23">
        <f t="shared" si="5"/>
        <v>1848</v>
      </c>
      <c r="MO2" s="23">
        <f t="shared" si="5"/>
        <v>1848</v>
      </c>
      <c r="MP2" s="23">
        <f t="shared" si="5"/>
        <v>1848</v>
      </c>
      <c r="MQ2" s="23">
        <f t="shared" si="5"/>
        <v>1848</v>
      </c>
      <c r="MR2" s="23">
        <f t="shared" si="5"/>
        <v>1848</v>
      </c>
      <c r="MS2" s="23">
        <f t="shared" si="5"/>
        <v>1848</v>
      </c>
      <c r="MT2" s="23">
        <f t="shared" si="5"/>
        <v>1849</v>
      </c>
      <c r="MU2" s="23">
        <f t="shared" si="5"/>
        <v>1849</v>
      </c>
      <c r="MV2" s="23">
        <f t="shared" si="5"/>
        <v>1849</v>
      </c>
      <c r="MW2" s="23">
        <f t="shared" si="5"/>
        <v>1849</v>
      </c>
      <c r="MX2" s="23">
        <f t="shared" si="5"/>
        <v>1849</v>
      </c>
      <c r="MY2" s="23">
        <f t="shared" si="5"/>
        <v>1849</v>
      </c>
      <c r="MZ2" s="23">
        <f t="shared" si="5"/>
        <v>1849</v>
      </c>
      <c r="NA2" s="23">
        <f t="shared" si="5"/>
        <v>1850</v>
      </c>
      <c r="NB2" s="23">
        <f t="shared" si="5"/>
        <v>1850</v>
      </c>
      <c r="NC2" s="23">
        <f t="shared" si="5"/>
        <v>1850</v>
      </c>
      <c r="ND2" s="23">
        <f t="shared" si="5"/>
        <v>1850</v>
      </c>
      <c r="NE2" s="23">
        <f t="shared" si="5"/>
        <v>1850</v>
      </c>
      <c r="NF2" s="23">
        <f t="shared" si="5"/>
        <v>1850</v>
      </c>
      <c r="NG2" s="23">
        <f t="shared" si="5"/>
        <v>1850</v>
      </c>
      <c r="NH2" s="23">
        <f t="shared" si="5"/>
        <v>1851</v>
      </c>
      <c r="NI2" s="23">
        <f t="shared" si="5"/>
        <v>1851</v>
      </c>
      <c r="NJ2" s="23">
        <f t="shared" si="5"/>
        <v>1851</v>
      </c>
      <c r="NK2" s="23">
        <f t="shared" si="5"/>
        <v>1851</v>
      </c>
      <c r="NL2" s="23">
        <f t="shared" si="5"/>
        <v>1851</v>
      </c>
      <c r="NM2" s="23">
        <f t="shared" si="5"/>
        <v>1851</v>
      </c>
      <c r="NN2" s="23">
        <f t="shared" si="5"/>
        <v>1851</v>
      </c>
      <c r="NO2" s="23">
        <f t="shared" si="5"/>
        <v>1852</v>
      </c>
      <c r="NP2" s="23">
        <f t="shared" si="5"/>
        <v>1852</v>
      </c>
      <c r="NQ2" s="23">
        <f t="shared" si="5"/>
        <v>1852</v>
      </c>
      <c r="NR2" s="23">
        <f t="shared" si="5"/>
        <v>1852</v>
      </c>
      <c r="NS2" s="23">
        <f t="shared" si="5"/>
        <v>1852</v>
      </c>
      <c r="NT2" s="4"/>
    </row>
    <row r="3" spans="1:421" x14ac:dyDescent="0.25">
      <c r="C3" s="1" t="s">
        <v>2</v>
      </c>
      <c r="D3" s="1"/>
      <c r="E3" s="10"/>
      <c r="F3" s="25"/>
      <c r="G3" s="25">
        <f t="shared" ref="G3:BR3" si="6">IF(MONTH(G7)=MONTH(F7),0,1)</f>
        <v>0</v>
      </c>
      <c r="H3" s="25">
        <f t="shared" si="6"/>
        <v>0</v>
      </c>
      <c r="I3" s="25">
        <f t="shared" si="6"/>
        <v>0</v>
      </c>
      <c r="J3" s="25">
        <f t="shared" si="6"/>
        <v>0</v>
      </c>
      <c r="K3" s="25">
        <f t="shared" si="6"/>
        <v>0</v>
      </c>
      <c r="L3" s="25">
        <f t="shared" si="6"/>
        <v>0</v>
      </c>
      <c r="M3" s="25">
        <f t="shared" si="6"/>
        <v>0</v>
      </c>
      <c r="N3" s="25">
        <f t="shared" si="6"/>
        <v>0</v>
      </c>
      <c r="O3" s="25">
        <f t="shared" si="6"/>
        <v>0</v>
      </c>
      <c r="P3" s="64">
        <f t="shared" si="6"/>
        <v>0</v>
      </c>
      <c r="Q3" s="25">
        <f t="shared" si="6"/>
        <v>0</v>
      </c>
      <c r="R3" s="25">
        <f t="shared" si="6"/>
        <v>0</v>
      </c>
      <c r="S3" s="25">
        <f t="shared" si="6"/>
        <v>0</v>
      </c>
      <c r="T3" s="25">
        <f t="shared" si="6"/>
        <v>0</v>
      </c>
      <c r="U3" s="25">
        <f>IF(MONTH(U7)=MONTH(T7),0,1)</f>
        <v>0</v>
      </c>
      <c r="V3" s="25">
        <f t="shared" si="6"/>
        <v>0</v>
      </c>
      <c r="W3" s="64">
        <f t="shared" si="6"/>
        <v>1</v>
      </c>
      <c r="X3" s="25">
        <f t="shared" si="6"/>
        <v>0</v>
      </c>
      <c r="Y3" s="25">
        <f t="shared" si="6"/>
        <v>0</v>
      </c>
      <c r="Z3" s="25">
        <f t="shared" si="6"/>
        <v>0</v>
      </c>
      <c r="AA3" s="25">
        <f t="shared" si="6"/>
        <v>0</v>
      </c>
      <c r="AB3" s="25">
        <f t="shared" si="6"/>
        <v>0</v>
      </c>
      <c r="AC3" s="25">
        <f t="shared" si="6"/>
        <v>0</v>
      </c>
      <c r="AD3" s="25">
        <f t="shared" si="6"/>
        <v>0</v>
      </c>
      <c r="AE3" s="25">
        <f t="shared" si="6"/>
        <v>0</v>
      </c>
      <c r="AF3" s="25">
        <f t="shared" si="6"/>
        <v>0</v>
      </c>
      <c r="AG3" s="25">
        <f t="shared" si="6"/>
        <v>0</v>
      </c>
      <c r="AH3" s="25">
        <f t="shared" si="6"/>
        <v>0</v>
      </c>
      <c r="AI3" s="25">
        <f t="shared" si="6"/>
        <v>0</v>
      </c>
      <c r="AJ3" s="25">
        <f t="shared" si="6"/>
        <v>0</v>
      </c>
      <c r="AK3" s="25">
        <f t="shared" si="6"/>
        <v>0</v>
      </c>
      <c r="AL3" s="25">
        <f t="shared" si="6"/>
        <v>0</v>
      </c>
      <c r="AM3" s="25">
        <f t="shared" si="6"/>
        <v>0</v>
      </c>
      <c r="AN3" s="25">
        <f t="shared" si="6"/>
        <v>0</v>
      </c>
      <c r="AO3" s="25">
        <f t="shared" si="6"/>
        <v>0</v>
      </c>
      <c r="AP3" s="25">
        <f t="shared" si="6"/>
        <v>0</v>
      </c>
      <c r="AQ3" s="25">
        <f t="shared" si="6"/>
        <v>0</v>
      </c>
      <c r="AR3" s="25">
        <f t="shared" si="6"/>
        <v>0</v>
      </c>
      <c r="AS3" s="25">
        <f>IF(MONTH(F7)=MONTH(AR7),0,1)</f>
        <v>1</v>
      </c>
      <c r="AT3" s="25">
        <f>IF(MONTH(AT7)=MONTH(F7),0,1)</f>
        <v>1</v>
      </c>
      <c r="AU3" s="25">
        <f t="shared" si="6"/>
        <v>0</v>
      </c>
      <c r="AV3" s="25">
        <f>IF(MONTH(AV7)=MONTH(AU7),0,1)</f>
        <v>0</v>
      </c>
      <c r="AW3" s="25">
        <f t="shared" si="6"/>
        <v>0</v>
      </c>
      <c r="AX3" s="25">
        <f t="shared" si="6"/>
        <v>0</v>
      </c>
      <c r="AY3" s="25">
        <f t="shared" si="6"/>
        <v>0</v>
      </c>
      <c r="AZ3" s="25">
        <f>IF(MONTH(AZ7)=MONTH(AY7),0,1)</f>
        <v>0</v>
      </c>
      <c r="BA3" s="25">
        <f t="shared" si="6"/>
        <v>0</v>
      </c>
      <c r="BB3" s="25">
        <f t="shared" si="6"/>
        <v>1</v>
      </c>
      <c r="BC3" s="25">
        <f t="shared" si="6"/>
        <v>0</v>
      </c>
      <c r="BD3" s="25">
        <f t="shared" si="6"/>
        <v>0</v>
      </c>
      <c r="BE3" s="25">
        <f t="shared" si="6"/>
        <v>0</v>
      </c>
      <c r="BF3" s="25">
        <f t="shared" si="6"/>
        <v>0</v>
      </c>
      <c r="BG3" s="25">
        <f t="shared" si="6"/>
        <v>0</v>
      </c>
      <c r="BH3" s="25">
        <f t="shared" si="6"/>
        <v>0</v>
      </c>
      <c r="BI3" s="25">
        <f t="shared" si="6"/>
        <v>0</v>
      </c>
      <c r="BJ3" s="25">
        <f t="shared" si="6"/>
        <v>0</v>
      </c>
      <c r="BK3" s="25">
        <f t="shared" si="6"/>
        <v>0</v>
      </c>
      <c r="BL3" s="25">
        <f t="shared" si="6"/>
        <v>0</v>
      </c>
      <c r="BM3" s="25">
        <f t="shared" si="6"/>
        <v>0</v>
      </c>
      <c r="BN3" s="25">
        <f t="shared" si="6"/>
        <v>0</v>
      </c>
      <c r="BO3" s="25">
        <f t="shared" si="6"/>
        <v>0</v>
      </c>
      <c r="BP3" s="25">
        <f t="shared" si="6"/>
        <v>0</v>
      </c>
      <c r="BQ3" s="25">
        <f t="shared" si="6"/>
        <v>0</v>
      </c>
      <c r="BR3" s="25">
        <f t="shared" si="6"/>
        <v>0</v>
      </c>
      <c r="BS3" s="25">
        <f t="shared" ref="BS3:ED3" si="7">IF(MONTH(BS7)=MONTH(BR7),0,1)</f>
        <v>0</v>
      </c>
      <c r="BT3" s="25">
        <f t="shared" si="7"/>
        <v>0</v>
      </c>
      <c r="BU3" s="25">
        <f t="shared" si="7"/>
        <v>0</v>
      </c>
      <c r="BV3" s="25">
        <f t="shared" si="7"/>
        <v>0</v>
      </c>
      <c r="BW3" s="25">
        <f t="shared" si="7"/>
        <v>0</v>
      </c>
      <c r="BX3" s="25">
        <f t="shared" si="7"/>
        <v>0</v>
      </c>
      <c r="BY3" s="25">
        <f t="shared" si="7"/>
        <v>0</v>
      </c>
      <c r="BZ3" s="25">
        <f t="shared" si="7"/>
        <v>0</v>
      </c>
      <c r="CA3" s="25">
        <f t="shared" si="7"/>
        <v>0</v>
      </c>
      <c r="CB3" s="25">
        <f t="shared" si="7"/>
        <v>0</v>
      </c>
      <c r="CC3" s="25">
        <f t="shared" si="7"/>
        <v>0</v>
      </c>
      <c r="CD3" s="25">
        <f t="shared" si="7"/>
        <v>1</v>
      </c>
      <c r="CE3" s="25">
        <f t="shared" si="7"/>
        <v>0</v>
      </c>
      <c r="CF3" s="25">
        <f t="shared" si="7"/>
        <v>0</v>
      </c>
      <c r="CG3" s="25">
        <f t="shared" si="7"/>
        <v>0</v>
      </c>
      <c r="CH3" s="25">
        <f>IF(MONTH(AU7)=MONTH(CG7),0,1)</f>
        <v>1</v>
      </c>
      <c r="CI3" s="25">
        <f>IF(MONTH(CI7)=MONTH(AU7),0,1)</f>
        <v>1</v>
      </c>
      <c r="CJ3" s="25">
        <f t="shared" si="7"/>
        <v>0</v>
      </c>
      <c r="CK3" s="25">
        <f t="shared" si="7"/>
        <v>0</v>
      </c>
      <c r="CL3" s="25">
        <f t="shared" si="7"/>
        <v>0</v>
      </c>
      <c r="CM3" s="25">
        <f t="shared" si="7"/>
        <v>0</v>
      </c>
      <c r="CN3" s="25">
        <f t="shared" si="7"/>
        <v>0</v>
      </c>
      <c r="CO3" s="25">
        <f t="shared" si="7"/>
        <v>0</v>
      </c>
      <c r="CP3" s="25">
        <f t="shared" si="7"/>
        <v>0</v>
      </c>
      <c r="CQ3" s="25">
        <f t="shared" si="7"/>
        <v>0</v>
      </c>
      <c r="CR3" s="25">
        <f t="shared" si="7"/>
        <v>0</v>
      </c>
      <c r="CS3" s="25">
        <f t="shared" si="7"/>
        <v>0</v>
      </c>
      <c r="CT3" s="25">
        <f t="shared" si="7"/>
        <v>0</v>
      </c>
      <c r="CU3" s="25">
        <f t="shared" si="7"/>
        <v>0</v>
      </c>
      <c r="CV3" s="25">
        <f t="shared" si="7"/>
        <v>0</v>
      </c>
      <c r="CW3" s="25">
        <f t="shared" si="7"/>
        <v>0</v>
      </c>
      <c r="CX3" s="25">
        <f t="shared" si="7"/>
        <v>0</v>
      </c>
      <c r="CY3" s="25">
        <f t="shared" si="7"/>
        <v>0</v>
      </c>
      <c r="CZ3" s="25">
        <f t="shared" si="7"/>
        <v>0</v>
      </c>
      <c r="DA3" s="25">
        <f t="shared" si="7"/>
        <v>0</v>
      </c>
      <c r="DB3" s="25">
        <f t="shared" si="7"/>
        <v>0</v>
      </c>
      <c r="DC3" s="25">
        <f t="shared" si="7"/>
        <v>0</v>
      </c>
      <c r="DD3" s="25">
        <f t="shared" si="7"/>
        <v>0</v>
      </c>
      <c r="DE3" s="25">
        <f t="shared" si="7"/>
        <v>0</v>
      </c>
      <c r="DF3" s="25">
        <f t="shared" si="7"/>
        <v>0</v>
      </c>
      <c r="DG3" s="25">
        <f t="shared" si="7"/>
        <v>0</v>
      </c>
      <c r="DH3" s="25">
        <f t="shared" si="7"/>
        <v>0</v>
      </c>
      <c r="DI3" s="25">
        <f t="shared" si="7"/>
        <v>1</v>
      </c>
      <c r="DJ3" s="25">
        <f t="shared" si="7"/>
        <v>0</v>
      </c>
      <c r="DK3" s="25">
        <f t="shared" si="7"/>
        <v>0</v>
      </c>
      <c r="DL3" s="25">
        <f t="shared" si="7"/>
        <v>0</v>
      </c>
      <c r="DM3" s="25">
        <f t="shared" si="7"/>
        <v>0</v>
      </c>
      <c r="DN3" s="25">
        <f t="shared" si="7"/>
        <v>0</v>
      </c>
      <c r="DO3" s="25">
        <f t="shared" si="7"/>
        <v>0</v>
      </c>
      <c r="DP3" s="25">
        <f t="shared" si="7"/>
        <v>0</v>
      </c>
      <c r="DQ3" s="25">
        <f t="shared" si="7"/>
        <v>0</v>
      </c>
      <c r="DR3" s="25">
        <f t="shared" si="7"/>
        <v>0</v>
      </c>
      <c r="DS3" s="25">
        <f t="shared" si="7"/>
        <v>0</v>
      </c>
      <c r="DT3" s="25">
        <f t="shared" si="7"/>
        <v>0</v>
      </c>
      <c r="DU3" s="25">
        <f t="shared" si="7"/>
        <v>0</v>
      </c>
      <c r="DV3" s="25">
        <f t="shared" si="7"/>
        <v>0</v>
      </c>
      <c r="DW3" s="25">
        <f t="shared" si="7"/>
        <v>0</v>
      </c>
      <c r="DX3" s="25">
        <f t="shared" si="7"/>
        <v>0</v>
      </c>
      <c r="DY3" s="25">
        <f t="shared" si="7"/>
        <v>0</v>
      </c>
      <c r="DZ3" s="25">
        <f t="shared" si="7"/>
        <v>0</v>
      </c>
      <c r="EA3" s="25">
        <f t="shared" si="7"/>
        <v>0</v>
      </c>
      <c r="EB3" s="25">
        <f t="shared" si="7"/>
        <v>0</v>
      </c>
      <c r="EC3" s="25">
        <f t="shared" si="7"/>
        <v>0</v>
      </c>
      <c r="ED3" s="25">
        <f t="shared" si="7"/>
        <v>0</v>
      </c>
      <c r="EE3" s="25">
        <f t="shared" ref="EE3:GP3" si="8">IF(MONTH(EE7)=MONTH(ED7),0,1)</f>
        <v>0</v>
      </c>
      <c r="EF3" s="25">
        <f t="shared" si="8"/>
        <v>0</v>
      </c>
      <c r="EG3" s="25">
        <f t="shared" si="8"/>
        <v>0</v>
      </c>
      <c r="EH3" s="25">
        <f t="shared" si="8"/>
        <v>0</v>
      </c>
      <c r="EI3" s="25">
        <f t="shared" si="8"/>
        <v>0</v>
      </c>
      <c r="EJ3" s="25">
        <f t="shared" si="8"/>
        <v>0</v>
      </c>
      <c r="EK3" s="25">
        <f t="shared" si="8"/>
        <v>0</v>
      </c>
      <c r="EL3" s="25">
        <f t="shared" si="8"/>
        <v>0</v>
      </c>
      <c r="EM3" s="25">
        <f t="shared" si="8"/>
        <v>1</v>
      </c>
      <c r="EN3" s="25">
        <f t="shared" si="8"/>
        <v>0</v>
      </c>
      <c r="EO3" s="25">
        <f t="shared" si="8"/>
        <v>0</v>
      </c>
      <c r="EP3" s="25">
        <f t="shared" si="8"/>
        <v>0</v>
      </c>
      <c r="EQ3" s="25">
        <f t="shared" si="8"/>
        <v>0</v>
      </c>
      <c r="ER3" s="25">
        <f t="shared" si="8"/>
        <v>0</v>
      </c>
      <c r="ES3" s="25">
        <f t="shared" si="8"/>
        <v>0</v>
      </c>
      <c r="ET3" s="25">
        <f t="shared" si="8"/>
        <v>0</v>
      </c>
      <c r="EU3" s="25">
        <f t="shared" si="8"/>
        <v>0</v>
      </c>
      <c r="EV3" s="25">
        <f t="shared" si="8"/>
        <v>0</v>
      </c>
      <c r="EW3" s="25">
        <f t="shared" si="8"/>
        <v>0</v>
      </c>
      <c r="EX3" s="25">
        <f t="shared" si="8"/>
        <v>0</v>
      </c>
      <c r="EY3" s="25">
        <f t="shared" si="8"/>
        <v>0</v>
      </c>
      <c r="EZ3" s="25">
        <f t="shared" si="8"/>
        <v>0</v>
      </c>
      <c r="FA3" s="25">
        <f t="shared" si="8"/>
        <v>0</v>
      </c>
      <c r="FB3" s="25">
        <f t="shared" si="8"/>
        <v>0</v>
      </c>
      <c r="FC3" s="25">
        <f t="shared" si="8"/>
        <v>0</v>
      </c>
      <c r="FD3" s="25">
        <f t="shared" si="8"/>
        <v>0</v>
      </c>
      <c r="FE3" s="25">
        <f t="shared" si="8"/>
        <v>0</v>
      </c>
      <c r="FF3" s="25">
        <f t="shared" si="8"/>
        <v>0</v>
      </c>
      <c r="FG3" s="25">
        <f t="shared" si="8"/>
        <v>0</v>
      </c>
      <c r="FH3" s="25">
        <f t="shared" si="8"/>
        <v>0</v>
      </c>
      <c r="FI3" s="25">
        <f t="shared" si="8"/>
        <v>0</v>
      </c>
      <c r="FJ3" s="25">
        <f t="shared" si="8"/>
        <v>0</v>
      </c>
      <c r="FK3" s="25">
        <f t="shared" si="8"/>
        <v>0</v>
      </c>
      <c r="FL3" s="25">
        <f t="shared" si="8"/>
        <v>0</v>
      </c>
      <c r="FM3" s="25">
        <f t="shared" si="8"/>
        <v>0</v>
      </c>
      <c r="FN3" s="25">
        <f t="shared" si="8"/>
        <v>0</v>
      </c>
      <c r="FO3" s="25">
        <f t="shared" si="8"/>
        <v>0</v>
      </c>
      <c r="FP3" s="25">
        <f t="shared" si="8"/>
        <v>0</v>
      </c>
      <c r="FQ3" s="25">
        <f t="shared" si="8"/>
        <v>0</v>
      </c>
      <c r="FR3" s="25">
        <f t="shared" si="8"/>
        <v>1</v>
      </c>
      <c r="FS3" s="25">
        <f t="shared" si="8"/>
        <v>0</v>
      </c>
      <c r="FT3" s="25">
        <f t="shared" si="8"/>
        <v>0</v>
      </c>
      <c r="FU3" s="25">
        <f t="shared" si="8"/>
        <v>0</v>
      </c>
      <c r="FV3" s="25">
        <f t="shared" si="8"/>
        <v>0</v>
      </c>
      <c r="FW3" s="25">
        <f t="shared" si="8"/>
        <v>0</v>
      </c>
      <c r="FX3" s="25">
        <f t="shared" si="8"/>
        <v>0</v>
      </c>
      <c r="FY3" s="25">
        <f t="shared" si="8"/>
        <v>0</v>
      </c>
      <c r="FZ3" s="25">
        <f t="shared" si="8"/>
        <v>0</v>
      </c>
      <c r="GA3" s="25">
        <f t="shared" si="8"/>
        <v>0</v>
      </c>
      <c r="GB3" s="25">
        <f t="shared" si="8"/>
        <v>0</v>
      </c>
      <c r="GC3" s="25">
        <f t="shared" si="8"/>
        <v>0</v>
      </c>
      <c r="GD3" s="25">
        <f t="shared" si="8"/>
        <v>0</v>
      </c>
      <c r="GE3" s="25">
        <f t="shared" si="8"/>
        <v>0</v>
      </c>
      <c r="GF3" s="25">
        <f t="shared" si="8"/>
        <v>0</v>
      </c>
      <c r="GG3" s="25">
        <f t="shared" si="8"/>
        <v>0</v>
      </c>
      <c r="GH3" s="25">
        <f t="shared" si="8"/>
        <v>0</v>
      </c>
      <c r="GI3" s="25">
        <f t="shared" si="8"/>
        <v>0</v>
      </c>
      <c r="GJ3" s="25">
        <f t="shared" si="8"/>
        <v>0</v>
      </c>
      <c r="GK3" s="25">
        <f t="shared" si="8"/>
        <v>0</v>
      </c>
      <c r="GL3" s="25">
        <f t="shared" si="8"/>
        <v>0</v>
      </c>
      <c r="GM3" s="25">
        <f t="shared" si="8"/>
        <v>0</v>
      </c>
      <c r="GN3" s="25">
        <f t="shared" si="8"/>
        <v>0</v>
      </c>
      <c r="GO3" s="25">
        <f t="shared" si="8"/>
        <v>0</v>
      </c>
      <c r="GP3" s="25">
        <f t="shared" si="8"/>
        <v>0</v>
      </c>
      <c r="GQ3" s="25">
        <f t="shared" ref="GQ3:JB3" si="9">IF(MONTH(GQ7)=MONTH(GP7),0,1)</f>
        <v>0</v>
      </c>
      <c r="GR3" s="25">
        <f t="shared" si="9"/>
        <v>0</v>
      </c>
      <c r="GS3" s="25">
        <f t="shared" si="9"/>
        <v>0</v>
      </c>
      <c r="GT3" s="25">
        <f t="shared" si="9"/>
        <v>0</v>
      </c>
      <c r="GU3" s="25">
        <f t="shared" si="9"/>
        <v>0</v>
      </c>
      <c r="GV3" s="25">
        <f t="shared" si="9"/>
        <v>1</v>
      </c>
      <c r="GW3" s="25">
        <f t="shared" si="9"/>
        <v>0</v>
      </c>
      <c r="GX3" s="25">
        <f t="shared" si="9"/>
        <v>0</v>
      </c>
      <c r="GY3" s="25">
        <f t="shared" si="9"/>
        <v>0</v>
      </c>
      <c r="GZ3" s="25">
        <f t="shared" si="9"/>
        <v>0</v>
      </c>
      <c r="HA3" s="25">
        <f t="shared" si="9"/>
        <v>0</v>
      </c>
      <c r="HB3" s="25">
        <f t="shared" si="9"/>
        <v>0</v>
      </c>
      <c r="HC3" s="25">
        <f t="shared" si="9"/>
        <v>0</v>
      </c>
      <c r="HD3" s="25">
        <f t="shared" si="9"/>
        <v>0</v>
      </c>
      <c r="HE3" s="25">
        <f t="shared" si="9"/>
        <v>0</v>
      </c>
      <c r="HF3" s="25">
        <f t="shared" si="9"/>
        <v>0</v>
      </c>
      <c r="HG3" s="25">
        <f t="shared" si="9"/>
        <v>0</v>
      </c>
      <c r="HH3" s="25">
        <f t="shared" si="9"/>
        <v>0</v>
      </c>
      <c r="HI3" s="25">
        <f t="shared" si="9"/>
        <v>0</v>
      </c>
      <c r="HJ3" s="25">
        <f t="shared" si="9"/>
        <v>0</v>
      </c>
      <c r="HK3" s="25">
        <f t="shared" si="9"/>
        <v>0</v>
      </c>
      <c r="HL3" s="25">
        <f t="shared" si="9"/>
        <v>0</v>
      </c>
      <c r="HM3" s="25">
        <f t="shared" si="9"/>
        <v>0</v>
      </c>
      <c r="HN3" s="25">
        <f t="shared" si="9"/>
        <v>0</v>
      </c>
      <c r="HO3" s="25">
        <f t="shared" si="9"/>
        <v>0</v>
      </c>
      <c r="HP3" s="25">
        <f t="shared" si="9"/>
        <v>0</v>
      </c>
      <c r="HQ3" s="25">
        <f t="shared" si="9"/>
        <v>0</v>
      </c>
      <c r="HR3" s="25">
        <f t="shared" si="9"/>
        <v>0</v>
      </c>
      <c r="HS3" s="25">
        <f t="shared" si="9"/>
        <v>0</v>
      </c>
      <c r="HT3" s="25">
        <f t="shared" si="9"/>
        <v>0</v>
      </c>
      <c r="HU3" s="25">
        <f t="shared" si="9"/>
        <v>0</v>
      </c>
      <c r="HV3" s="25">
        <f t="shared" si="9"/>
        <v>0</v>
      </c>
      <c r="HW3" s="25">
        <f t="shared" si="9"/>
        <v>0</v>
      </c>
      <c r="HX3" s="25">
        <f t="shared" si="9"/>
        <v>0</v>
      </c>
      <c r="HY3" s="25">
        <f t="shared" si="9"/>
        <v>0</v>
      </c>
      <c r="HZ3" s="25">
        <f t="shared" si="9"/>
        <v>0</v>
      </c>
      <c r="IA3" s="25">
        <f t="shared" si="9"/>
        <v>1</v>
      </c>
      <c r="IB3" s="25">
        <f t="shared" si="9"/>
        <v>0</v>
      </c>
      <c r="IC3" s="25">
        <f t="shared" si="9"/>
        <v>0</v>
      </c>
      <c r="ID3" s="25">
        <f t="shared" si="9"/>
        <v>0</v>
      </c>
      <c r="IE3" s="25">
        <f t="shared" si="9"/>
        <v>0</v>
      </c>
      <c r="IF3" s="25">
        <f t="shared" si="9"/>
        <v>0</v>
      </c>
      <c r="IG3" s="25">
        <f t="shared" si="9"/>
        <v>0</v>
      </c>
      <c r="IH3" s="25">
        <f t="shared" si="9"/>
        <v>0</v>
      </c>
      <c r="II3" s="25">
        <f t="shared" si="9"/>
        <v>0</v>
      </c>
      <c r="IJ3" s="25">
        <f t="shared" si="9"/>
        <v>0</v>
      </c>
      <c r="IK3" s="25">
        <f t="shared" si="9"/>
        <v>0</v>
      </c>
      <c r="IL3" s="25">
        <f t="shared" si="9"/>
        <v>0</v>
      </c>
      <c r="IM3" s="25">
        <f t="shared" si="9"/>
        <v>0</v>
      </c>
      <c r="IN3" s="25">
        <f t="shared" si="9"/>
        <v>0</v>
      </c>
      <c r="IO3" s="25">
        <f t="shared" si="9"/>
        <v>0</v>
      </c>
      <c r="IP3" s="25">
        <f t="shared" si="9"/>
        <v>0</v>
      </c>
      <c r="IQ3" s="25">
        <f t="shared" si="9"/>
        <v>0</v>
      </c>
      <c r="IR3" s="25">
        <f t="shared" si="9"/>
        <v>0</v>
      </c>
      <c r="IS3" s="25">
        <f t="shared" si="9"/>
        <v>0</v>
      </c>
      <c r="IT3" s="25">
        <f t="shared" si="9"/>
        <v>0</v>
      </c>
      <c r="IU3" s="25">
        <f t="shared" si="9"/>
        <v>0</v>
      </c>
      <c r="IV3" s="25">
        <f t="shared" si="9"/>
        <v>0</v>
      </c>
      <c r="IW3" s="25">
        <f t="shared" si="9"/>
        <v>0</v>
      </c>
      <c r="IX3" s="25">
        <f t="shared" si="9"/>
        <v>0</v>
      </c>
      <c r="IY3" s="25">
        <f t="shared" si="9"/>
        <v>0</v>
      </c>
      <c r="IZ3" s="25">
        <f t="shared" si="9"/>
        <v>0</v>
      </c>
      <c r="JA3" s="25">
        <f t="shared" si="9"/>
        <v>0</v>
      </c>
      <c r="JB3" s="25">
        <f t="shared" si="9"/>
        <v>0</v>
      </c>
      <c r="JC3" s="25">
        <f t="shared" ref="JC3:LN3" si="10">IF(MONTH(JC7)=MONTH(JB7),0,1)</f>
        <v>0</v>
      </c>
      <c r="JD3" s="25">
        <f t="shared" si="10"/>
        <v>0</v>
      </c>
      <c r="JE3" s="25">
        <f t="shared" si="10"/>
        <v>0</v>
      </c>
      <c r="JF3" s="25">
        <f t="shared" si="10"/>
        <v>1</v>
      </c>
      <c r="JG3" s="25">
        <f t="shared" si="10"/>
        <v>0</v>
      </c>
      <c r="JH3" s="25">
        <f t="shared" si="10"/>
        <v>0</v>
      </c>
      <c r="JI3" s="25">
        <f t="shared" si="10"/>
        <v>0</v>
      </c>
      <c r="JJ3" s="25">
        <f t="shared" si="10"/>
        <v>0</v>
      </c>
      <c r="JK3" s="25">
        <f t="shared" si="10"/>
        <v>0</v>
      </c>
      <c r="JL3" s="25">
        <f t="shared" si="10"/>
        <v>0</v>
      </c>
      <c r="JM3" s="25">
        <f t="shared" si="10"/>
        <v>0</v>
      </c>
      <c r="JN3" s="25">
        <f t="shared" si="10"/>
        <v>0</v>
      </c>
      <c r="JO3" s="25">
        <f t="shared" si="10"/>
        <v>0</v>
      </c>
      <c r="JP3" s="25">
        <f t="shared" si="10"/>
        <v>0</v>
      </c>
      <c r="JQ3" s="25">
        <f t="shared" si="10"/>
        <v>0</v>
      </c>
      <c r="JR3" s="25">
        <f t="shared" si="10"/>
        <v>0</v>
      </c>
      <c r="JS3" s="25">
        <f t="shared" si="10"/>
        <v>0</v>
      </c>
      <c r="JT3" s="25">
        <f t="shared" si="10"/>
        <v>0</v>
      </c>
      <c r="JU3" s="25">
        <f t="shared" si="10"/>
        <v>0</v>
      </c>
      <c r="JV3" s="25">
        <f t="shared" si="10"/>
        <v>0</v>
      </c>
      <c r="JW3" s="25">
        <f t="shared" si="10"/>
        <v>0</v>
      </c>
      <c r="JX3" s="25">
        <f t="shared" si="10"/>
        <v>0</v>
      </c>
      <c r="JY3" s="25">
        <f t="shared" si="10"/>
        <v>0</v>
      </c>
      <c r="JZ3" s="25">
        <f t="shared" si="10"/>
        <v>0</v>
      </c>
      <c r="KA3" s="25">
        <f t="shared" si="10"/>
        <v>0</v>
      </c>
      <c r="KB3" s="25">
        <f t="shared" si="10"/>
        <v>0</v>
      </c>
      <c r="KC3" s="25">
        <f t="shared" si="10"/>
        <v>0</v>
      </c>
      <c r="KD3" s="25">
        <f t="shared" si="10"/>
        <v>0</v>
      </c>
      <c r="KE3" s="25">
        <f t="shared" si="10"/>
        <v>0</v>
      </c>
      <c r="KF3" s="25">
        <f t="shared" si="10"/>
        <v>0</v>
      </c>
      <c r="KG3" s="25">
        <f t="shared" si="10"/>
        <v>0</v>
      </c>
      <c r="KH3" s="25">
        <f t="shared" si="10"/>
        <v>0</v>
      </c>
      <c r="KI3" s="25">
        <f t="shared" si="10"/>
        <v>0</v>
      </c>
      <c r="KJ3" s="25">
        <f t="shared" si="10"/>
        <v>1</v>
      </c>
      <c r="KK3" s="25">
        <f t="shared" si="10"/>
        <v>0</v>
      </c>
      <c r="KL3" s="25">
        <f t="shared" si="10"/>
        <v>0</v>
      </c>
      <c r="KM3" s="25">
        <f t="shared" si="10"/>
        <v>0</v>
      </c>
      <c r="KN3" s="25">
        <f t="shared" si="10"/>
        <v>0</v>
      </c>
      <c r="KO3" s="25">
        <f t="shared" si="10"/>
        <v>0</v>
      </c>
      <c r="KP3" s="25">
        <f t="shared" si="10"/>
        <v>0</v>
      </c>
      <c r="KQ3" s="25">
        <f t="shared" si="10"/>
        <v>0</v>
      </c>
      <c r="KR3" s="25">
        <f t="shared" si="10"/>
        <v>0</v>
      </c>
      <c r="KS3" s="25">
        <f t="shared" si="10"/>
        <v>0</v>
      </c>
      <c r="KT3" s="25">
        <f t="shared" si="10"/>
        <v>0</v>
      </c>
      <c r="KU3" s="25">
        <f t="shared" si="10"/>
        <v>0</v>
      </c>
      <c r="KV3" s="25">
        <f t="shared" si="10"/>
        <v>0</v>
      </c>
      <c r="KW3" s="25">
        <f t="shared" si="10"/>
        <v>0</v>
      </c>
      <c r="KX3" s="25">
        <f t="shared" si="10"/>
        <v>0</v>
      </c>
      <c r="KY3" s="25">
        <f t="shared" si="10"/>
        <v>0</v>
      </c>
      <c r="KZ3" s="25">
        <f t="shared" si="10"/>
        <v>0</v>
      </c>
      <c r="LA3" s="25">
        <f t="shared" si="10"/>
        <v>0</v>
      </c>
      <c r="LB3" s="25">
        <f t="shared" si="10"/>
        <v>0</v>
      </c>
      <c r="LC3" s="25">
        <f t="shared" si="10"/>
        <v>0</v>
      </c>
      <c r="LD3" s="25">
        <f t="shared" si="10"/>
        <v>0</v>
      </c>
      <c r="LE3" s="25">
        <f t="shared" si="10"/>
        <v>0</v>
      </c>
      <c r="LF3" s="25">
        <f t="shared" si="10"/>
        <v>0</v>
      </c>
      <c r="LG3" s="25">
        <f t="shared" si="10"/>
        <v>0</v>
      </c>
      <c r="LH3" s="25">
        <f t="shared" si="10"/>
        <v>0</v>
      </c>
      <c r="LI3" s="25">
        <f t="shared" si="10"/>
        <v>0</v>
      </c>
      <c r="LJ3" s="25">
        <f t="shared" si="10"/>
        <v>0</v>
      </c>
      <c r="LK3" s="25">
        <f t="shared" si="10"/>
        <v>0</v>
      </c>
      <c r="LL3" s="25">
        <f t="shared" si="10"/>
        <v>0</v>
      </c>
      <c r="LM3" s="25">
        <f t="shared" si="10"/>
        <v>0</v>
      </c>
      <c r="LN3" s="25">
        <f t="shared" si="10"/>
        <v>0</v>
      </c>
      <c r="LO3" s="25">
        <f t="shared" ref="LO3:NS3" si="11">IF(MONTH(LO7)=MONTH(LN7),0,1)</f>
        <v>1</v>
      </c>
      <c r="LP3" s="25">
        <f t="shared" si="11"/>
        <v>0</v>
      </c>
      <c r="LQ3" s="25">
        <f t="shared" si="11"/>
        <v>0</v>
      </c>
      <c r="LR3" s="25">
        <f t="shared" si="11"/>
        <v>0</v>
      </c>
      <c r="LS3" s="25">
        <f t="shared" si="11"/>
        <v>0</v>
      </c>
      <c r="LT3" s="25">
        <f t="shared" si="11"/>
        <v>0</v>
      </c>
      <c r="LU3" s="25">
        <f t="shared" si="11"/>
        <v>0</v>
      </c>
      <c r="LV3" s="25">
        <f t="shared" si="11"/>
        <v>0</v>
      </c>
      <c r="LW3" s="25">
        <f t="shared" si="11"/>
        <v>0</v>
      </c>
      <c r="LX3" s="25">
        <f t="shared" si="11"/>
        <v>0</v>
      </c>
      <c r="LY3" s="25">
        <f t="shared" si="11"/>
        <v>0</v>
      </c>
      <c r="LZ3" s="25">
        <f t="shared" si="11"/>
        <v>0</v>
      </c>
      <c r="MA3" s="25">
        <f t="shared" si="11"/>
        <v>0</v>
      </c>
      <c r="MB3" s="25">
        <f t="shared" si="11"/>
        <v>0</v>
      </c>
      <c r="MC3" s="25">
        <f t="shared" si="11"/>
        <v>0</v>
      </c>
      <c r="MD3" s="25">
        <f t="shared" si="11"/>
        <v>0</v>
      </c>
      <c r="ME3" s="25">
        <f t="shared" si="11"/>
        <v>0</v>
      </c>
      <c r="MF3" s="25">
        <f t="shared" si="11"/>
        <v>0</v>
      </c>
      <c r="MG3" s="25">
        <f t="shared" si="11"/>
        <v>0</v>
      </c>
      <c r="MH3" s="25">
        <f t="shared" si="11"/>
        <v>0</v>
      </c>
      <c r="MI3" s="25">
        <f t="shared" si="11"/>
        <v>0</v>
      </c>
      <c r="MJ3" s="25">
        <f t="shared" si="11"/>
        <v>0</v>
      </c>
      <c r="MK3" s="25">
        <f t="shared" si="11"/>
        <v>0</v>
      </c>
      <c r="ML3" s="25">
        <f t="shared" si="11"/>
        <v>0</v>
      </c>
      <c r="MM3" s="25">
        <f t="shared" si="11"/>
        <v>0</v>
      </c>
      <c r="MN3" s="25">
        <f t="shared" si="11"/>
        <v>0</v>
      </c>
      <c r="MO3" s="25">
        <f t="shared" si="11"/>
        <v>0</v>
      </c>
      <c r="MP3" s="25">
        <f t="shared" si="11"/>
        <v>0</v>
      </c>
      <c r="MQ3" s="25">
        <f t="shared" si="11"/>
        <v>0</v>
      </c>
      <c r="MR3" s="25">
        <f t="shared" si="11"/>
        <v>0</v>
      </c>
      <c r="MS3" s="25">
        <f t="shared" si="11"/>
        <v>1</v>
      </c>
      <c r="MT3" s="25">
        <f t="shared" si="11"/>
        <v>0</v>
      </c>
      <c r="MU3" s="25">
        <f t="shared" si="11"/>
        <v>0</v>
      </c>
      <c r="MV3" s="25">
        <f t="shared" si="11"/>
        <v>0</v>
      </c>
      <c r="MW3" s="25">
        <f t="shared" si="11"/>
        <v>0</v>
      </c>
      <c r="MX3" s="25">
        <f t="shared" si="11"/>
        <v>0</v>
      </c>
      <c r="MY3" s="25">
        <f t="shared" si="11"/>
        <v>0</v>
      </c>
      <c r="MZ3" s="25">
        <f t="shared" si="11"/>
        <v>0</v>
      </c>
      <c r="NA3" s="25">
        <f t="shared" si="11"/>
        <v>0</v>
      </c>
      <c r="NB3" s="25">
        <f t="shared" si="11"/>
        <v>0</v>
      </c>
      <c r="NC3" s="25">
        <f t="shared" si="11"/>
        <v>0</v>
      </c>
      <c r="ND3" s="25">
        <f t="shared" si="11"/>
        <v>0</v>
      </c>
      <c r="NE3" s="25">
        <f t="shared" si="11"/>
        <v>0</v>
      </c>
      <c r="NF3" s="25">
        <f t="shared" si="11"/>
        <v>0</v>
      </c>
      <c r="NG3" s="25">
        <f t="shared" si="11"/>
        <v>0</v>
      </c>
      <c r="NH3" s="25">
        <f t="shared" si="11"/>
        <v>0</v>
      </c>
      <c r="NI3" s="25">
        <f t="shared" si="11"/>
        <v>0</v>
      </c>
      <c r="NJ3" s="25">
        <f t="shared" si="11"/>
        <v>0</v>
      </c>
      <c r="NK3" s="25">
        <f t="shared" si="11"/>
        <v>0</v>
      </c>
      <c r="NL3" s="25">
        <f t="shared" si="11"/>
        <v>0</v>
      </c>
      <c r="NM3" s="25">
        <f t="shared" si="11"/>
        <v>0</v>
      </c>
      <c r="NN3" s="25">
        <f t="shared" si="11"/>
        <v>0</v>
      </c>
      <c r="NO3" s="25">
        <f t="shared" si="11"/>
        <v>0</v>
      </c>
      <c r="NP3" s="25">
        <f t="shared" si="11"/>
        <v>0</v>
      </c>
      <c r="NQ3" s="25">
        <f t="shared" si="11"/>
        <v>0</v>
      </c>
      <c r="NR3" s="25">
        <f t="shared" si="11"/>
        <v>0</v>
      </c>
      <c r="NS3" s="25">
        <f t="shared" si="11"/>
        <v>0</v>
      </c>
    </row>
    <row r="6" spans="1:421" ht="15.75" thickBot="1" x14ac:dyDescent="0.3"/>
    <row r="7" spans="1:421" ht="45.75" customHeight="1" thickTop="1" x14ac:dyDescent="0.25">
      <c r="C7" s="121" t="s">
        <v>118</v>
      </c>
      <c r="D7" s="121"/>
      <c r="E7" s="122"/>
      <c r="F7" s="26">
        <v>43084</v>
      </c>
      <c r="G7" s="26">
        <f>F7+1</f>
        <v>43085</v>
      </c>
      <c r="H7" s="26">
        <f t="shared" ref="H7:BS7" si="12">G7+1</f>
        <v>43086</v>
      </c>
      <c r="I7" s="26">
        <f t="shared" si="12"/>
        <v>43087</v>
      </c>
      <c r="J7" s="26">
        <f t="shared" si="12"/>
        <v>43088</v>
      </c>
      <c r="K7" s="26">
        <f t="shared" si="12"/>
        <v>43089</v>
      </c>
      <c r="L7" s="26">
        <f t="shared" si="12"/>
        <v>43090</v>
      </c>
      <c r="M7" s="26">
        <f t="shared" si="12"/>
        <v>43091</v>
      </c>
      <c r="N7" s="26">
        <f t="shared" si="12"/>
        <v>43092</v>
      </c>
      <c r="O7" s="26">
        <f t="shared" si="12"/>
        <v>43093</v>
      </c>
      <c r="P7" s="66">
        <f t="shared" si="12"/>
        <v>43094</v>
      </c>
      <c r="Q7" s="26">
        <f t="shared" si="12"/>
        <v>43095</v>
      </c>
      <c r="R7" s="26">
        <f t="shared" si="12"/>
        <v>43096</v>
      </c>
      <c r="S7" s="26">
        <f t="shared" si="12"/>
        <v>43097</v>
      </c>
      <c r="T7" s="26">
        <f t="shared" si="12"/>
        <v>43098</v>
      </c>
      <c r="U7" s="26">
        <f>T7+1</f>
        <v>43099</v>
      </c>
      <c r="V7" s="26">
        <f t="shared" si="12"/>
        <v>43100</v>
      </c>
      <c r="W7" s="66">
        <f t="shared" si="12"/>
        <v>43101</v>
      </c>
      <c r="X7" s="26">
        <f t="shared" si="12"/>
        <v>43102</v>
      </c>
      <c r="Y7" s="26">
        <f t="shared" si="12"/>
        <v>43103</v>
      </c>
      <c r="Z7" s="26">
        <f t="shared" si="12"/>
        <v>43104</v>
      </c>
      <c r="AA7" s="26">
        <f t="shared" si="12"/>
        <v>43105</v>
      </c>
      <c r="AB7" s="26">
        <f t="shared" si="12"/>
        <v>43106</v>
      </c>
      <c r="AC7" s="26">
        <f t="shared" si="12"/>
        <v>43107</v>
      </c>
      <c r="AD7" s="26">
        <f t="shared" si="12"/>
        <v>43108</v>
      </c>
      <c r="AE7" s="26">
        <f t="shared" si="12"/>
        <v>43109</v>
      </c>
      <c r="AF7" s="26">
        <f t="shared" si="12"/>
        <v>43110</v>
      </c>
      <c r="AG7" s="26">
        <f t="shared" si="12"/>
        <v>43111</v>
      </c>
      <c r="AH7" s="26">
        <f t="shared" si="12"/>
        <v>43112</v>
      </c>
      <c r="AI7" s="26">
        <f t="shared" si="12"/>
        <v>43113</v>
      </c>
      <c r="AJ7" s="26">
        <f t="shared" si="12"/>
        <v>43114</v>
      </c>
      <c r="AK7" s="26">
        <f t="shared" si="12"/>
        <v>43115</v>
      </c>
      <c r="AL7" s="26">
        <f t="shared" si="12"/>
        <v>43116</v>
      </c>
      <c r="AM7" s="26">
        <f t="shared" si="12"/>
        <v>43117</v>
      </c>
      <c r="AN7" s="26">
        <f t="shared" si="12"/>
        <v>43118</v>
      </c>
      <c r="AO7" s="26">
        <f t="shared" si="12"/>
        <v>43119</v>
      </c>
      <c r="AP7" s="26">
        <f t="shared" si="12"/>
        <v>43120</v>
      </c>
      <c r="AQ7" s="26">
        <f t="shared" si="12"/>
        <v>43121</v>
      </c>
      <c r="AR7" s="26">
        <f t="shared" si="12"/>
        <v>43122</v>
      </c>
      <c r="AS7" s="26">
        <f t="shared" si="12"/>
        <v>43123</v>
      </c>
      <c r="AT7" s="26">
        <f t="shared" si="12"/>
        <v>43124</v>
      </c>
      <c r="AU7" s="26">
        <f t="shared" si="12"/>
        <v>43125</v>
      </c>
      <c r="AV7" s="26">
        <f>AU7+1</f>
        <v>43126</v>
      </c>
      <c r="AW7" s="26">
        <f t="shared" si="12"/>
        <v>43127</v>
      </c>
      <c r="AX7" s="26">
        <f t="shared" si="12"/>
        <v>43128</v>
      </c>
      <c r="AY7" s="26">
        <f t="shared" si="12"/>
        <v>43129</v>
      </c>
      <c r="AZ7" s="26">
        <f>AY7+1</f>
        <v>43130</v>
      </c>
      <c r="BA7" s="26">
        <f t="shared" si="12"/>
        <v>43131</v>
      </c>
      <c r="BB7" s="26">
        <f t="shared" si="12"/>
        <v>43132</v>
      </c>
      <c r="BC7" s="26">
        <f t="shared" si="12"/>
        <v>43133</v>
      </c>
      <c r="BD7" s="26">
        <f t="shared" si="12"/>
        <v>43134</v>
      </c>
      <c r="BE7" s="26">
        <f t="shared" si="12"/>
        <v>43135</v>
      </c>
      <c r="BF7" s="26">
        <f t="shared" si="12"/>
        <v>43136</v>
      </c>
      <c r="BG7" s="26">
        <f t="shared" si="12"/>
        <v>43137</v>
      </c>
      <c r="BH7" s="26">
        <f t="shared" si="12"/>
        <v>43138</v>
      </c>
      <c r="BI7" s="26">
        <f t="shared" si="12"/>
        <v>43139</v>
      </c>
      <c r="BJ7" s="26">
        <f t="shared" si="12"/>
        <v>43140</v>
      </c>
      <c r="BK7" s="26">
        <f t="shared" si="12"/>
        <v>43141</v>
      </c>
      <c r="BL7" s="26">
        <f t="shared" si="12"/>
        <v>43142</v>
      </c>
      <c r="BM7" s="26">
        <f t="shared" si="12"/>
        <v>43143</v>
      </c>
      <c r="BN7" s="26">
        <f t="shared" si="12"/>
        <v>43144</v>
      </c>
      <c r="BO7" s="26">
        <f t="shared" si="12"/>
        <v>43145</v>
      </c>
      <c r="BP7" s="26">
        <f t="shared" si="12"/>
        <v>43146</v>
      </c>
      <c r="BQ7" s="26">
        <f t="shared" si="12"/>
        <v>43147</v>
      </c>
      <c r="BR7" s="26">
        <f t="shared" si="12"/>
        <v>43148</v>
      </c>
      <c r="BS7" s="26">
        <f t="shared" si="12"/>
        <v>43149</v>
      </c>
      <c r="BT7" s="26">
        <f t="shared" ref="BT7:EE7" si="13">BS7+1</f>
        <v>43150</v>
      </c>
      <c r="BU7" s="26">
        <f t="shared" si="13"/>
        <v>43151</v>
      </c>
      <c r="BV7" s="26">
        <f t="shared" si="13"/>
        <v>43152</v>
      </c>
      <c r="BW7" s="26">
        <f t="shared" si="13"/>
        <v>43153</v>
      </c>
      <c r="BX7" s="26">
        <f t="shared" si="13"/>
        <v>43154</v>
      </c>
      <c r="BY7" s="26">
        <f t="shared" si="13"/>
        <v>43155</v>
      </c>
      <c r="BZ7" s="26">
        <f t="shared" si="13"/>
        <v>43156</v>
      </c>
      <c r="CA7" s="26">
        <f t="shared" si="13"/>
        <v>43157</v>
      </c>
      <c r="CB7" s="26">
        <f t="shared" si="13"/>
        <v>43158</v>
      </c>
      <c r="CC7" s="26">
        <f t="shared" si="13"/>
        <v>43159</v>
      </c>
      <c r="CD7" s="26">
        <f t="shared" si="13"/>
        <v>43160</v>
      </c>
      <c r="CE7" s="26">
        <f t="shared" si="13"/>
        <v>43161</v>
      </c>
      <c r="CF7" s="26">
        <f t="shared" si="13"/>
        <v>43162</v>
      </c>
      <c r="CG7" s="26">
        <f t="shared" si="13"/>
        <v>43163</v>
      </c>
      <c r="CH7" s="26">
        <f>CG7+1</f>
        <v>43164</v>
      </c>
      <c r="CI7" s="26">
        <f>CH7+1</f>
        <v>43165</v>
      </c>
      <c r="CJ7" s="26">
        <f t="shared" si="13"/>
        <v>43166</v>
      </c>
      <c r="CK7" s="26">
        <f t="shared" si="13"/>
        <v>43167</v>
      </c>
      <c r="CL7" s="26">
        <f t="shared" si="13"/>
        <v>43168</v>
      </c>
      <c r="CM7" s="26">
        <f t="shared" si="13"/>
        <v>43169</v>
      </c>
      <c r="CN7" s="26">
        <f t="shared" si="13"/>
        <v>43170</v>
      </c>
      <c r="CO7" s="26">
        <f t="shared" si="13"/>
        <v>43171</v>
      </c>
      <c r="CP7" s="26">
        <f t="shared" si="13"/>
        <v>43172</v>
      </c>
      <c r="CQ7" s="26">
        <f t="shared" si="13"/>
        <v>43173</v>
      </c>
      <c r="CR7" s="26">
        <f t="shared" si="13"/>
        <v>43174</v>
      </c>
      <c r="CS7" s="26">
        <f t="shared" si="13"/>
        <v>43175</v>
      </c>
      <c r="CT7" s="26">
        <f t="shared" si="13"/>
        <v>43176</v>
      </c>
      <c r="CU7" s="26">
        <f t="shared" si="13"/>
        <v>43177</v>
      </c>
      <c r="CV7" s="26">
        <f t="shared" si="13"/>
        <v>43178</v>
      </c>
      <c r="CW7" s="26">
        <f t="shared" si="13"/>
        <v>43179</v>
      </c>
      <c r="CX7" s="26">
        <f t="shared" si="13"/>
        <v>43180</v>
      </c>
      <c r="CY7" s="26">
        <f t="shared" si="13"/>
        <v>43181</v>
      </c>
      <c r="CZ7" s="26">
        <f t="shared" si="13"/>
        <v>43182</v>
      </c>
      <c r="DA7" s="26">
        <f t="shared" si="13"/>
        <v>43183</v>
      </c>
      <c r="DB7" s="26">
        <f t="shared" si="13"/>
        <v>43184</v>
      </c>
      <c r="DC7" s="26">
        <f t="shared" si="13"/>
        <v>43185</v>
      </c>
      <c r="DD7" s="26">
        <f t="shared" si="13"/>
        <v>43186</v>
      </c>
      <c r="DE7" s="26">
        <f t="shared" si="13"/>
        <v>43187</v>
      </c>
      <c r="DF7" s="26">
        <f t="shared" si="13"/>
        <v>43188</v>
      </c>
      <c r="DG7" s="26">
        <f t="shared" si="13"/>
        <v>43189</v>
      </c>
      <c r="DH7" s="26">
        <f t="shared" si="13"/>
        <v>43190</v>
      </c>
      <c r="DI7" s="26">
        <f t="shared" si="13"/>
        <v>43191</v>
      </c>
      <c r="DJ7" s="26">
        <f t="shared" si="13"/>
        <v>43192</v>
      </c>
      <c r="DK7" s="26">
        <f t="shared" si="13"/>
        <v>43193</v>
      </c>
      <c r="DL7" s="26">
        <f t="shared" si="13"/>
        <v>43194</v>
      </c>
      <c r="DM7" s="26">
        <f t="shared" si="13"/>
        <v>43195</v>
      </c>
      <c r="DN7" s="26">
        <f t="shared" si="13"/>
        <v>43196</v>
      </c>
      <c r="DO7" s="26">
        <f t="shared" si="13"/>
        <v>43197</v>
      </c>
      <c r="DP7" s="26">
        <f t="shared" si="13"/>
        <v>43198</v>
      </c>
      <c r="DQ7" s="26">
        <f t="shared" si="13"/>
        <v>43199</v>
      </c>
      <c r="DR7" s="26">
        <f t="shared" si="13"/>
        <v>43200</v>
      </c>
      <c r="DS7" s="26">
        <f t="shared" si="13"/>
        <v>43201</v>
      </c>
      <c r="DT7" s="26">
        <f t="shared" si="13"/>
        <v>43202</v>
      </c>
      <c r="DU7" s="26">
        <f t="shared" si="13"/>
        <v>43203</v>
      </c>
      <c r="DV7" s="26">
        <f t="shared" si="13"/>
        <v>43204</v>
      </c>
      <c r="DW7" s="26">
        <f t="shared" si="13"/>
        <v>43205</v>
      </c>
      <c r="DX7" s="26">
        <f t="shared" si="13"/>
        <v>43206</v>
      </c>
      <c r="DY7" s="26">
        <f t="shared" si="13"/>
        <v>43207</v>
      </c>
      <c r="DZ7" s="26">
        <f t="shared" si="13"/>
        <v>43208</v>
      </c>
      <c r="EA7" s="26">
        <f t="shared" si="13"/>
        <v>43209</v>
      </c>
      <c r="EB7" s="26">
        <f t="shared" si="13"/>
        <v>43210</v>
      </c>
      <c r="EC7" s="26">
        <f t="shared" si="13"/>
        <v>43211</v>
      </c>
      <c r="ED7" s="26">
        <f t="shared" si="13"/>
        <v>43212</v>
      </c>
      <c r="EE7" s="26">
        <f t="shared" si="13"/>
        <v>43213</v>
      </c>
      <c r="EF7" s="26">
        <f t="shared" ref="EF7:GQ7" si="14">EE7+1</f>
        <v>43214</v>
      </c>
      <c r="EG7" s="26">
        <f t="shared" si="14"/>
        <v>43215</v>
      </c>
      <c r="EH7" s="26">
        <f t="shared" si="14"/>
        <v>43216</v>
      </c>
      <c r="EI7" s="26">
        <f t="shared" si="14"/>
        <v>43217</v>
      </c>
      <c r="EJ7" s="26">
        <f t="shared" si="14"/>
        <v>43218</v>
      </c>
      <c r="EK7" s="26">
        <f t="shared" si="14"/>
        <v>43219</v>
      </c>
      <c r="EL7" s="26">
        <f t="shared" si="14"/>
        <v>43220</v>
      </c>
      <c r="EM7" s="26">
        <f t="shared" si="14"/>
        <v>43221</v>
      </c>
      <c r="EN7" s="26">
        <f t="shared" si="14"/>
        <v>43222</v>
      </c>
      <c r="EO7" s="26">
        <f t="shared" si="14"/>
        <v>43223</v>
      </c>
      <c r="EP7" s="26">
        <f t="shared" si="14"/>
        <v>43224</v>
      </c>
      <c r="EQ7" s="26">
        <f t="shared" si="14"/>
        <v>43225</v>
      </c>
      <c r="ER7" s="26">
        <f t="shared" si="14"/>
        <v>43226</v>
      </c>
      <c r="ES7" s="26">
        <f t="shared" si="14"/>
        <v>43227</v>
      </c>
      <c r="ET7" s="26">
        <f t="shared" si="14"/>
        <v>43228</v>
      </c>
      <c r="EU7" s="26">
        <f t="shared" si="14"/>
        <v>43229</v>
      </c>
      <c r="EV7" s="26">
        <f t="shared" si="14"/>
        <v>43230</v>
      </c>
      <c r="EW7" s="26">
        <f t="shared" si="14"/>
        <v>43231</v>
      </c>
      <c r="EX7" s="26">
        <f t="shared" si="14"/>
        <v>43232</v>
      </c>
      <c r="EY7" s="26">
        <f t="shared" si="14"/>
        <v>43233</v>
      </c>
      <c r="EZ7" s="26">
        <f t="shared" si="14"/>
        <v>43234</v>
      </c>
      <c r="FA7" s="26">
        <f t="shared" si="14"/>
        <v>43235</v>
      </c>
      <c r="FB7" s="26">
        <f t="shared" si="14"/>
        <v>43236</v>
      </c>
      <c r="FC7" s="26">
        <f t="shared" si="14"/>
        <v>43237</v>
      </c>
      <c r="FD7" s="26">
        <f t="shared" si="14"/>
        <v>43238</v>
      </c>
      <c r="FE7" s="26">
        <f t="shared" si="14"/>
        <v>43239</v>
      </c>
      <c r="FF7" s="26">
        <f t="shared" si="14"/>
        <v>43240</v>
      </c>
      <c r="FG7" s="26">
        <f t="shared" si="14"/>
        <v>43241</v>
      </c>
      <c r="FH7" s="26">
        <f t="shared" si="14"/>
        <v>43242</v>
      </c>
      <c r="FI7" s="26">
        <f t="shared" si="14"/>
        <v>43243</v>
      </c>
      <c r="FJ7" s="26">
        <f t="shared" si="14"/>
        <v>43244</v>
      </c>
      <c r="FK7" s="26">
        <f t="shared" si="14"/>
        <v>43245</v>
      </c>
      <c r="FL7" s="26">
        <f t="shared" si="14"/>
        <v>43246</v>
      </c>
      <c r="FM7" s="26">
        <f t="shared" si="14"/>
        <v>43247</v>
      </c>
      <c r="FN7" s="26">
        <f t="shared" si="14"/>
        <v>43248</v>
      </c>
      <c r="FO7" s="26">
        <f t="shared" si="14"/>
        <v>43249</v>
      </c>
      <c r="FP7" s="26">
        <f t="shared" si="14"/>
        <v>43250</v>
      </c>
      <c r="FQ7" s="26">
        <f t="shared" si="14"/>
        <v>43251</v>
      </c>
      <c r="FR7" s="26">
        <f t="shared" si="14"/>
        <v>43252</v>
      </c>
      <c r="FS7" s="26">
        <f t="shared" si="14"/>
        <v>43253</v>
      </c>
      <c r="FT7" s="26">
        <f t="shared" si="14"/>
        <v>43254</v>
      </c>
      <c r="FU7" s="26">
        <f t="shared" si="14"/>
        <v>43255</v>
      </c>
      <c r="FV7" s="26">
        <f t="shared" si="14"/>
        <v>43256</v>
      </c>
      <c r="FW7" s="26">
        <f t="shared" si="14"/>
        <v>43257</v>
      </c>
      <c r="FX7" s="26">
        <f t="shared" si="14"/>
        <v>43258</v>
      </c>
      <c r="FY7" s="26">
        <f t="shared" si="14"/>
        <v>43259</v>
      </c>
      <c r="FZ7" s="26">
        <f t="shared" si="14"/>
        <v>43260</v>
      </c>
      <c r="GA7" s="26">
        <f t="shared" si="14"/>
        <v>43261</v>
      </c>
      <c r="GB7" s="26">
        <f t="shared" si="14"/>
        <v>43262</v>
      </c>
      <c r="GC7" s="26">
        <f t="shared" si="14"/>
        <v>43263</v>
      </c>
      <c r="GD7" s="26">
        <f t="shared" si="14"/>
        <v>43264</v>
      </c>
      <c r="GE7" s="26">
        <f t="shared" si="14"/>
        <v>43265</v>
      </c>
      <c r="GF7" s="26">
        <f t="shared" si="14"/>
        <v>43266</v>
      </c>
      <c r="GG7" s="26">
        <f t="shared" si="14"/>
        <v>43267</v>
      </c>
      <c r="GH7" s="26">
        <f t="shared" si="14"/>
        <v>43268</v>
      </c>
      <c r="GI7" s="26">
        <f t="shared" si="14"/>
        <v>43269</v>
      </c>
      <c r="GJ7" s="26">
        <f t="shared" si="14"/>
        <v>43270</v>
      </c>
      <c r="GK7" s="26">
        <f t="shared" si="14"/>
        <v>43271</v>
      </c>
      <c r="GL7" s="26">
        <f t="shared" si="14"/>
        <v>43272</v>
      </c>
      <c r="GM7" s="26">
        <f t="shared" si="14"/>
        <v>43273</v>
      </c>
      <c r="GN7" s="26">
        <f t="shared" si="14"/>
        <v>43274</v>
      </c>
      <c r="GO7" s="26">
        <f t="shared" si="14"/>
        <v>43275</v>
      </c>
      <c r="GP7" s="26">
        <f t="shared" si="14"/>
        <v>43276</v>
      </c>
      <c r="GQ7" s="26">
        <f t="shared" si="14"/>
        <v>43277</v>
      </c>
      <c r="GR7" s="26">
        <f t="shared" ref="GR7:JC7" si="15">GQ7+1</f>
        <v>43278</v>
      </c>
      <c r="GS7" s="26">
        <f t="shared" si="15"/>
        <v>43279</v>
      </c>
      <c r="GT7" s="26">
        <f t="shared" si="15"/>
        <v>43280</v>
      </c>
      <c r="GU7" s="26">
        <f t="shared" si="15"/>
        <v>43281</v>
      </c>
      <c r="GV7" s="26">
        <f t="shared" si="15"/>
        <v>43282</v>
      </c>
      <c r="GW7" s="26">
        <f t="shared" si="15"/>
        <v>43283</v>
      </c>
      <c r="GX7" s="26">
        <f t="shared" si="15"/>
        <v>43284</v>
      </c>
      <c r="GY7" s="26">
        <f t="shared" si="15"/>
        <v>43285</v>
      </c>
      <c r="GZ7" s="26">
        <f t="shared" si="15"/>
        <v>43286</v>
      </c>
      <c r="HA7" s="26">
        <f t="shared" si="15"/>
        <v>43287</v>
      </c>
      <c r="HB7" s="26">
        <f t="shared" si="15"/>
        <v>43288</v>
      </c>
      <c r="HC7" s="26">
        <f t="shared" si="15"/>
        <v>43289</v>
      </c>
      <c r="HD7" s="26">
        <f t="shared" si="15"/>
        <v>43290</v>
      </c>
      <c r="HE7" s="26">
        <f t="shared" si="15"/>
        <v>43291</v>
      </c>
      <c r="HF7" s="26">
        <f t="shared" si="15"/>
        <v>43292</v>
      </c>
      <c r="HG7" s="26">
        <f t="shared" si="15"/>
        <v>43293</v>
      </c>
      <c r="HH7" s="26">
        <f t="shared" si="15"/>
        <v>43294</v>
      </c>
      <c r="HI7" s="26">
        <f t="shared" si="15"/>
        <v>43295</v>
      </c>
      <c r="HJ7" s="26">
        <f t="shared" si="15"/>
        <v>43296</v>
      </c>
      <c r="HK7" s="26">
        <f t="shared" si="15"/>
        <v>43297</v>
      </c>
      <c r="HL7" s="26">
        <f t="shared" si="15"/>
        <v>43298</v>
      </c>
      <c r="HM7" s="26">
        <f t="shared" si="15"/>
        <v>43299</v>
      </c>
      <c r="HN7" s="26">
        <f t="shared" si="15"/>
        <v>43300</v>
      </c>
      <c r="HO7" s="26">
        <f t="shared" si="15"/>
        <v>43301</v>
      </c>
      <c r="HP7" s="26">
        <f t="shared" si="15"/>
        <v>43302</v>
      </c>
      <c r="HQ7" s="26">
        <f t="shared" si="15"/>
        <v>43303</v>
      </c>
      <c r="HR7" s="26">
        <f t="shared" si="15"/>
        <v>43304</v>
      </c>
      <c r="HS7" s="26">
        <f t="shared" si="15"/>
        <v>43305</v>
      </c>
      <c r="HT7" s="26">
        <f t="shared" si="15"/>
        <v>43306</v>
      </c>
      <c r="HU7" s="26">
        <f t="shared" si="15"/>
        <v>43307</v>
      </c>
      <c r="HV7" s="26">
        <f t="shared" si="15"/>
        <v>43308</v>
      </c>
      <c r="HW7" s="26">
        <f t="shared" si="15"/>
        <v>43309</v>
      </c>
      <c r="HX7" s="26">
        <f t="shared" si="15"/>
        <v>43310</v>
      </c>
      <c r="HY7" s="26">
        <f t="shared" si="15"/>
        <v>43311</v>
      </c>
      <c r="HZ7" s="26">
        <f t="shared" si="15"/>
        <v>43312</v>
      </c>
      <c r="IA7" s="26">
        <f t="shared" si="15"/>
        <v>43313</v>
      </c>
      <c r="IB7" s="26">
        <f t="shared" si="15"/>
        <v>43314</v>
      </c>
      <c r="IC7" s="26">
        <f t="shared" si="15"/>
        <v>43315</v>
      </c>
      <c r="ID7" s="26">
        <f t="shared" si="15"/>
        <v>43316</v>
      </c>
      <c r="IE7" s="26">
        <f t="shared" si="15"/>
        <v>43317</v>
      </c>
      <c r="IF7" s="26">
        <f t="shared" si="15"/>
        <v>43318</v>
      </c>
      <c r="IG7" s="26">
        <f t="shared" si="15"/>
        <v>43319</v>
      </c>
      <c r="IH7" s="26">
        <f t="shared" si="15"/>
        <v>43320</v>
      </c>
      <c r="II7" s="26">
        <f t="shared" si="15"/>
        <v>43321</v>
      </c>
      <c r="IJ7" s="26">
        <f t="shared" si="15"/>
        <v>43322</v>
      </c>
      <c r="IK7" s="26">
        <f t="shared" si="15"/>
        <v>43323</v>
      </c>
      <c r="IL7" s="26">
        <f t="shared" si="15"/>
        <v>43324</v>
      </c>
      <c r="IM7" s="26">
        <f t="shared" si="15"/>
        <v>43325</v>
      </c>
      <c r="IN7" s="26">
        <f t="shared" si="15"/>
        <v>43326</v>
      </c>
      <c r="IO7" s="26">
        <f t="shared" si="15"/>
        <v>43327</v>
      </c>
      <c r="IP7" s="26">
        <f t="shared" si="15"/>
        <v>43328</v>
      </c>
      <c r="IQ7" s="26">
        <f t="shared" si="15"/>
        <v>43329</v>
      </c>
      <c r="IR7" s="26">
        <f t="shared" si="15"/>
        <v>43330</v>
      </c>
      <c r="IS7" s="26">
        <f t="shared" si="15"/>
        <v>43331</v>
      </c>
      <c r="IT7" s="26">
        <f t="shared" si="15"/>
        <v>43332</v>
      </c>
      <c r="IU7" s="26">
        <f t="shared" si="15"/>
        <v>43333</v>
      </c>
      <c r="IV7" s="26">
        <f t="shared" si="15"/>
        <v>43334</v>
      </c>
      <c r="IW7" s="26">
        <f t="shared" si="15"/>
        <v>43335</v>
      </c>
      <c r="IX7" s="26">
        <f t="shared" si="15"/>
        <v>43336</v>
      </c>
      <c r="IY7" s="26">
        <f t="shared" si="15"/>
        <v>43337</v>
      </c>
      <c r="IZ7" s="26">
        <f t="shared" si="15"/>
        <v>43338</v>
      </c>
      <c r="JA7" s="26">
        <f t="shared" si="15"/>
        <v>43339</v>
      </c>
      <c r="JB7" s="26">
        <f t="shared" si="15"/>
        <v>43340</v>
      </c>
      <c r="JC7" s="26">
        <f t="shared" si="15"/>
        <v>43341</v>
      </c>
      <c r="JD7" s="26">
        <f t="shared" ref="JD7:LO7" si="16">JC7+1</f>
        <v>43342</v>
      </c>
      <c r="JE7" s="26">
        <f t="shared" si="16"/>
        <v>43343</v>
      </c>
      <c r="JF7" s="26">
        <f t="shared" si="16"/>
        <v>43344</v>
      </c>
      <c r="JG7" s="26">
        <f t="shared" si="16"/>
        <v>43345</v>
      </c>
      <c r="JH7" s="26">
        <f t="shared" si="16"/>
        <v>43346</v>
      </c>
      <c r="JI7" s="26">
        <f t="shared" si="16"/>
        <v>43347</v>
      </c>
      <c r="JJ7" s="26">
        <f t="shared" si="16"/>
        <v>43348</v>
      </c>
      <c r="JK7" s="26">
        <f t="shared" si="16"/>
        <v>43349</v>
      </c>
      <c r="JL7" s="26">
        <f t="shared" si="16"/>
        <v>43350</v>
      </c>
      <c r="JM7" s="26">
        <f t="shared" si="16"/>
        <v>43351</v>
      </c>
      <c r="JN7" s="26">
        <f t="shared" si="16"/>
        <v>43352</v>
      </c>
      <c r="JO7" s="26">
        <f t="shared" si="16"/>
        <v>43353</v>
      </c>
      <c r="JP7" s="26">
        <f t="shared" si="16"/>
        <v>43354</v>
      </c>
      <c r="JQ7" s="26">
        <f t="shared" si="16"/>
        <v>43355</v>
      </c>
      <c r="JR7" s="26">
        <f t="shared" si="16"/>
        <v>43356</v>
      </c>
      <c r="JS7" s="26">
        <f t="shared" si="16"/>
        <v>43357</v>
      </c>
      <c r="JT7" s="26">
        <f t="shared" si="16"/>
        <v>43358</v>
      </c>
      <c r="JU7" s="26">
        <f t="shared" si="16"/>
        <v>43359</v>
      </c>
      <c r="JV7" s="26">
        <f t="shared" si="16"/>
        <v>43360</v>
      </c>
      <c r="JW7" s="26">
        <f t="shared" si="16"/>
        <v>43361</v>
      </c>
      <c r="JX7" s="26">
        <f t="shared" si="16"/>
        <v>43362</v>
      </c>
      <c r="JY7" s="26">
        <f t="shared" si="16"/>
        <v>43363</v>
      </c>
      <c r="JZ7" s="26">
        <f t="shared" si="16"/>
        <v>43364</v>
      </c>
      <c r="KA7" s="26">
        <f t="shared" si="16"/>
        <v>43365</v>
      </c>
      <c r="KB7" s="26">
        <f t="shared" si="16"/>
        <v>43366</v>
      </c>
      <c r="KC7" s="26">
        <f t="shared" si="16"/>
        <v>43367</v>
      </c>
      <c r="KD7" s="26">
        <f t="shared" si="16"/>
        <v>43368</v>
      </c>
      <c r="KE7" s="26">
        <f t="shared" si="16"/>
        <v>43369</v>
      </c>
      <c r="KF7" s="26">
        <f t="shared" si="16"/>
        <v>43370</v>
      </c>
      <c r="KG7" s="26">
        <f t="shared" si="16"/>
        <v>43371</v>
      </c>
      <c r="KH7" s="26">
        <f t="shared" si="16"/>
        <v>43372</v>
      </c>
      <c r="KI7" s="26">
        <f t="shared" si="16"/>
        <v>43373</v>
      </c>
      <c r="KJ7" s="26">
        <f t="shared" si="16"/>
        <v>43374</v>
      </c>
      <c r="KK7" s="26">
        <f t="shared" si="16"/>
        <v>43375</v>
      </c>
      <c r="KL7" s="26">
        <f t="shared" si="16"/>
        <v>43376</v>
      </c>
      <c r="KM7" s="26">
        <f t="shared" si="16"/>
        <v>43377</v>
      </c>
      <c r="KN7" s="26">
        <f t="shared" si="16"/>
        <v>43378</v>
      </c>
      <c r="KO7" s="26">
        <f t="shared" si="16"/>
        <v>43379</v>
      </c>
      <c r="KP7" s="26">
        <f t="shared" si="16"/>
        <v>43380</v>
      </c>
      <c r="KQ7" s="26">
        <f t="shared" si="16"/>
        <v>43381</v>
      </c>
      <c r="KR7" s="26">
        <f t="shared" si="16"/>
        <v>43382</v>
      </c>
      <c r="KS7" s="26">
        <f t="shared" si="16"/>
        <v>43383</v>
      </c>
      <c r="KT7" s="26">
        <f t="shared" si="16"/>
        <v>43384</v>
      </c>
      <c r="KU7" s="26">
        <f t="shared" si="16"/>
        <v>43385</v>
      </c>
      <c r="KV7" s="26">
        <f t="shared" si="16"/>
        <v>43386</v>
      </c>
      <c r="KW7" s="26">
        <f t="shared" si="16"/>
        <v>43387</v>
      </c>
      <c r="KX7" s="26">
        <f t="shared" si="16"/>
        <v>43388</v>
      </c>
      <c r="KY7" s="26">
        <f t="shared" si="16"/>
        <v>43389</v>
      </c>
      <c r="KZ7" s="26">
        <f t="shared" si="16"/>
        <v>43390</v>
      </c>
      <c r="LA7" s="26">
        <f t="shared" si="16"/>
        <v>43391</v>
      </c>
      <c r="LB7" s="26">
        <f t="shared" si="16"/>
        <v>43392</v>
      </c>
      <c r="LC7" s="26">
        <f t="shared" si="16"/>
        <v>43393</v>
      </c>
      <c r="LD7" s="26">
        <f t="shared" si="16"/>
        <v>43394</v>
      </c>
      <c r="LE7" s="26">
        <f t="shared" si="16"/>
        <v>43395</v>
      </c>
      <c r="LF7" s="26">
        <f t="shared" si="16"/>
        <v>43396</v>
      </c>
      <c r="LG7" s="26">
        <f t="shared" si="16"/>
        <v>43397</v>
      </c>
      <c r="LH7" s="26">
        <f t="shared" si="16"/>
        <v>43398</v>
      </c>
      <c r="LI7" s="26">
        <f t="shared" si="16"/>
        <v>43399</v>
      </c>
      <c r="LJ7" s="26">
        <f t="shared" si="16"/>
        <v>43400</v>
      </c>
      <c r="LK7" s="26">
        <f t="shared" si="16"/>
        <v>43401</v>
      </c>
      <c r="LL7" s="26">
        <f t="shared" si="16"/>
        <v>43402</v>
      </c>
      <c r="LM7" s="26">
        <f t="shared" si="16"/>
        <v>43403</v>
      </c>
      <c r="LN7" s="26">
        <f t="shared" si="16"/>
        <v>43404</v>
      </c>
      <c r="LO7" s="26">
        <f t="shared" si="16"/>
        <v>43405</v>
      </c>
      <c r="LP7" s="26">
        <f t="shared" ref="LP7:NS7" si="17">LO7+1</f>
        <v>43406</v>
      </c>
      <c r="LQ7" s="26">
        <f t="shared" si="17"/>
        <v>43407</v>
      </c>
      <c r="LR7" s="26">
        <f t="shared" si="17"/>
        <v>43408</v>
      </c>
      <c r="LS7" s="26">
        <f t="shared" si="17"/>
        <v>43409</v>
      </c>
      <c r="LT7" s="26">
        <f t="shared" si="17"/>
        <v>43410</v>
      </c>
      <c r="LU7" s="26">
        <f t="shared" si="17"/>
        <v>43411</v>
      </c>
      <c r="LV7" s="26">
        <f t="shared" si="17"/>
        <v>43412</v>
      </c>
      <c r="LW7" s="26">
        <f t="shared" si="17"/>
        <v>43413</v>
      </c>
      <c r="LX7" s="26">
        <f t="shared" si="17"/>
        <v>43414</v>
      </c>
      <c r="LY7" s="26">
        <f t="shared" si="17"/>
        <v>43415</v>
      </c>
      <c r="LZ7" s="26">
        <f t="shared" si="17"/>
        <v>43416</v>
      </c>
      <c r="MA7" s="26">
        <f t="shared" si="17"/>
        <v>43417</v>
      </c>
      <c r="MB7" s="26">
        <f t="shared" si="17"/>
        <v>43418</v>
      </c>
      <c r="MC7" s="26">
        <f t="shared" si="17"/>
        <v>43419</v>
      </c>
      <c r="MD7" s="26">
        <f t="shared" si="17"/>
        <v>43420</v>
      </c>
      <c r="ME7" s="26">
        <f t="shared" si="17"/>
        <v>43421</v>
      </c>
      <c r="MF7" s="26">
        <f t="shared" si="17"/>
        <v>43422</v>
      </c>
      <c r="MG7" s="26">
        <f t="shared" si="17"/>
        <v>43423</v>
      </c>
      <c r="MH7" s="26">
        <f t="shared" si="17"/>
        <v>43424</v>
      </c>
      <c r="MI7" s="26">
        <f t="shared" si="17"/>
        <v>43425</v>
      </c>
      <c r="MJ7" s="26">
        <f t="shared" si="17"/>
        <v>43426</v>
      </c>
      <c r="MK7" s="26">
        <f t="shared" si="17"/>
        <v>43427</v>
      </c>
      <c r="ML7" s="26">
        <f t="shared" si="17"/>
        <v>43428</v>
      </c>
      <c r="MM7" s="26">
        <f t="shared" si="17"/>
        <v>43429</v>
      </c>
      <c r="MN7" s="26">
        <f t="shared" si="17"/>
        <v>43430</v>
      </c>
      <c r="MO7" s="26">
        <f t="shared" si="17"/>
        <v>43431</v>
      </c>
      <c r="MP7" s="26">
        <f t="shared" si="17"/>
        <v>43432</v>
      </c>
      <c r="MQ7" s="26">
        <f t="shared" si="17"/>
        <v>43433</v>
      </c>
      <c r="MR7" s="26">
        <f t="shared" si="17"/>
        <v>43434</v>
      </c>
      <c r="MS7" s="26">
        <f t="shared" si="17"/>
        <v>43435</v>
      </c>
      <c r="MT7" s="26">
        <f t="shared" si="17"/>
        <v>43436</v>
      </c>
      <c r="MU7" s="26">
        <f t="shared" si="17"/>
        <v>43437</v>
      </c>
      <c r="MV7" s="26">
        <f t="shared" si="17"/>
        <v>43438</v>
      </c>
      <c r="MW7" s="26">
        <f t="shared" si="17"/>
        <v>43439</v>
      </c>
      <c r="MX7" s="26">
        <f t="shared" si="17"/>
        <v>43440</v>
      </c>
      <c r="MY7" s="26">
        <f t="shared" si="17"/>
        <v>43441</v>
      </c>
      <c r="MZ7" s="26">
        <f t="shared" si="17"/>
        <v>43442</v>
      </c>
      <c r="NA7" s="26">
        <f t="shared" si="17"/>
        <v>43443</v>
      </c>
      <c r="NB7" s="26">
        <f t="shared" si="17"/>
        <v>43444</v>
      </c>
      <c r="NC7" s="26">
        <f t="shared" si="17"/>
        <v>43445</v>
      </c>
      <c r="ND7" s="26">
        <f t="shared" si="17"/>
        <v>43446</v>
      </c>
      <c r="NE7" s="26">
        <f t="shared" si="17"/>
        <v>43447</v>
      </c>
      <c r="NF7" s="26">
        <f t="shared" si="17"/>
        <v>43448</v>
      </c>
      <c r="NG7" s="26">
        <f t="shared" si="17"/>
        <v>43449</v>
      </c>
      <c r="NH7" s="26">
        <f t="shared" si="17"/>
        <v>43450</v>
      </c>
      <c r="NI7" s="26">
        <f t="shared" si="17"/>
        <v>43451</v>
      </c>
      <c r="NJ7" s="26">
        <f t="shared" si="17"/>
        <v>43452</v>
      </c>
      <c r="NK7" s="26">
        <f t="shared" si="17"/>
        <v>43453</v>
      </c>
      <c r="NL7" s="26">
        <f t="shared" si="17"/>
        <v>43454</v>
      </c>
      <c r="NM7" s="26">
        <f t="shared" si="17"/>
        <v>43455</v>
      </c>
      <c r="NN7" s="26">
        <f t="shared" si="17"/>
        <v>43456</v>
      </c>
      <c r="NO7" s="26">
        <f t="shared" si="17"/>
        <v>43457</v>
      </c>
      <c r="NP7" s="26">
        <f t="shared" si="17"/>
        <v>43458</v>
      </c>
      <c r="NQ7" s="26">
        <f t="shared" si="17"/>
        <v>43459</v>
      </c>
      <c r="NR7" s="26">
        <f t="shared" si="17"/>
        <v>43460</v>
      </c>
      <c r="NS7" s="26">
        <f t="shared" si="17"/>
        <v>43461</v>
      </c>
      <c r="NT7" s="110"/>
      <c r="NU7" s="111"/>
      <c r="NV7" s="114" t="s">
        <v>11</v>
      </c>
      <c r="NW7" s="114"/>
      <c r="NX7" s="114"/>
      <c r="NY7" s="114"/>
      <c r="NZ7" s="111" t="s">
        <v>12</v>
      </c>
      <c r="OA7" s="111"/>
      <c r="OB7" s="111"/>
      <c r="OC7" s="111"/>
      <c r="OD7" s="111" t="s">
        <v>13</v>
      </c>
      <c r="OE7" s="111"/>
      <c r="OF7" s="111"/>
      <c r="OG7" s="111"/>
      <c r="OH7" s="111" t="s">
        <v>14</v>
      </c>
      <c r="OI7" s="111"/>
      <c r="OJ7" s="111"/>
      <c r="OK7" s="111"/>
      <c r="OL7" s="111" t="s">
        <v>15</v>
      </c>
      <c r="OM7" s="111"/>
      <c r="ON7" s="111"/>
      <c r="OO7" s="111"/>
      <c r="OP7" s="111" t="s">
        <v>16</v>
      </c>
      <c r="OQ7" s="111"/>
      <c r="OR7" s="111"/>
      <c r="OS7" s="111"/>
      <c r="OT7" s="111" t="s">
        <v>17</v>
      </c>
      <c r="OU7" s="111"/>
      <c r="OV7" s="111"/>
      <c r="OW7" s="111"/>
      <c r="OX7" s="111" t="s">
        <v>25</v>
      </c>
      <c r="OY7" s="111"/>
      <c r="OZ7" s="111"/>
      <c r="PA7" s="111"/>
      <c r="PB7" s="111" t="s">
        <v>18</v>
      </c>
      <c r="PC7" s="111"/>
      <c r="PD7" s="111"/>
      <c r="PE7" s="111"/>
    </row>
    <row r="8" spans="1:421" ht="15.75" thickBot="1" x14ac:dyDescent="0.3">
      <c r="C8" s="121"/>
      <c r="D8" s="121"/>
      <c r="E8" s="122"/>
      <c r="F8" s="24" t="str">
        <f>VLOOKUP(WEEKDAY(F7),$F$63:$G$908,2)</f>
        <v>V</v>
      </c>
      <c r="G8" s="24" t="str">
        <f>VLOOKUP(WEEKDAY(G7),$F$63:$G$908,2)</f>
        <v>S</v>
      </c>
      <c r="H8" s="24" t="str">
        <f>VLOOKUP(WEEKDAY(H7),$F$63:$G$908,2)</f>
        <v>D</v>
      </c>
      <c r="I8" s="24" t="str">
        <f>VLOOKUP(WEEKDAY(I7),$F$63:$G$908,2)</f>
        <v>L</v>
      </c>
      <c r="J8" s="24" t="str">
        <f>VLOOKUP(WEEKDAY(J7),$F$63:$G$908,2)</f>
        <v>M</v>
      </c>
      <c r="K8" s="24" t="str">
        <f>VLOOKUP(WEEKDAY(K7),$F$63:$G$908,2)</f>
        <v>M</v>
      </c>
      <c r="L8" s="24" t="str">
        <f>VLOOKUP(WEEKDAY(L7),$F$63:$G$908,2)</f>
        <v>J</v>
      </c>
      <c r="M8" s="24" t="str">
        <f>VLOOKUP(WEEKDAY(M7),$F$63:$G$908,2)</f>
        <v>V</v>
      </c>
      <c r="N8" s="24" t="str">
        <f>VLOOKUP(WEEKDAY(N7),$F$63:$G$908,2)</f>
        <v>S</v>
      </c>
      <c r="O8" s="24" t="str">
        <f>VLOOKUP(WEEKDAY(O7),$F$63:$G$908,2)</f>
        <v>D</v>
      </c>
      <c r="P8" s="67" t="str">
        <f>VLOOKUP(WEEKDAY(P7),$F$63:$G$908,2)</f>
        <v>L</v>
      </c>
      <c r="Q8" s="24" t="str">
        <f>VLOOKUP(WEEKDAY(Q7),$F$63:$G$908,2)</f>
        <v>M</v>
      </c>
      <c r="R8" s="24" t="str">
        <f>VLOOKUP(WEEKDAY(R7),$F$63:$G$908,2)</f>
        <v>M</v>
      </c>
      <c r="S8" s="24" t="str">
        <f>VLOOKUP(WEEKDAY(S7),$F$63:$G$908,2)</f>
        <v>J</v>
      </c>
      <c r="T8" s="24" t="str">
        <f>VLOOKUP(WEEKDAY(T7),$F$63:$G$908,2)</f>
        <v>V</v>
      </c>
      <c r="U8" s="24" t="str">
        <f>VLOOKUP(WEEKDAY(U7),$F$63:$G$908,2)</f>
        <v>S</v>
      </c>
      <c r="V8" s="24" t="str">
        <f>VLOOKUP(WEEKDAY(V7),$F$63:$G$908,2)</f>
        <v>D</v>
      </c>
      <c r="W8" s="67" t="str">
        <f>VLOOKUP(WEEKDAY(W7),$F$63:$G$908,2)</f>
        <v>L</v>
      </c>
      <c r="X8" s="24" t="str">
        <f>VLOOKUP(WEEKDAY(X7),$F$63:$G$908,2)</f>
        <v>M</v>
      </c>
      <c r="Y8" s="24" t="str">
        <f>VLOOKUP(WEEKDAY(Y7),$F$63:$G$908,2)</f>
        <v>M</v>
      </c>
      <c r="Z8" s="24" t="str">
        <f>VLOOKUP(WEEKDAY(Z7),$F$63:$G$908,2)</f>
        <v>J</v>
      </c>
      <c r="AA8" s="24" t="str">
        <f>VLOOKUP(WEEKDAY(AA7),$F$63:$G$908,2)</f>
        <v>V</v>
      </c>
      <c r="AB8" s="24" t="str">
        <f>VLOOKUP(WEEKDAY(AB7),$F$63:$G$908,2)</f>
        <v>S</v>
      </c>
      <c r="AC8" s="24" t="str">
        <f>VLOOKUP(WEEKDAY(AC7),$F$63:$G$908,2)</f>
        <v>D</v>
      </c>
      <c r="AD8" s="24" t="str">
        <f>VLOOKUP(WEEKDAY(AD7),$F$63:$G$908,2)</f>
        <v>L</v>
      </c>
      <c r="AE8" s="24" t="str">
        <f>VLOOKUP(WEEKDAY(AE7),$F$63:$G$908,2)</f>
        <v>M</v>
      </c>
      <c r="AF8" s="24" t="str">
        <f>VLOOKUP(WEEKDAY(AF7),$F$63:$G$908,2)</f>
        <v>M</v>
      </c>
      <c r="AG8" s="24" t="str">
        <f>VLOOKUP(WEEKDAY(AG7),$F$63:$G$908,2)</f>
        <v>J</v>
      </c>
      <c r="AH8" s="24" t="str">
        <f>VLOOKUP(WEEKDAY(AH7),$F$63:$G$908,2)</f>
        <v>V</v>
      </c>
      <c r="AI8" s="24" t="str">
        <f>VLOOKUP(WEEKDAY(AI7),$F$63:$G$908,2)</f>
        <v>S</v>
      </c>
      <c r="AJ8" s="24" t="str">
        <f>VLOOKUP(WEEKDAY(AJ7),$F$63:$G$908,2)</f>
        <v>D</v>
      </c>
      <c r="AK8" s="24" t="str">
        <f>VLOOKUP(WEEKDAY(AK7),$F$63:$G$908,2)</f>
        <v>L</v>
      </c>
      <c r="AL8" s="24" t="str">
        <f>VLOOKUP(WEEKDAY(AL7),$F$63:$G$908,2)</f>
        <v>M</v>
      </c>
      <c r="AM8" s="24" t="str">
        <f>VLOOKUP(WEEKDAY(AM7),$F$63:$G$908,2)</f>
        <v>M</v>
      </c>
      <c r="AN8" s="24" t="str">
        <f>VLOOKUP(WEEKDAY(AN7),$F$63:$G$908,2)</f>
        <v>J</v>
      </c>
      <c r="AO8" s="24" t="str">
        <f>VLOOKUP(WEEKDAY(AO7),$F$63:$G$908,2)</f>
        <v>V</v>
      </c>
      <c r="AP8" s="24" t="str">
        <f>VLOOKUP(WEEKDAY(AP7),$F$63:$G$908,2)</f>
        <v>S</v>
      </c>
      <c r="AQ8" s="24" t="str">
        <f>VLOOKUP(WEEKDAY(AQ7),$F$63:$G$908,2)</f>
        <v>D</v>
      </c>
      <c r="AR8" s="24" t="str">
        <f>VLOOKUP(WEEKDAY(AR7),$F$63:$G$908,2)</f>
        <v>L</v>
      </c>
      <c r="AS8" s="24" t="str">
        <f>VLOOKUP(WEEKDAY(F7),$F$63:$G$908,2)</f>
        <v>V</v>
      </c>
      <c r="AT8" s="24" t="str">
        <f>VLOOKUP(WEEKDAY(AT7),$F$63:$G$908,2)</f>
        <v>M</v>
      </c>
      <c r="AU8" s="24" t="str">
        <f>VLOOKUP(WEEKDAY(AU7),$F$63:$G$908,2)</f>
        <v>J</v>
      </c>
      <c r="AV8" s="24" t="str">
        <f>VLOOKUP(WEEKDAY(AV7),$F$63:$G$908,2)</f>
        <v>V</v>
      </c>
      <c r="AW8" s="24" t="str">
        <f>VLOOKUP(WEEKDAY(AW7),$F$63:$G$908,2)</f>
        <v>S</v>
      </c>
      <c r="AX8" s="24" t="str">
        <f>VLOOKUP(WEEKDAY(AX7),$F$63:$G$908,2)</f>
        <v>D</v>
      </c>
      <c r="AY8" s="24" t="str">
        <f>VLOOKUP(WEEKDAY(AY7),$F$63:$G$908,2)</f>
        <v>L</v>
      </c>
      <c r="AZ8" s="24" t="str">
        <f>VLOOKUP(WEEKDAY(AZ7),$F$63:$G$908,2)</f>
        <v>M</v>
      </c>
      <c r="BA8" s="24" t="str">
        <f>VLOOKUP(WEEKDAY(BA7),$F$63:$G$908,2)</f>
        <v>M</v>
      </c>
      <c r="BB8" s="24" t="str">
        <f>VLOOKUP(WEEKDAY(BB7),$F$63:$G$908,2)</f>
        <v>J</v>
      </c>
      <c r="BC8" s="24" t="str">
        <f>VLOOKUP(WEEKDAY(BC7),$F$63:$G$908,2)</f>
        <v>V</v>
      </c>
      <c r="BD8" s="24" t="str">
        <f>VLOOKUP(WEEKDAY(BD7),$F$63:$G$908,2)</f>
        <v>S</v>
      </c>
      <c r="BE8" s="24" t="str">
        <f>VLOOKUP(WEEKDAY(BE7),$F$63:$G$908,2)</f>
        <v>D</v>
      </c>
      <c r="BF8" s="24" t="str">
        <f>VLOOKUP(WEEKDAY(BF7),$F$63:$G$908,2)</f>
        <v>L</v>
      </c>
      <c r="BG8" s="24" t="str">
        <f>VLOOKUP(WEEKDAY(BG7),$F$63:$G$908,2)</f>
        <v>M</v>
      </c>
      <c r="BH8" s="24" t="str">
        <f>VLOOKUP(WEEKDAY(BH7),$F$63:$G$908,2)</f>
        <v>M</v>
      </c>
      <c r="BI8" s="24" t="str">
        <f>VLOOKUP(WEEKDAY(BI7),$F$63:$G$908,2)</f>
        <v>J</v>
      </c>
      <c r="BJ8" s="24" t="str">
        <f>VLOOKUP(WEEKDAY(BJ7),$F$63:$G$908,2)</f>
        <v>V</v>
      </c>
      <c r="BK8" s="24" t="str">
        <f>VLOOKUP(WEEKDAY(BK7),$F$63:$G$908,2)</f>
        <v>S</v>
      </c>
      <c r="BL8" s="24" t="str">
        <f>VLOOKUP(WEEKDAY(BL7),$F$63:$G$908,2)</f>
        <v>D</v>
      </c>
      <c r="BM8" s="24" t="str">
        <f>VLOOKUP(WEEKDAY(BM7),$F$63:$G$908,2)</f>
        <v>L</v>
      </c>
      <c r="BN8" s="24" t="str">
        <f>VLOOKUP(WEEKDAY(BN7),$F$63:$G$908,2)</f>
        <v>M</v>
      </c>
      <c r="BO8" s="24" t="str">
        <f>VLOOKUP(WEEKDAY(BO7),$F$63:$G$908,2)</f>
        <v>M</v>
      </c>
      <c r="BP8" s="24" t="str">
        <f>VLOOKUP(WEEKDAY(BP7),$F$63:$G$908,2)</f>
        <v>J</v>
      </c>
      <c r="BQ8" s="24" t="str">
        <f>VLOOKUP(WEEKDAY(BQ7),$F$63:$G$908,2)</f>
        <v>V</v>
      </c>
      <c r="BR8" s="24" t="str">
        <f>VLOOKUP(WEEKDAY(BR7),$F$63:$G$908,2)</f>
        <v>S</v>
      </c>
      <c r="BS8" s="24" t="str">
        <f>VLOOKUP(WEEKDAY(BS7),$F$63:$G$908,2)</f>
        <v>D</v>
      </c>
      <c r="BT8" s="24" t="str">
        <f>VLOOKUP(WEEKDAY(BT7),$F$63:$G$908,2)</f>
        <v>L</v>
      </c>
      <c r="BU8" s="24" t="str">
        <f>VLOOKUP(WEEKDAY(BU7),$F$63:$G$908,2)</f>
        <v>M</v>
      </c>
      <c r="BV8" s="24" t="str">
        <f>VLOOKUP(WEEKDAY(BV7),$F$63:$G$908,2)</f>
        <v>M</v>
      </c>
      <c r="BW8" s="24" t="str">
        <f>VLOOKUP(WEEKDAY(BW7),$F$63:$G$908,2)</f>
        <v>J</v>
      </c>
      <c r="BX8" s="24" t="str">
        <f>VLOOKUP(WEEKDAY(BX7),$F$63:$G$908,2)</f>
        <v>V</v>
      </c>
      <c r="BY8" s="24" t="str">
        <f>VLOOKUP(WEEKDAY(BY7),$F$63:$G$908,2)</f>
        <v>S</v>
      </c>
      <c r="BZ8" s="24" t="str">
        <f>VLOOKUP(WEEKDAY(BZ7),$F$63:$G$908,2)</f>
        <v>D</v>
      </c>
      <c r="CA8" s="24" t="str">
        <f>VLOOKUP(WEEKDAY(CA7),$F$63:$G$908,2)</f>
        <v>L</v>
      </c>
      <c r="CB8" s="24" t="str">
        <f>VLOOKUP(WEEKDAY(CB7),$F$63:$G$908,2)</f>
        <v>M</v>
      </c>
      <c r="CC8" s="24" t="str">
        <f>VLOOKUP(WEEKDAY(CC7),$F$63:$G$908,2)</f>
        <v>M</v>
      </c>
      <c r="CD8" s="24" t="str">
        <f>VLOOKUP(WEEKDAY(CD7),$F$63:$G$908,2)</f>
        <v>J</v>
      </c>
      <c r="CE8" s="24" t="str">
        <f>VLOOKUP(WEEKDAY(CE7),$F$63:$G$908,2)</f>
        <v>V</v>
      </c>
      <c r="CF8" s="24" t="str">
        <f>VLOOKUP(WEEKDAY(CF7),$F$63:$G$908,2)</f>
        <v>S</v>
      </c>
      <c r="CG8" s="24" t="str">
        <f>VLOOKUP(WEEKDAY(CG7),$F$63:$G$908,2)</f>
        <v>D</v>
      </c>
      <c r="CH8" s="24" t="str">
        <f>VLOOKUP(WEEKDAY(CH7),$F$63:$G$908,2)</f>
        <v>L</v>
      </c>
      <c r="CI8" s="24" t="str">
        <f>VLOOKUP(WEEKDAY(CI7),$F$63:$G$908,2)</f>
        <v>M</v>
      </c>
      <c r="CJ8" s="24" t="str">
        <f>VLOOKUP(WEEKDAY(CJ7),$F$63:$G$908,2)</f>
        <v>M</v>
      </c>
      <c r="CK8" s="24" t="str">
        <f>VLOOKUP(WEEKDAY(CK7),$F$63:$G$908,2)</f>
        <v>J</v>
      </c>
      <c r="CL8" s="24" t="str">
        <f>VLOOKUP(WEEKDAY(CL7),$F$63:$G$908,2)</f>
        <v>V</v>
      </c>
      <c r="CM8" s="24" t="str">
        <f>VLOOKUP(WEEKDAY(CM7),$F$63:$G$908,2)</f>
        <v>S</v>
      </c>
      <c r="CN8" s="24" t="str">
        <f>VLOOKUP(WEEKDAY(CN7),$F$63:$G$908,2)</f>
        <v>D</v>
      </c>
      <c r="CO8" s="24" t="str">
        <f>VLOOKUP(WEEKDAY(CO7),$F$63:$G$908,2)</f>
        <v>L</v>
      </c>
      <c r="CP8" s="24" t="str">
        <f>VLOOKUP(WEEKDAY(CP7),$F$63:$G$908,2)</f>
        <v>M</v>
      </c>
      <c r="CQ8" s="24" t="str">
        <f>VLOOKUP(WEEKDAY(CQ7),$F$63:$G$908,2)</f>
        <v>M</v>
      </c>
      <c r="CR8" s="24" t="str">
        <f>VLOOKUP(WEEKDAY(CR7),$F$63:$G$908,2)</f>
        <v>J</v>
      </c>
      <c r="CS8" s="24" t="str">
        <f>VLOOKUP(WEEKDAY(CS7),$F$63:$G$908,2)</f>
        <v>V</v>
      </c>
      <c r="CT8" s="24" t="str">
        <f>VLOOKUP(WEEKDAY(CT7),$F$63:$G$908,2)</f>
        <v>S</v>
      </c>
      <c r="CU8" s="24" t="str">
        <f>VLOOKUP(WEEKDAY(CU7),$F$63:$G$908,2)</f>
        <v>D</v>
      </c>
      <c r="CV8" s="24" t="str">
        <f>VLOOKUP(WEEKDAY(CV7),$F$63:$G$908,2)</f>
        <v>L</v>
      </c>
      <c r="CW8" s="24" t="str">
        <f>VLOOKUP(WEEKDAY(CW7),$F$63:$G$908,2)</f>
        <v>M</v>
      </c>
      <c r="CX8" s="24" t="str">
        <f>VLOOKUP(WEEKDAY(CX7),$F$63:$G$908,2)</f>
        <v>M</v>
      </c>
      <c r="CY8" s="24" t="str">
        <f>VLOOKUP(WEEKDAY(CY7),$F$63:$G$908,2)</f>
        <v>J</v>
      </c>
      <c r="CZ8" s="24" t="str">
        <f>VLOOKUP(WEEKDAY(CZ7),$F$63:$G$908,2)</f>
        <v>V</v>
      </c>
      <c r="DA8" s="24" t="str">
        <f>VLOOKUP(WEEKDAY(DA7),$F$63:$G$908,2)</f>
        <v>S</v>
      </c>
      <c r="DB8" s="24" t="str">
        <f>VLOOKUP(WEEKDAY(DB7),$F$63:$G$908,2)</f>
        <v>D</v>
      </c>
      <c r="DC8" s="24" t="str">
        <f>VLOOKUP(WEEKDAY(DC7),$F$63:$G$908,2)</f>
        <v>L</v>
      </c>
      <c r="DD8" s="24" t="str">
        <f>VLOOKUP(WEEKDAY(DD7),$F$63:$G$908,2)</f>
        <v>M</v>
      </c>
      <c r="DE8" s="24" t="str">
        <f>VLOOKUP(WEEKDAY(DE7),$F$63:$G$908,2)</f>
        <v>M</v>
      </c>
      <c r="DF8" s="24" t="str">
        <f>VLOOKUP(WEEKDAY(DF7),$F$63:$G$908,2)</f>
        <v>J</v>
      </c>
      <c r="DG8" s="24" t="str">
        <f>VLOOKUP(WEEKDAY(DG7),$F$63:$G$908,2)</f>
        <v>V</v>
      </c>
      <c r="DH8" s="24" t="str">
        <f>VLOOKUP(WEEKDAY(DH7),$F$63:$G$908,2)</f>
        <v>S</v>
      </c>
      <c r="DI8" s="24" t="str">
        <f>VLOOKUP(WEEKDAY(DI7),$F$63:$G$908,2)</f>
        <v>D</v>
      </c>
      <c r="DJ8" s="24" t="str">
        <f>VLOOKUP(WEEKDAY(DJ7),$F$63:$G$908,2)</f>
        <v>L</v>
      </c>
      <c r="DK8" s="24" t="str">
        <f>VLOOKUP(WEEKDAY(DK7),$F$63:$G$908,2)</f>
        <v>M</v>
      </c>
      <c r="DL8" s="24" t="str">
        <f>VLOOKUP(WEEKDAY(DL7),$F$63:$G$908,2)</f>
        <v>M</v>
      </c>
      <c r="DM8" s="24" t="str">
        <f>VLOOKUP(WEEKDAY(DM7),$F$63:$G$908,2)</f>
        <v>J</v>
      </c>
      <c r="DN8" s="24" t="str">
        <f>VLOOKUP(WEEKDAY(DN7),$F$63:$G$908,2)</f>
        <v>V</v>
      </c>
      <c r="DO8" s="24" t="str">
        <f>VLOOKUP(WEEKDAY(DO7),$F$63:$G$908,2)</f>
        <v>S</v>
      </c>
      <c r="DP8" s="24" t="str">
        <f>VLOOKUP(WEEKDAY(DP7),$F$63:$G$908,2)</f>
        <v>D</v>
      </c>
      <c r="DQ8" s="24" t="str">
        <f>VLOOKUP(WEEKDAY(DQ7),$F$63:$G$908,2)</f>
        <v>L</v>
      </c>
      <c r="DR8" s="24" t="str">
        <f>VLOOKUP(WEEKDAY(DR7),$F$63:$G$908,2)</f>
        <v>M</v>
      </c>
      <c r="DS8" s="24" t="str">
        <f>VLOOKUP(WEEKDAY(DS7),$F$63:$G$908,2)</f>
        <v>M</v>
      </c>
      <c r="DT8" s="24" t="str">
        <f>VLOOKUP(WEEKDAY(DT7),$F$63:$G$908,2)</f>
        <v>J</v>
      </c>
      <c r="DU8" s="24" t="str">
        <f>VLOOKUP(WEEKDAY(DU7),$F$63:$G$908,2)</f>
        <v>V</v>
      </c>
      <c r="DV8" s="24" t="str">
        <f>VLOOKUP(WEEKDAY(DV7),$F$63:$G$908,2)</f>
        <v>S</v>
      </c>
      <c r="DW8" s="24" t="str">
        <f>VLOOKUP(WEEKDAY(DW7),$F$63:$G$908,2)</f>
        <v>D</v>
      </c>
      <c r="DX8" s="24" t="str">
        <f>VLOOKUP(WEEKDAY(DX7),$F$63:$G$908,2)</f>
        <v>L</v>
      </c>
      <c r="DY8" s="24" t="str">
        <f>VLOOKUP(WEEKDAY(DY7),$F$63:$G$908,2)</f>
        <v>M</v>
      </c>
      <c r="DZ8" s="24" t="str">
        <f>VLOOKUP(WEEKDAY(DZ7),$F$63:$G$908,2)</f>
        <v>M</v>
      </c>
      <c r="EA8" s="24" t="str">
        <f>VLOOKUP(WEEKDAY(EA7),$F$63:$G$908,2)</f>
        <v>J</v>
      </c>
      <c r="EB8" s="24" t="str">
        <f>VLOOKUP(WEEKDAY(EB7),$F$63:$G$908,2)</f>
        <v>V</v>
      </c>
      <c r="EC8" s="24" t="str">
        <f>VLOOKUP(WEEKDAY(EC7),$F$63:$G$908,2)</f>
        <v>S</v>
      </c>
      <c r="ED8" s="24" t="str">
        <f>VLOOKUP(WEEKDAY(ED7),$F$63:$G$908,2)</f>
        <v>D</v>
      </c>
      <c r="EE8" s="24" t="str">
        <f>VLOOKUP(WEEKDAY(EE7),$F$63:$G$908,2)</f>
        <v>L</v>
      </c>
      <c r="EF8" s="24" t="str">
        <f>VLOOKUP(WEEKDAY(EF7),$F$63:$G$908,2)</f>
        <v>M</v>
      </c>
      <c r="EG8" s="24" t="str">
        <f>VLOOKUP(WEEKDAY(EG7),$F$63:$G$908,2)</f>
        <v>M</v>
      </c>
      <c r="EH8" s="24" t="str">
        <f>VLOOKUP(WEEKDAY(EH7),$F$63:$G$908,2)</f>
        <v>J</v>
      </c>
      <c r="EI8" s="24" t="str">
        <f>VLOOKUP(WEEKDAY(EI7),$F$63:$G$908,2)</f>
        <v>V</v>
      </c>
      <c r="EJ8" s="24" t="str">
        <f>VLOOKUP(WEEKDAY(EJ7),$F$63:$G$908,2)</f>
        <v>S</v>
      </c>
      <c r="EK8" s="24" t="str">
        <f>VLOOKUP(WEEKDAY(EK7),$F$63:$G$908,2)</f>
        <v>D</v>
      </c>
      <c r="EL8" s="24" t="str">
        <f>VLOOKUP(WEEKDAY(EL7),$F$63:$G$908,2)</f>
        <v>L</v>
      </c>
      <c r="EM8" s="24" t="str">
        <f>VLOOKUP(WEEKDAY(EM7),$F$63:$G$908,2)</f>
        <v>M</v>
      </c>
      <c r="EN8" s="24" t="str">
        <f>VLOOKUP(WEEKDAY(EN7),$F$63:$G$908,2)</f>
        <v>M</v>
      </c>
      <c r="EO8" s="24" t="str">
        <f>VLOOKUP(WEEKDAY(EO7),$F$63:$G$908,2)</f>
        <v>J</v>
      </c>
      <c r="EP8" s="24" t="str">
        <f>VLOOKUP(WEEKDAY(EP7),$F$63:$G$908,2)</f>
        <v>V</v>
      </c>
      <c r="EQ8" s="24" t="str">
        <f>VLOOKUP(WEEKDAY(EQ7),$F$63:$G$908,2)</f>
        <v>S</v>
      </c>
      <c r="ER8" s="24" t="str">
        <f>VLOOKUP(WEEKDAY(ER7),$F$63:$G$908,2)</f>
        <v>D</v>
      </c>
      <c r="ES8" s="24" t="str">
        <f>VLOOKUP(WEEKDAY(ES7),$F$63:$G$908,2)</f>
        <v>L</v>
      </c>
      <c r="ET8" s="24" t="str">
        <f>VLOOKUP(WEEKDAY(ET7),$F$63:$G$908,2)</f>
        <v>M</v>
      </c>
      <c r="EU8" s="24" t="str">
        <f>VLOOKUP(WEEKDAY(EU7),$F$63:$G$908,2)</f>
        <v>M</v>
      </c>
      <c r="EV8" s="24" t="str">
        <f>VLOOKUP(WEEKDAY(EV7),$F$63:$G$908,2)</f>
        <v>J</v>
      </c>
      <c r="EW8" s="24" t="str">
        <f>VLOOKUP(WEEKDAY(EW7),$F$63:$G$908,2)</f>
        <v>V</v>
      </c>
      <c r="EX8" s="24" t="str">
        <f>VLOOKUP(WEEKDAY(EX7),$F$63:$G$908,2)</f>
        <v>S</v>
      </c>
      <c r="EY8" s="24" t="str">
        <f>VLOOKUP(WEEKDAY(EY7),$F$63:$G$908,2)</f>
        <v>D</v>
      </c>
      <c r="EZ8" s="24" t="str">
        <f>VLOOKUP(WEEKDAY(EZ7),$F$63:$G$908,2)</f>
        <v>L</v>
      </c>
      <c r="FA8" s="24" t="str">
        <f>VLOOKUP(WEEKDAY(FA7),$F$63:$G$908,2)</f>
        <v>M</v>
      </c>
      <c r="FB8" s="24" t="str">
        <f>VLOOKUP(WEEKDAY(FB7),$F$63:$G$908,2)</f>
        <v>M</v>
      </c>
      <c r="FC8" s="24" t="str">
        <f>VLOOKUP(WEEKDAY(FC7),$F$63:$G$908,2)</f>
        <v>J</v>
      </c>
      <c r="FD8" s="24" t="str">
        <f>VLOOKUP(WEEKDAY(FD7),$F$63:$G$908,2)</f>
        <v>V</v>
      </c>
      <c r="FE8" s="24" t="str">
        <f>VLOOKUP(WEEKDAY(FE7),$F$63:$G$908,2)</f>
        <v>S</v>
      </c>
      <c r="FF8" s="24" t="str">
        <f>VLOOKUP(WEEKDAY(FF7),$F$63:$G$908,2)</f>
        <v>D</v>
      </c>
      <c r="FG8" s="24" t="str">
        <f>VLOOKUP(WEEKDAY(FG7),$F$63:$G$908,2)</f>
        <v>L</v>
      </c>
      <c r="FH8" s="24" t="str">
        <f>VLOOKUP(WEEKDAY(FH7),$F$63:$G$908,2)</f>
        <v>M</v>
      </c>
      <c r="FI8" s="24" t="str">
        <f>VLOOKUP(WEEKDAY(FI7),$F$63:$G$908,2)</f>
        <v>M</v>
      </c>
      <c r="FJ8" s="24" t="str">
        <f>VLOOKUP(WEEKDAY(FJ7),$F$63:$G$908,2)</f>
        <v>J</v>
      </c>
      <c r="FK8" s="24" t="str">
        <f>VLOOKUP(WEEKDAY(FK7),$F$63:$G$908,2)</f>
        <v>V</v>
      </c>
      <c r="FL8" s="24" t="str">
        <f>VLOOKUP(WEEKDAY(FL7),$F$63:$G$908,2)</f>
        <v>S</v>
      </c>
      <c r="FM8" s="24" t="str">
        <f>VLOOKUP(WEEKDAY(FM7),$F$63:$G$908,2)</f>
        <v>D</v>
      </c>
      <c r="FN8" s="24" t="str">
        <f>VLOOKUP(WEEKDAY(FN7),$F$63:$G$908,2)</f>
        <v>L</v>
      </c>
      <c r="FO8" s="24" t="str">
        <f>VLOOKUP(WEEKDAY(FO7),$F$63:$G$908,2)</f>
        <v>M</v>
      </c>
      <c r="FP8" s="24" t="str">
        <f>VLOOKUP(WEEKDAY(FP7),$F$63:$G$908,2)</f>
        <v>M</v>
      </c>
      <c r="FQ8" s="24" t="str">
        <f>VLOOKUP(WEEKDAY(FQ7),$F$63:$G$908,2)</f>
        <v>J</v>
      </c>
      <c r="FR8" s="24" t="str">
        <f>VLOOKUP(WEEKDAY(FR7),$F$63:$G$908,2)</f>
        <v>V</v>
      </c>
      <c r="FS8" s="24" t="str">
        <f>VLOOKUP(WEEKDAY(FS7),$F$63:$G$908,2)</f>
        <v>S</v>
      </c>
      <c r="FT8" s="24" t="str">
        <f>VLOOKUP(WEEKDAY(FT7),$F$63:$G$908,2)</f>
        <v>D</v>
      </c>
      <c r="FU8" s="24" t="str">
        <f>VLOOKUP(WEEKDAY(FU7),$F$63:$G$908,2)</f>
        <v>L</v>
      </c>
      <c r="FV8" s="24" t="str">
        <f>VLOOKUP(WEEKDAY(FV7),$F$63:$G$908,2)</f>
        <v>M</v>
      </c>
      <c r="FW8" s="24" t="str">
        <f>VLOOKUP(WEEKDAY(FW7),$F$63:$G$908,2)</f>
        <v>M</v>
      </c>
      <c r="FX8" s="24" t="str">
        <f>VLOOKUP(WEEKDAY(FX7),$F$63:$G$908,2)</f>
        <v>J</v>
      </c>
      <c r="FY8" s="24" t="str">
        <f>VLOOKUP(WEEKDAY(FY7),$F$63:$G$908,2)</f>
        <v>V</v>
      </c>
      <c r="FZ8" s="24" t="str">
        <f>VLOOKUP(WEEKDAY(FZ7),$F$63:$G$908,2)</f>
        <v>S</v>
      </c>
      <c r="GA8" s="24" t="str">
        <f>VLOOKUP(WEEKDAY(GA7),$F$63:$G$908,2)</f>
        <v>D</v>
      </c>
      <c r="GB8" s="24" t="str">
        <f>VLOOKUP(WEEKDAY(GB7),$F$63:$G$908,2)</f>
        <v>L</v>
      </c>
      <c r="GC8" s="24" t="str">
        <f>VLOOKUP(WEEKDAY(GC7),$F$63:$G$908,2)</f>
        <v>M</v>
      </c>
      <c r="GD8" s="24" t="str">
        <f>VLOOKUP(WEEKDAY(GD7),$F$63:$G$908,2)</f>
        <v>M</v>
      </c>
      <c r="GE8" s="24" t="str">
        <f>VLOOKUP(WEEKDAY(GE7),$F$63:$G$908,2)</f>
        <v>J</v>
      </c>
      <c r="GF8" s="24" t="str">
        <f>VLOOKUP(WEEKDAY(GF7),$F$63:$G$908,2)</f>
        <v>V</v>
      </c>
      <c r="GG8" s="24" t="str">
        <f>VLOOKUP(WEEKDAY(GG7),$F$63:$G$908,2)</f>
        <v>S</v>
      </c>
      <c r="GH8" s="24" t="str">
        <f>VLOOKUP(WEEKDAY(GH7),$F$63:$G$908,2)</f>
        <v>D</v>
      </c>
      <c r="GI8" s="24" t="str">
        <f>VLOOKUP(WEEKDAY(GI7),$F$63:$G$908,2)</f>
        <v>L</v>
      </c>
      <c r="GJ8" s="24" t="str">
        <f>VLOOKUP(WEEKDAY(GJ7),$F$63:$G$908,2)</f>
        <v>M</v>
      </c>
      <c r="GK8" s="24" t="str">
        <f>VLOOKUP(WEEKDAY(GK7),$F$63:$G$908,2)</f>
        <v>M</v>
      </c>
      <c r="GL8" s="24" t="str">
        <f>VLOOKUP(WEEKDAY(GL7),$F$63:$G$908,2)</f>
        <v>J</v>
      </c>
      <c r="GM8" s="24" t="str">
        <f>VLOOKUP(WEEKDAY(GM7),$F$63:$G$908,2)</f>
        <v>V</v>
      </c>
      <c r="GN8" s="24" t="str">
        <f>VLOOKUP(WEEKDAY(GN7),$F$63:$G$908,2)</f>
        <v>S</v>
      </c>
      <c r="GO8" s="24" t="str">
        <f>VLOOKUP(WEEKDAY(GO7),$F$63:$G$908,2)</f>
        <v>D</v>
      </c>
      <c r="GP8" s="24" t="str">
        <f>VLOOKUP(WEEKDAY(GP7),$F$63:$G$908,2)</f>
        <v>L</v>
      </c>
      <c r="GQ8" s="24" t="str">
        <f>VLOOKUP(WEEKDAY(GQ7),$F$63:$G$908,2)</f>
        <v>M</v>
      </c>
      <c r="GR8" s="24" t="str">
        <f>VLOOKUP(WEEKDAY(GR7),$F$63:$G$908,2)</f>
        <v>M</v>
      </c>
      <c r="GS8" s="24" t="str">
        <f>VLOOKUP(WEEKDAY(GS7),$F$63:$G$908,2)</f>
        <v>J</v>
      </c>
      <c r="GT8" s="24" t="str">
        <f>VLOOKUP(WEEKDAY(GT7),$F$63:$G$908,2)</f>
        <v>V</v>
      </c>
      <c r="GU8" s="24" t="str">
        <f>VLOOKUP(WEEKDAY(GU7),$F$63:$G$908,2)</f>
        <v>S</v>
      </c>
      <c r="GV8" s="24" t="str">
        <f>VLOOKUP(WEEKDAY(GV7),$F$63:$G$908,2)</f>
        <v>D</v>
      </c>
      <c r="GW8" s="24" t="str">
        <f>VLOOKUP(WEEKDAY(GW7),$F$63:$G$908,2)</f>
        <v>L</v>
      </c>
      <c r="GX8" s="24" t="str">
        <f>VLOOKUP(WEEKDAY(GX7),$F$63:$G$908,2)</f>
        <v>M</v>
      </c>
      <c r="GY8" s="24" t="str">
        <f>VLOOKUP(WEEKDAY(GY7),$F$63:$G$908,2)</f>
        <v>M</v>
      </c>
      <c r="GZ8" s="24" t="str">
        <f>VLOOKUP(WEEKDAY(GZ7),$F$63:$G$908,2)</f>
        <v>J</v>
      </c>
      <c r="HA8" s="24" t="str">
        <f>VLOOKUP(WEEKDAY(HA7),$F$63:$G$908,2)</f>
        <v>V</v>
      </c>
      <c r="HB8" s="24" t="str">
        <f>VLOOKUP(WEEKDAY(HB7),$F$63:$G$908,2)</f>
        <v>S</v>
      </c>
      <c r="HC8" s="24" t="str">
        <f>VLOOKUP(WEEKDAY(HC7),$F$63:$G$908,2)</f>
        <v>D</v>
      </c>
      <c r="HD8" s="24" t="str">
        <f>VLOOKUP(WEEKDAY(HD7),$F$63:$G$908,2)</f>
        <v>L</v>
      </c>
      <c r="HE8" s="24" t="str">
        <f>VLOOKUP(WEEKDAY(HE7),$F$63:$G$908,2)</f>
        <v>M</v>
      </c>
      <c r="HF8" s="24" t="str">
        <f>VLOOKUP(WEEKDAY(HF7),$F$63:$G$908,2)</f>
        <v>M</v>
      </c>
      <c r="HG8" s="24" t="str">
        <f>VLOOKUP(WEEKDAY(HG7),$F$63:$G$908,2)</f>
        <v>J</v>
      </c>
      <c r="HH8" s="24" t="str">
        <f>VLOOKUP(WEEKDAY(HH7),$F$63:$G$908,2)</f>
        <v>V</v>
      </c>
      <c r="HI8" s="24" t="str">
        <f>VLOOKUP(WEEKDAY(HI7),$F$63:$G$908,2)</f>
        <v>S</v>
      </c>
      <c r="HJ8" s="24" t="str">
        <f>VLOOKUP(WEEKDAY(HJ7),$F$63:$G$908,2)</f>
        <v>D</v>
      </c>
      <c r="HK8" s="24" t="str">
        <f>VLOOKUP(WEEKDAY(HK7),$F$63:$G$908,2)</f>
        <v>L</v>
      </c>
      <c r="HL8" s="24" t="str">
        <f>VLOOKUP(WEEKDAY(HL7),$F$63:$G$908,2)</f>
        <v>M</v>
      </c>
      <c r="HM8" s="24" t="str">
        <f>VLOOKUP(WEEKDAY(HM7),$F$63:$G$908,2)</f>
        <v>M</v>
      </c>
      <c r="HN8" s="24" t="str">
        <f>VLOOKUP(WEEKDAY(HN7),$F$63:$G$908,2)</f>
        <v>J</v>
      </c>
      <c r="HO8" s="24" t="str">
        <f>VLOOKUP(WEEKDAY(HO7),$F$63:$G$908,2)</f>
        <v>V</v>
      </c>
      <c r="HP8" s="24" t="str">
        <f>VLOOKUP(WEEKDAY(HP7),$F$63:$G$908,2)</f>
        <v>S</v>
      </c>
      <c r="HQ8" s="24" t="str">
        <f>VLOOKUP(WEEKDAY(HQ7),$F$63:$G$908,2)</f>
        <v>D</v>
      </c>
      <c r="HR8" s="24" t="str">
        <f>VLOOKUP(WEEKDAY(HR7),$F$63:$G$908,2)</f>
        <v>L</v>
      </c>
      <c r="HS8" s="24" t="str">
        <f>VLOOKUP(WEEKDAY(HS7),$F$63:$G$908,2)</f>
        <v>M</v>
      </c>
      <c r="HT8" s="24" t="str">
        <f>VLOOKUP(WEEKDAY(HT7),$F$63:$G$908,2)</f>
        <v>M</v>
      </c>
      <c r="HU8" s="24" t="str">
        <f>VLOOKUP(WEEKDAY(HU7),$F$63:$G$908,2)</f>
        <v>J</v>
      </c>
      <c r="HV8" s="24" t="str">
        <f>VLOOKUP(WEEKDAY(HV7),$F$63:$G$908,2)</f>
        <v>V</v>
      </c>
      <c r="HW8" s="24" t="str">
        <f>VLOOKUP(WEEKDAY(HW7),$F$63:$G$908,2)</f>
        <v>S</v>
      </c>
      <c r="HX8" s="24" t="str">
        <f>VLOOKUP(WEEKDAY(HX7),$F$63:$G$908,2)</f>
        <v>D</v>
      </c>
      <c r="HY8" s="24" t="str">
        <f>VLOOKUP(WEEKDAY(HY7),$F$63:$G$908,2)</f>
        <v>L</v>
      </c>
      <c r="HZ8" s="24" t="str">
        <f>VLOOKUP(WEEKDAY(HZ7),$F$63:$G$908,2)</f>
        <v>M</v>
      </c>
      <c r="IA8" s="24" t="str">
        <f>VLOOKUP(WEEKDAY(IA7),$F$63:$G$908,2)</f>
        <v>M</v>
      </c>
      <c r="IB8" s="24" t="str">
        <f>VLOOKUP(WEEKDAY(IB7),$F$63:$G$908,2)</f>
        <v>J</v>
      </c>
      <c r="IC8" s="24" t="str">
        <f>VLOOKUP(WEEKDAY(IC7),$F$63:$G$908,2)</f>
        <v>V</v>
      </c>
      <c r="ID8" s="24" t="str">
        <f>VLOOKUP(WEEKDAY(ID7),$F$63:$G$908,2)</f>
        <v>S</v>
      </c>
      <c r="IE8" s="24" t="str">
        <f>VLOOKUP(WEEKDAY(IE7),$F$63:$G$908,2)</f>
        <v>D</v>
      </c>
      <c r="IF8" s="24" t="str">
        <f>VLOOKUP(WEEKDAY(IF7),$F$63:$G$908,2)</f>
        <v>L</v>
      </c>
      <c r="IG8" s="24" t="str">
        <f>VLOOKUP(WEEKDAY(IG7),$F$63:$G$908,2)</f>
        <v>M</v>
      </c>
      <c r="IH8" s="24" t="str">
        <f>VLOOKUP(WEEKDAY(IH7),$F$63:$G$908,2)</f>
        <v>M</v>
      </c>
      <c r="II8" s="24" t="str">
        <f>VLOOKUP(WEEKDAY(II7),$F$63:$G$908,2)</f>
        <v>J</v>
      </c>
      <c r="IJ8" s="24" t="str">
        <f>VLOOKUP(WEEKDAY(IJ7),$F$63:$G$908,2)</f>
        <v>V</v>
      </c>
      <c r="IK8" s="24" t="str">
        <f>VLOOKUP(WEEKDAY(IK7),$F$63:$G$908,2)</f>
        <v>S</v>
      </c>
      <c r="IL8" s="24" t="str">
        <f>VLOOKUP(WEEKDAY(IL7),$F$63:$G$908,2)</f>
        <v>D</v>
      </c>
      <c r="IM8" s="24" t="str">
        <f>VLOOKUP(WEEKDAY(IM7),$F$63:$G$908,2)</f>
        <v>L</v>
      </c>
      <c r="IN8" s="24" t="str">
        <f>VLOOKUP(WEEKDAY(IN7),$F$63:$G$908,2)</f>
        <v>M</v>
      </c>
      <c r="IO8" s="24" t="str">
        <f>VLOOKUP(WEEKDAY(IO7),$F$63:$G$908,2)</f>
        <v>M</v>
      </c>
      <c r="IP8" s="24" t="str">
        <f>VLOOKUP(WEEKDAY(IP7),$F$63:$G$908,2)</f>
        <v>J</v>
      </c>
      <c r="IQ8" s="24" t="str">
        <f>VLOOKUP(WEEKDAY(IQ7),$F$63:$G$908,2)</f>
        <v>V</v>
      </c>
      <c r="IR8" s="24" t="str">
        <f>VLOOKUP(WEEKDAY(IR7),$F$63:$G$908,2)</f>
        <v>S</v>
      </c>
      <c r="IS8" s="24" t="str">
        <f>VLOOKUP(WEEKDAY(IS7),$F$63:$G$908,2)</f>
        <v>D</v>
      </c>
      <c r="IT8" s="24" t="str">
        <f>VLOOKUP(WEEKDAY(IT7),$F$63:$G$908,2)</f>
        <v>L</v>
      </c>
      <c r="IU8" s="24" t="str">
        <f>VLOOKUP(WEEKDAY(IU7),$F$63:$G$908,2)</f>
        <v>M</v>
      </c>
      <c r="IV8" s="24" t="str">
        <f>VLOOKUP(WEEKDAY(IV7),$F$63:$G$908,2)</f>
        <v>M</v>
      </c>
      <c r="IW8" s="24" t="str">
        <f>VLOOKUP(WEEKDAY(IW7),$F$63:$G$908,2)</f>
        <v>J</v>
      </c>
      <c r="IX8" s="24" t="str">
        <f>VLOOKUP(WEEKDAY(IX7),$F$63:$G$908,2)</f>
        <v>V</v>
      </c>
      <c r="IY8" s="24" t="str">
        <f>VLOOKUP(WEEKDAY(IY7),$F$63:$G$908,2)</f>
        <v>S</v>
      </c>
      <c r="IZ8" s="24" t="str">
        <f>VLOOKUP(WEEKDAY(IZ7),$F$63:$G$908,2)</f>
        <v>D</v>
      </c>
      <c r="JA8" s="24" t="str">
        <f>VLOOKUP(WEEKDAY(JA7),$F$63:$G$908,2)</f>
        <v>L</v>
      </c>
      <c r="JB8" s="24" t="str">
        <f>VLOOKUP(WEEKDAY(JB7),$F$63:$G$908,2)</f>
        <v>M</v>
      </c>
      <c r="JC8" s="24" t="str">
        <f>VLOOKUP(WEEKDAY(JC7),$F$63:$G$908,2)</f>
        <v>M</v>
      </c>
      <c r="JD8" s="24" t="str">
        <f>VLOOKUP(WEEKDAY(JD7),$F$63:$G$908,2)</f>
        <v>J</v>
      </c>
      <c r="JE8" s="24" t="str">
        <f>VLOOKUP(WEEKDAY(JE7),$F$63:$G$908,2)</f>
        <v>V</v>
      </c>
      <c r="JF8" s="24" t="str">
        <f>VLOOKUP(WEEKDAY(JF7),$F$63:$G$908,2)</f>
        <v>S</v>
      </c>
      <c r="JG8" s="24" t="str">
        <f>VLOOKUP(WEEKDAY(JG7),$F$63:$G$908,2)</f>
        <v>D</v>
      </c>
      <c r="JH8" s="24" t="str">
        <f>VLOOKUP(WEEKDAY(JH7),$F$63:$G$908,2)</f>
        <v>L</v>
      </c>
      <c r="JI8" s="24" t="str">
        <f>VLOOKUP(WEEKDAY(JI7),$F$63:$G$908,2)</f>
        <v>M</v>
      </c>
      <c r="JJ8" s="24" t="str">
        <f>VLOOKUP(WEEKDAY(JJ7),$F$63:$G$908,2)</f>
        <v>M</v>
      </c>
      <c r="JK8" s="24" t="str">
        <f>VLOOKUP(WEEKDAY(JK7),$F$63:$G$908,2)</f>
        <v>J</v>
      </c>
      <c r="JL8" s="24" t="str">
        <f>VLOOKUP(WEEKDAY(JL7),$F$63:$G$908,2)</f>
        <v>V</v>
      </c>
      <c r="JM8" s="24" t="str">
        <f>VLOOKUP(WEEKDAY(JM7),$F$63:$G$908,2)</f>
        <v>S</v>
      </c>
      <c r="JN8" s="24" t="str">
        <f>VLOOKUP(WEEKDAY(JN7),$F$63:$G$908,2)</f>
        <v>D</v>
      </c>
      <c r="JO8" s="24" t="str">
        <f>VLOOKUP(WEEKDAY(JO7),$F$63:$G$908,2)</f>
        <v>L</v>
      </c>
      <c r="JP8" s="24" t="str">
        <f>VLOOKUP(WEEKDAY(JP7),$F$63:$G$908,2)</f>
        <v>M</v>
      </c>
      <c r="JQ8" s="24" t="str">
        <f>VLOOKUP(WEEKDAY(JQ7),$F$63:$G$908,2)</f>
        <v>M</v>
      </c>
      <c r="JR8" s="24" t="str">
        <f>VLOOKUP(WEEKDAY(JR7),$F$63:$G$908,2)</f>
        <v>J</v>
      </c>
      <c r="JS8" s="24" t="str">
        <f>VLOOKUP(WEEKDAY(JS7),$F$63:$G$908,2)</f>
        <v>V</v>
      </c>
      <c r="JT8" s="24" t="str">
        <f>VLOOKUP(WEEKDAY(JT7),$F$63:$G$908,2)</f>
        <v>S</v>
      </c>
      <c r="JU8" s="24" t="str">
        <f>VLOOKUP(WEEKDAY(JU7),$F$63:$G$908,2)</f>
        <v>D</v>
      </c>
      <c r="JV8" s="24" t="str">
        <f>VLOOKUP(WEEKDAY(JV7),$F$63:$G$908,2)</f>
        <v>L</v>
      </c>
      <c r="JW8" s="24" t="str">
        <f>VLOOKUP(WEEKDAY(JW7),$F$63:$G$908,2)</f>
        <v>M</v>
      </c>
      <c r="JX8" s="24" t="str">
        <f>VLOOKUP(WEEKDAY(JX7),$F$63:$G$908,2)</f>
        <v>M</v>
      </c>
      <c r="JY8" s="24" t="str">
        <f>VLOOKUP(WEEKDAY(JY7),$F$63:$G$908,2)</f>
        <v>J</v>
      </c>
      <c r="JZ8" s="24" t="str">
        <f>VLOOKUP(WEEKDAY(JZ7),$F$63:$G$908,2)</f>
        <v>V</v>
      </c>
      <c r="KA8" s="24" t="str">
        <f>VLOOKUP(WEEKDAY(KA7),$F$63:$G$908,2)</f>
        <v>S</v>
      </c>
      <c r="KB8" s="24" t="str">
        <f>VLOOKUP(WEEKDAY(KB7),$F$63:$G$908,2)</f>
        <v>D</v>
      </c>
      <c r="KC8" s="24" t="str">
        <f>VLOOKUP(WEEKDAY(KC7),$F$63:$G$908,2)</f>
        <v>L</v>
      </c>
      <c r="KD8" s="24" t="str">
        <f>VLOOKUP(WEEKDAY(KD7),$F$63:$G$908,2)</f>
        <v>M</v>
      </c>
      <c r="KE8" s="24" t="str">
        <f>VLOOKUP(WEEKDAY(KE7),$F$63:$G$908,2)</f>
        <v>M</v>
      </c>
      <c r="KF8" s="24" t="str">
        <f>VLOOKUP(WEEKDAY(KF7),$F$63:$G$908,2)</f>
        <v>J</v>
      </c>
      <c r="KG8" s="24" t="str">
        <f>VLOOKUP(WEEKDAY(KG7),$F$63:$G$908,2)</f>
        <v>V</v>
      </c>
      <c r="KH8" s="24" t="str">
        <f>VLOOKUP(WEEKDAY(KH7),$F$63:$G$908,2)</f>
        <v>S</v>
      </c>
      <c r="KI8" s="24" t="str">
        <f>VLOOKUP(WEEKDAY(KI7),$F$63:$G$908,2)</f>
        <v>D</v>
      </c>
      <c r="KJ8" s="24" t="str">
        <f>VLOOKUP(WEEKDAY(KJ7),$F$63:$G$908,2)</f>
        <v>L</v>
      </c>
      <c r="KK8" s="24" t="str">
        <f>VLOOKUP(WEEKDAY(KK7),$F$63:$G$908,2)</f>
        <v>M</v>
      </c>
      <c r="KL8" s="24" t="str">
        <f>VLOOKUP(WEEKDAY(KL7),$F$63:$G$908,2)</f>
        <v>M</v>
      </c>
      <c r="KM8" s="24" t="str">
        <f>VLOOKUP(WEEKDAY(KM7),$F$63:$G$908,2)</f>
        <v>J</v>
      </c>
      <c r="KN8" s="24" t="str">
        <f>VLOOKUP(WEEKDAY(KN7),$F$63:$G$908,2)</f>
        <v>V</v>
      </c>
      <c r="KO8" s="24" t="str">
        <f>VLOOKUP(WEEKDAY(KO7),$F$63:$G$908,2)</f>
        <v>S</v>
      </c>
      <c r="KP8" s="24" t="str">
        <f>VLOOKUP(WEEKDAY(KP7),$F$63:$G$908,2)</f>
        <v>D</v>
      </c>
      <c r="KQ8" s="24" t="str">
        <f>VLOOKUP(WEEKDAY(KQ7),$F$63:$G$908,2)</f>
        <v>L</v>
      </c>
      <c r="KR8" s="24" t="str">
        <f>VLOOKUP(WEEKDAY(KR7),$F$63:$G$908,2)</f>
        <v>M</v>
      </c>
      <c r="KS8" s="24" t="str">
        <f>VLOOKUP(WEEKDAY(KS7),$F$63:$G$908,2)</f>
        <v>M</v>
      </c>
      <c r="KT8" s="24" t="str">
        <f>VLOOKUP(WEEKDAY(KT7),$F$63:$G$908,2)</f>
        <v>J</v>
      </c>
      <c r="KU8" s="24" t="str">
        <f>VLOOKUP(WEEKDAY(KU7),$F$63:$G$908,2)</f>
        <v>V</v>
      </c>
      <c r="KV8" s="24" t="str">
        <f>VLOOKUP(WEEKDAY(KV7),$F$63:$G$908,2)</f>
        <v>S</v>
      </c>
      <c r="KW8" s="24" t="str">
        <f>VLOOKUP(WEEKDAY(KW7),$F$63:$G$908,2)</f>
        <v>D</v>
      </c>
      <c r="KX8" s="24" t="str">
        <f>VLOOKUP(WEEKDAY(KX7),$F$63:$G$908,2)</f>
        <v>L</v>
      </c>
      <c r="KY8" s="24" t="str">
        <f>VLOOKUP(WEEKDAY(KY7),$F$63:$G$908,2)</f>
        <v>M</v>
      </c>
      <c r="KZ8" s="24" t="str">
        <f>VLOOKUP(WEEKDAY(KZ7),$F$63:$G$908,2)</f>
        <v>M</v>
      </c>
      <c r="LA8" s="24" t="str">
        <f>VLOOKUP(WEEKDAY(LA7),$F$63:$G$908,2)</f>
        <v>J</v>
      </c>
      <c r="LB8" s="24" t="str">
        <f>VLOOKUP(WEEKDAY(LB7),$F$63:$G$908,2)</f>
        <v>V</v>
      </c>
      <c r="LC8" s="24" t="str">
        <f>VLOOKUP(WEEKDAY(LC7),$F$63:$G$908,2)</f>
        <v>S</v>
      </c>
      <c r="LD8" s="24" t="str">
        <f>VLOOKUP(WEEKDAY(LD7),$F$63:$G$908,2)</f>
        <v>D</v>
      </c>
      <c r="LE8" s="24" t="str">
        <f>VLOOKUP(WEEKDAY(LE7),$F$63:$G$908,2)</f>
        <v>L</v>
      </c>
      <c r="LF8" s="24" t="str">
        <f>VLOOKUP(WEEKDAY(LF7),$F$63:$G$908,2)</f>
        <v>M</v>
      </c>
      <c r="LG8" s="24" t="str">
        <f>VLOOKUP(WEEKDAY(LG7),$F$63:$G$908,2)</f>
        <v>M</v>
      </c>
      <c r="LH8" s="24" t="str">
        <f>VLOOKUP(WEEKDAY(LH7),$F$63:$G$908,2)</f>
        <v>J</v>
      </c>
      <c r="LI8" s="24" t="str">
        <f>VLOOKUP(WEEKDAY(LI7),$F$63:$G$908,2)</f>
        <v>V</v>
      </c>
      <c r="LJ8" s="24" t="str">
        <f>VLOOKUP(WEEKDAY(LJ7),$F$63:$G$908,2)</f>
        <v>S</v>
      </c>
      <c r="LK8" s="24" t="str">
        <f>VLOOKUP(WEEKDAY(LK7),$F$63:$G$908,2)</f>
        <v>D</v>
      </c>
      <c r="LL8" s="24" t="str">
        <f>VLOOKUP(WEEKDAY(LL7),$F$63:$G$908,2)</f>
        <v>L</v>
      </c>
      <c r="LM8" s="24" t="str">
        <f>VLOOKUP(WEEKDAY(LM7),$F$63:$G$908,2)</f>
        <v>M</v>
      </c>
      <c r="LN8" s="24" t="str">
        <f>VLOOKUP(WEEKDAY(LN7),$F$63:$G$908,2)</f>
        <v>M</v>
      </c>
      <c r="LO8" s="24" t="str">
        <f>VLOOKUP(WEEKDAY(LO7),$F$63:$G$908,2)</f>
        <v>J</v>
      </c>
      <c r="LP8" s="24" t="str">
        <f>VLOOKUP(WEEKDAY(LP7),$F$63:$G$908,2)</f>
        <v>V</v>
      </c>
      <c r="LQ8" s="24" t="str">
        <f>VLOOKUP(WEEKDAY(LQ7),$F$63:$G$908,2)</f>
        <v>S</v>
      </c>
      <c r="LR8" s="24" t="str">
        <f>VLOOKUP(WEEKDAY(LR7),$F$63:$G$908,2)</f>
        <v>D</v>
      </c>
      <c r="LS8" s="24" t="str">
        <f>VLOOKUP(WEEKDAY(LS7),$F$63:$G$908,2)</f>
        <v>L</v>
      </c>
      <c r="LT8" s="24" t="str">
        <f>VLOOKUP(WEEKDAY(LT7),$F$63:$G$908,2)</f>
        <v>M</v>
      </c>
      <c r="LU8" s="24" t="str">
        <f>VLOOKUP(WEEKDAY(LU7),$F$63:$G$908,2)</f>
        <v>M</v>
      </c>
      <c r="LV8" s="24" t="str">
        <f>VLOOKUP(WEEKDAY(LV7),$F$63:$G$908,2)</f>
        <v>J</v>
      </c>
      <c r="LW8" s="24" t="str">
        <f>VLOOKUP(WEEKDAY(LW7),$F$63:$G$908,2)</f>
        <v>V</v>
      </c>
      <c r="LX8" s="24" t="str">
        <f>VLOOKUP(WEEKDAY(LX7),$F$63:$G$908,2)</f>
        <v>S</v>
      </c>
      <c r="LY8" s="24" t="str">
        <f>VLOOKUP(WEEKDAY(LY7),$F$63:$G$908,2)</f>
        <v>D</v>
      </c>
      <c r="LZ8" s="24" t="str">
        <f>VLOOKUP(WEEKDAY(LZ7),$F$63:$G$908,2)</f>
        <v>L</v>
      </c>
      <c r="MA8" s="24" t="str">
        <f>VLOOKUP(WEEKDAY(MA7),$F$63:$G$908,2)</f>
        <v>M</v>
      </c>
      <c r="MB8" s="24" t="str">
        <f>VLOOKUP(WEEKDAY(MB7),$F$63:$G$908,2)</f>
        <v>M</v>
      </c>
      <c r="MC8" s="24" t="str">
        <f>VLOOKUP(WEEKDAY(MC7),$F$63:$G$908,2)</f>
        <v>J</v>
      </c>
      <c r="MD8" s="24" t="str">
        <f>VLOOKUP(WEEKDAY(MD7),$F$63:$G$908,2)</f>
        <v>V</v>
      </c>
      <c r="ME8" s="24" t="str">
        <f>VLOOKUP(WEEKDAY(ME7),$F$63:$G$908,2)</f>
        <v>S</v>
      </c>
      <c r="MF8" s="24" t="str">
        <f>VLOOKUP(WEEKDAY(MF7),$F$63:$G$908,2)</f>
        <v>D</v>
      </c>
      <c r="MG8" s="24" t="str">
        <f>VLOOKUP(WEEKDAY(MG7),$F$63:$G$908,2)</f>
        <v>L</v>
      </c>
      <c r="MH8" s="24" t="str">
        <f>VLOOKUP(WEEKDAY(MH7),$F$63:$G$908,2)</f>
        <v>M</v>
      </c>
      <c r="MI8" s="24" t="str">
        <f>VLOOKUP(WEEKDAY(MI7),$F$63:$G$908,2)</f>
        <v>M</v>
      </c>
      <c r="MJ8" s="24" t="str">
        <f>VLOOKUP(WEEKDAY(MJ7),$F$63:$G$908,2)</f>
        <v>J</v>
      </c>
      <c r="MK8" s="24" t="str">
        <f>VLOOKUP(WEEKDAY(MK7),$F$63:$G$908,2)</f>
        <v>V</v>
      </c>
      <c r="ML8" s="24" t="str">
        <f>VLOOKUP(WEEKDAY(ML7),$F$63:$G$908,2)</f>
        <v>S</v>
      </c>
      <c r="MM8" s="24" t="str">
        <f>VLOOKUP(WEEKDAY(MM7),$F$63:$G$908,2)</f>
        <v>D</v>
      </c>
      <c r="MN8" s="24" t="str">
        <f>VLOOKUP(WEEKDAY(MN7),$F$63:$G$908,2)</f>
        <v>L</v>
      </c>
      <c r="MO8" s="24" t="str">
        <f>VLOOKUP(WEEKDAY(MO7),$F$63:$G$908,2)</f>
        <v>M</v>
      </c>
      <c r="MP8" s="24" t="str">
        <f>VLOOKUP(WEEKDAY(MP7),$F$63:$G$908,2)</f>
        <v>M</v>
      </c>
      <c r="MQ8" s="24" t="str">
        <f>VLOOKUP(WEEKDAY(MQ7),$F$63:$G$908,2)</f>
        <v>J</v>
      </c>
      <c r="MR8" s="24" t="str">
        <f>VLOOKUP(WEEKDAY(MR7),$F$63:$G$908,2)</f>
        <v>V</v>
      </c>
      <c r="MS8" s="24" t="str">
        <f>VLOOKUP(WEEKDAY(MS7),$F$63:$G$908,2)</f>
        <v>S</v>
      </c>
      <c r="MT8" s="24" t="str">
        <f>VLOOKUP(WEEKDAY(MT7),$F$63:$G$908,2)</f>
        <v>D</v>
      </c>
      <c r="MU8" s="24" t="str">
        <f>VLOOKUP(WEEKDAY(MU7),$F$63:$G$908,2)</f>
        <v>L</v>
      </c>
      <c r="MV8" s="24" t="str">
        <f>VLOOKUP(WEEKDAY(MV7),$F$63:$G$908,2)</f>
        <v>M</v>
      </c>
      <c r="MW8" s="24" t="str">
        <f>VLOOKUP(WEEKDAY(MW7),$F$63:$G$908,2)</f>
        <v>M</v>
      </c>
      <c r="MX8" s="24" t="str">
        <f>VLOOKUP(WEEKDAY(MX7),$F$63:$G$908,2)</f>
        <v>J</v>
      </c>
      <c r="MY8" s="24" t="str">
        <f>VLOOKUP(WEEKDAY(MY7),$F$63:$G$908,2)</f>
        <v>V</v>
      </c>
      <c r="MZ8" s="24" t="str">
        <f>VLOOKUP(WEEKDAY(MZ7),$F$63:$G$908,2)</f>
        <v>S</v>
      </c>
      <c r="NA8" s="24" t="str">
        <f>VLOOKUP(WEEKDAY(NA7),$F$63:$G$908,2)</f>
        <v>D</v>
      </c>
      <c r="NB8" s="24" t="str">
        <f>VLOOKUP(WEEKDAY(NB7),$F$63:$G$908,2)</f>
        <v>L</v>
      </c>
      <c r="NC8" s="24" t="str">
        <f>VLOOKUP(WEEKDAY(NC7),$F$63:$G$908,2)</f>
        <v>M</v>
      </c>
      <c r="ND8" s="24" t="str">
        <f>VLOOKUP(WEEKDAY(ND7),$F$63:$G$908,2)</f>
        <v>M</v>
      </c>
      <c r="NE8" s="24" t="str">
        <f>VLOOKUP(WEEKDAY(NE7),$F$63:$G$908,2)</f>
        <v>J</v>
      </c>
      <c r="NF8" s="24" t="str">
        <f>VLOOKUP(WEEKDAY(NF7),$F$63:$G$908,2)</f>
        <v>V</v>
      </c>
      <c r="NG8" s="24" t="str">
        <f>VLOOKUP(WEEKDAY(NG7),$F$63:$G$908,2)</f>
        <v>S</v>
      </c>
      <c r="NH8" s="24" t="str">
        <f>VLOOKUP(WEEKDAY(NH7),$F$63:$G$908,2)</f>
        <v>D</v>
      </c>
      <c r="NI8" s="24" t="str">
        <f>VLOOKUP(WEEKDAY(NI7),$F$63:$G$908,2)</f>
        <v>L</v>
      </c>
      <c r="NJ8" s="24" t="str">
        <f>VLOOKUP(WEEKDAY(NJ7),$F$63:$G$908,2)</f>
        <v>M</v>
      </c>
      <c r="NK8" s="24" t="str">
        <f>VLOOKUP(WEEKDAY(NK7),$F$63:$G$908,2)</f>
        <v>M</v>
      </c>
      <c r="NL8" s="24" t="str">
        <f>VLOOKUP(WEEKDAY(NL7),$F$63:$G$908,2)</f>
        <v>J</v>
      </c>
      <c r="NM8" s="24" t="str">
        <f>VLOOKUP(WEEKDAY(NM7),$F$63:$G$908,2)</f>
        <v>V</v>
      </c>
      <c r="NN8" s="24" t="str">
        <f>VLOOKUP(WEEKDAY(NN7),$F$63:$G$908,2)</f>
        <v>S</v>
      </c>
      <c r="NO8" s="24" t="str">
        <f>VLOOKUP(WEEKDAY(NO7),$F$63:$G$908,2)</f>
        <v>D</v>
      </c>
      <c r="NP8" s="24" t="str">
        <f>VLOOKUP(WEEKDAY(NP7),$F$63:$G$908,2)</f>
        <v>L</v>
      </c>
      <c r="NQ8" s="24" t="str">
        <f>VLOOKUP(WEEKDAY(NQ7),$F$63:$G$908,2)</f>
        <v>M</v>
      </c>
      <c r="NR8" s="24" t="str">
        <f>VLOOKUP(WEEKDAY(NR7),$F$63:$G$908,2)</f>
        <v>M</v>
      </c>
      <c r="NS8" s="24" t="str">
        <f>VLOOKUP(WEEKDAY(NS7),$F$63:$G$908,2)</f>
        <v>J</v>
      </c>
      <c r="NT8" s="108" t="s">
        <v>10</v>
      </c>
      <c r="NU8" s="109"/>
      <c r="NV8" s="19" t="s">
        <v>26</v>
      </c>
      <c r="NW8" s="19"/>
      <c r="NX8" s="11">
        <v>42751</v>
      </c>
      <c r="NY8" s="11">
        <f>NX8+41</f>
        <v>42792</v>
      </c>
      <c r="NZ8" s="19" t="s">
        <v>26</v>
      </c>
      <c r="OA8" s="19"/>
      <c r="OB8" s="11">
        <f>NY8+1</f>
        <v>42793</v>
      </c>
      <c r="OC8" s="11">
        <f>OB8+41</f>
        <v>42834</v>
      </c>
      <c r="OD8" s="19" t="s">
        <v>26</v>
      </c>
      <c r="OE8" s="19"/>
      <c r="OF8" s="11">
        <f>OC8+1</f>
        <v>42835</v>
      </c>
      <c r="OG8" s="11">
        <f>OF8+41</f>
        <v>42876</v>
      </c>
      <c r="OH8" s="19" t="s">
        <v>26</v>
      </c>
      <c r="OI8" s="19"/>
      <c r="OJ8" s="11">
        <f>OG8+1</f>
        <v>42877</v>
      </c>
      <c r="OK8" s="11">
        <f>OJ8+41</f>
        <v>42918</v>
      </c>
      <c r="OL8" s="19" t="s">
        <v>26</v>
      </c>
      <c r="OM8" s="19"/>
      <c r="ON8" s="11">
        <f>OK8+1</f>
        <v>42919</v>
      </c>
      <c r="OO8" s="11">
        <f>ON8+41</f>
        <v>42960</v>
      </c>
      <c r="OP8" s="19" t="s">
        <v>26</v>
      </c>
      <c r="OQ8" s="19"/>
      <c r="OR8" s="11">
        <f>OO8+1</f>
        <v>42961</v>
      </c>
      <c r="OS8" s="11">
        <f>OR8+41</f>
        <v>43002</v>
      </c>
      <c r="OT8" s="19" t="s">
        <v>26</v>
      </c>
      <c r="OU8" s="19"/>
      <c r="OV8" s="11">
        <f>OS8+1</f>
        <v>43003</v>
      </c>
      <c r="OW8" s="11">
        <f>OV8+41</f>
        <v>43044</v>
      </c>
      <c r="OX8" s="19" t="s">
        <v>26</v>
      </c>
      <c r="OY8" s="19"/>
      <c r="OZ8" s="11">
        <f>OW8+1</f>
        <v>43045</v>
      </c>
      <c r="PA8" s="11">
        <f>OZ8+41</f>
        <v>43086</v>
      </c>
      <c r="PB8" s="19" t="s">
        <v>26</v>
      </c>
      <c r="PC8" s="19"/>
      <c r="PD8" s="11">
        <f>PA8+1</f>
        <v>43087</v>
      </c>
      <c r="PE8" s="11">
        <f>PD8+41</f>
        <v>43128</v>
      </c>
    </row>
    <row r="9" spans="1:421" ht="15.75" customHeight="1" thickBot="1" x14ac:dyDescent="0.3">
      <c r="C9" s="115" t="s">
        <v>39</v>
      </c>
      <c r="D9" s="102" t="s">
        <v>19</v>
      </c>
      <c r="E9" s="49" t="s">
        <v>8</v>
      </c>
      <c r="F9" s="15">
        <f>F11+F63+F99+F157+F167+F173+F121</f>
        <v>9</v>
      </c>
      <c r="G9" s="15">
        <f>G11+G63+G99+G157+G167+G173+G121</f>
        <v>0</v>
      </c>
      <c r="H9" s="15">
        <f>H11+H63+H99+H157+H167+H173+H121</f>
        <v>0</v>
      </c>
      <c r="I9" s="15">
        <f>I11+I63+I99+I157+I167+I173+I121</f>
        <v>10</v>
      </c>
      <c r="J9" s="15">
        <f>J11+J63+J99+J157+J167+J173+J121</f>
        <v>11</v>
      </c>
      <c r="K9" s="15">
        <f>K11+K63+K99+K157+K167+K173+K121</f>
        <v>8</v>
      </c>
      <c r="L9" s="15">
        <f>L11+L63+L99+L157+L167+L173+L121</f>
        <v>12</v>
      </c>
      <c r="M9" s="15">
        <f>M11+M63+M99+M157+M167+M173+M121</f>
        <v>8</v>
      </c>
      <c r="N9" s="15">
        <f>N11+N63+N99+N157+N167+N173+N121</f>
        <v>0</v>
      </c>
      <c r="O9" s="15">
        <f>O11+O63+O99+O157+O167+O173+O121</f>
        <v>0</v>
      </c>
      <c r="P9" s="68">
        <f>P11+P63+P99+P157+P167+P173+P121</f>
        <v>0</v>
      </c>
      <c r="Q9" s="15">
        <f>Q11+Q63+Q99+Q157+Q167+Q173+Q121</f>
        <v>8</v>
      </c>
      <c r="R9" s="15">
        <f>R11+R63+R99+R157+R167+R173+R121</f>
        <v>6</v>
      </c>
      <c r="S9" s="15">
        <f>S11+S63+S99+S157+S167+S173+S121</f>
        <v>11</v>
      </c>
      <c r="T9" s="15">
        <f>T11+T63+T99+T157+T167+T173+T121</f>
        <v>5</v>
      </c>
      <c r="U9" s="15">
        <f>U11+U63+U99+U157+U167+U173+U121</f>
        <v>0</v>
      </c>
      <c r="V9" s="15">
        <f>V11+V63+V99+V157+V167+V173+V121</f>
        <v>0</v>
      </c>
      <c r="W9" s="68">
        <f>W11+W63+W99+W157+W167+W173+W121</f>
        <v>0</v>
      </c>
      <c r="X9" s="15">
        <f>X11+X63+X99+X157+X167+X173+X121</f>
        <v>7</v>
      </c>
      <c r="Y9" s="15">
        <f>Y11+Y63+Y99+Y157+Y167+Y173+Y121</f>
        <v>7</v>
      </c>
      <c r="Z9" s="15">
        <f>Z11+Z63+Z99+Z157+Z167+Z173+Z121</f>
        <v>11</v>
      </c>
      <c r="AA9" s="15">
        <f>AA11+AA63+AA99+AA157+AA167+AA173+AA121</f>
        <v>6</v>
      </c>
      <c r="AB9" s="15">
        <f>AB11+AB63+AB99+AB157+AB167+AB173+AB121</f>
        <v>0</v>
      </c>
      <c r="AC9" s="15">
        <f>AC11+AC63+AC99+AC157+AC167+AC173+AC121</f>
        <v>0</v>
      </c>
      <c r="AD9" s="15">
        <f>AD11+AD63+AD99+AD157+AD167+AD173+AD121</f>
        <v>5</v>
      </c>
      <c r="AE9" s="15">
        <f>AE11+AE63+AE99+AE157+AE167+AE173+AE121</f>
        <v>9</v>
      </c>
      <c r="AF9" s="15">
        <f>AF11+AF63+AF99+AF157+AF167+AF173+AF121</f>
        <v>10</v>
      </c>
      <c r="AG9" s="15">
        <f>AG11+AG63+AG99+AG157+AG167+AG173+AG121</f>
        <v>15</v>
      </c>
      <c r="AH9" s="15">
        <f>AH11+AH63+AH99+AH157+AH167+AH173+AH121</f>
        <v>9</v>
      </c>
      <c r="AI9" s="15">
        <f>AI11+AI63+AI99+AI157+AI167+AI173+AI121</f>
        <v>0</v>
      </c>
      <c r="AJ9" s="15">
        <f>AJ11+AJ63+AJ99+AJ157+AJ167+AJ173+AJ121</f>
        <v>0</v>
      </c>
      <c r="AK9" s="15">
        <f>AK11+AK63+AK99+AK157+AK167+AK173+AK121</f>
        <v>8</v>
      </c>
      <c r="AL9" s="15">
        <f>AL11+AL63+AL99+AL157+AL167+AL173+AL121</f>
        <v>11</v>
      </c>
      <c r="AM9" s="15">
        <f>AM11+AM63+AM99+AM157+AM167+AM173+AM121</f>
        <v>8</v>
      </c>
      <c r="AN9" s="15">
        <f>AN11+AN63+AN99+AN157+AN167+AN173+AN121</f>
        <v>14</v>
      </c>
      <c r="AO9" s="15">
        <f>AO11+AO63+AO99+AO157+AO167+AO173+AO121</f>
        <v>6</v>
      </c>
      <c r="AP9" s="15">
        <f>AP11+AP63+AP99+AP157+AP167+AP173+AP121</f>
        <v>0</v>
      </c>
      <c r="AQ9" s="15">
        <f>AQ11+AQ63+AQ99+AQ157+AQ167+AQ173+AQ121</f>
        <v>0</v>
      </c>
      <c r="AR9" s="15">
        <f>AR11+AR63+AR99+AR157+AR167+AR173+AR121</f>
        <v>10</v>
      </c>
      <c r="AS9" s="15">
        <f>AS11+AS63+AS99+AS157+AS167+AS173+AS121</f>
        <v>12</v>
      </c>
      <c r="AT9" s="15">
        <f>AT11+AT63+AT99+AT157+AT167+AT173+AT121</f>
        <v>11</v>
      </c>
      <c r="AU9" s="15">
        <f>AU11+AU63+AU99+AU157+AU167+AU173+AU121</f>
        <v>15</v>
      </c>
      <c r="AV9" s="15">
        <f>AV11+AV63+AV99+AV157+AV167+AV173+AV121</f>
        <v>9</v>
      </c>
      <c r="AW9" s="15">
        <f>AW11+AW63+AW99+AW157+AW167+AW173+AW121</f>
        <v>0</v>
      </c>
      <c r="AX9" s="15">
        <f>AX11+AX63+AX99+AX157+AX167+AX173+AX121</f>
        <v>0</v>
      </c>
      <c r="AY9" s="15">
        <f>AY11+AY63+AY99+AY157+AY167+AY173+AY121</f>
        <v>8</v>
      </c>
      <c r="AZ9" s="15">
        <f>AZ11+AZ63+AZ99+AZ157+AZ167+AZ173+AZ121</f>
        <v>10</v>
      </c>
      <c r="BA9" s="15">
        <f>BA11+BA63+BA99+BA157+BA167+BA173+BA121</f>
        <v>6</v>
      </c>
      <c r="BB9" s="15">
        <f>BB11+BB63+BB99+BB157+BB167+BB173+BB121</f>
        <v>12</v>
      </c>
      <c r="BC9" s="15">
        <f>BC11+BC63+BC99+BC157+BC167+BC173+BC121</f>
        <v>5</v>
      </c>
      <c r="BD9" s="15">
        <f>BD11+BD63+BD99+BD157+BD167+BD173+BD121</f>
        <v>0</v>
      </c>
      <c r="BE9" s="15">
        <f>BE11+BE63+BE99+BE157+BE167+BE173+BE121</f>
        <v>0</v>
      </c>
      <c r="BF9" s="15">
        <f>BF11+BF63+BF99+BF157+BF167+BF173+BF121</f>
        <v>6</v>
      </c>
      <c r="BG9" s="15">
        <f>BG11+BG63+BG99+BG157+BG167+BG173+BG121</f>
        <v>8</v>
      </c>
      <c r="BH9" s="15">
        <f>BH11+BH63+BH99+BH157+BH167+BH173+BH121</f>
        <v>5</v>
      </c>
      <c r="BI9" s="15">
        <f>BI11+BI63+BI99+BI157+BI167+BI173+BI121</f>
        <v>11</v>
      </c>
      <c r="BJ9" s="15">
        <f>BJ11+BJ63+BJ99+BJ157+BJ167+BJ173+BJ121</f>
        <v>5</v>
      </c>
      <c r="BK9" s="15">
        <f>BK11+BK63+BK99+BK157+BK167+BK173+BK121</f>
        <v>0</v>
      </c>
      <c r="BL9" s="15">
        <f>BL11+BL63+BL99+BL157+BL167+BL173+BL121</f>
        <v>0</v>
      </c>
      <c r="BM9" s="15">
        <f>BM11+BM63+BM99+BM157+BM167+BM173+BM121</f>
        <v>6</v>
      </c>
      <c r="BN9" s="15">
        <f>BN11+BN63+BN99+BN157+BN167+BN173+BN121</f>
        <v>9</v>
      </c>
      <c r="BO9" s="15">
        <f>BO11+BO63+BO99+BO157+BO167+BO173+BO121</f>
        <v>6</v>
      </c>
      <c r="BP9" s="15">
        <f>BP11+BP63+BP99+BP157+BP167+BP173+BP121</f>
        <v>13</v>
      </c>
      <c r="BQ9" s="15">
        <f>BQ11+BQ63+BQ99+BQ157+BQ167+BQ173+BQ121</f>
        <v>6</v>
      </c>
      <c r="BR9" s="15">
        <f>BR11+BR63+BR99+BR157+BR167+BR173+BR121</f>
        <v>0</v>
      </c>
      <c r="BS9" s="15">
        <f>BS11+BS63+BS99+BS157+BS167+BS173+BS121</f>
        <v>0</v>
      </c>
      <c r="BT9" s="15">
        <f>BT11+BT63+BT99+BT157+BT167+BT173+BT121</f>
        <v>7</v>
      </c>
      <c r="BU9" s="15">
        <f>BU11+BU63+BU99+BU157+BU167+BU173+BU121</f>
        <v>10</v>
      </c>
      <c r="BV9" s="15">
        <f>BV11+BV63+BV99+BV157+BV167+BV173+BV121</f>
        <v>7</v>
      </c>
      <c r="BW9" s="15">
        <f>BW11+BW63+BW99+BW157+BW167+BW173+BW121</f>
        <v>13</v>
      </c>
      <c r="BX9" s="15">
        <f>BX11+BX63+BX99+BX157+BX167+BX173+BX121</f>
        <v>6</v>
      </c>
      <c r="BY9" s="15">
        <f>BY11+BY63+BY99+BY157+BY167+BY173+BY121</f>
        <v>0</v>
      </c>
      <c r="BZ9" s="15">
        <f>BZ11+BZ63+BZ99+BZ157+BZ167+BZ173+BZ121</f>
        <v>0</v>
      </c>
      <c r="CA9" s="15">
        <f>CA11+CA63+CA99+CA157+CA167+CA173+CA121</f>
        <v>7</v>
      </c>
      <c r="CB9" s="15">
        <f>CB11+CB63+CB99+CB157+CB167+CB173+CB121</f>
        <v>12</v>
      </c>
      <c r="CC9" s="15">
        <f>CC11+CC63+CC99+CC157+CC167+CC173+CC121</f>
        <v>7</v>
      </c>
      <c r="CD9" s="15">
        <f>CD11+CD63+CD99+CD157+CD167+CD173+CD121</f>
        <v>13</v>
      </c>
      <c r="CE9" s="15">
        <f>CE11+CE63+CE99+CE157+CE167+CE173+CE121</f>
        <v>6</v>
      </c>
      <c r="CF9" s="15">
        <f>CF11+CF63+CF99+CF157+CF167+CF173+CF121</f>
        <v>0</v>
      </c>
      <c r="CG9" s="15">
        <f>CG11+CG63+CG99+CG157+CG167+CG173+CG121</f>
        <v>0</v>
      </c>
      <c r="CH9" s="15">
        <f>CH11+CH63+CH99+CH157+CH167+CH173+CH121</f>
        <v>5</v>
      </c>
      <c r="CI9" s="15">
        <f>CI11+CI63+CI99+CI157+CI167+CI173+CI121</f>
        <v>8</v>
      </c>
      <c r="CJ9" s="15">
        <f>CJ11+CJ63+CJ99+CJ157+CJ167+CJ173+CJ121</f>
        <v>5</v>
      </c>
      <c r="CK9" s="15">
        <f>CK11+CK63+CK99+CK157+CK167+CK173+CK121</f>
        <v>11</v>
      </c>
      <c r="CL9" s="15">
        <f>CL11+CL63+CL99+CL157+CL167+CL173+CL121</f>
        <v>5</v>
      </c>
      <c r="CM9" s="15">
        <f>CM11+CM63+CM99+CM157+CM167+CM173+CM121</f>
        <v>0</v>
      </c>
      <c r="CN9" s="15">
        <f>CN11+CN63+CN99+CN157+CN167+CN173+CN121</f>
        <v>0</v>
      </c>
      <c r="CO9" s="15">
        <f>CO11+CO63+CO99+CO157+CO167+CO173+CO121</f>
        <v>5</v>
      </c>
      <c r="CP9" s="15">
        <f>CP11+CP63+CP99+CP157+CP167+CP173+CP121</f>
        <v>8</v>
      </c>
      <c r="CQ9" s="15">
        <f>CQ11+CQ63+CQ99+CQ157+CQ167+CQ173+CQ121</f>
        <v>5</v>
      </c>
      <c r="CR9" s="15">
        <f>CR11+CR63+CR99+CR157+CR167+CR173+CR121</f>
        <v>11</v>
      </c>
      <c r="CS9" s="15">
        <f>CS11+CS63+CS99+CS157+CS167+CS173+CS121</f>
        <v>5</v>
      </c>
      <c r="CT9" s="15">
        <f>CT11+CT63+CT99+CT157+CT167+CT173+CT121</f>
        <v>0</v>
      </c>
      <c r="CU9" s="15">
        <f>CU11+CU63+CU99+CU157+CU167+CU173+CU121</f>
        <v>0</v>
      </c>
      <c r="CV9" s="15">
        <f>CV11+CV63+CV99+CV157+CV167+CV173+CV121</f>
        <v>5</v>
      </c>
      <c r="CW9" s="15">
        <f>CW11+CW63+CW99+CW157+CW167+CW173+CW121</f>
        <v>8</v>
      </c>
      <c r="CX9" s="15">
        <f>CX11+CX63+CX99+CX157+CX167+CX173+CX121</f>
        <v>5</v>
      </c>
      <c r="CY9" s="15">
        <f>CY11+CY63+CY99+CY157+CY167+CY173+CY121</f>
        <v>11</v>
      </c>
      <c r="CZ9" s="15">
        <f>CZ11+CZ63+CZ99+CZ157+CZ167+CZ173+CZ121</f>
        <v>5</v>
      </c>
      <c r="DA9" s="15">
        <f>DA11+DA63+DA99+DA157+DA167+DA173+DA121</f>
        <v>0</v>
      </c>
      <c r="DB9" s="15">
        <f>DB11+DB63+DB99+DB157+DB167+DB173+DB121</f>
        <v>0</v>
      </c>
      <c r="DC9" s="15">
        <f>DC11+DC63+DC99+DC157+DC167+DC173+DC121</f>
        <v>5</v>
      </c>
      <c r="DD9" s="15">
        <f>DD11+DD63+DD99+DD157+DD167+DD173+DD121</f>
        <v>8</v>
      </c>
      <c r="DE9" s="15">
        <f>DE11+DE63+DE99+DE157+DE167+DE173+DE121</f>
        <v>5</v>
      </c>
      <c r="DF9" s="15">
        <f>DF11+DF63+DF99+DF157+DF167+DF173+DF121</f>
        <v>11</v>
      </c>
      <c r="DG9" s="15">
        <f>DG11+DG63+DG99+DG157+DG167+DG173+DG121</f>
        <v>5</v>
      </c>
      <c r="DH9" s="15">
        <f>DH11+DH63+DH99+DH157+DH167+DH173+DH121</f>
        <v>0</v>
      </c>
      <c r="DI9" s="15">
        <f>DI11+DI63+DI99+DI157+DI167+DI173+DI121</f>
        <v>0</v>
      </c>
      <c r="DJ9" s="15">
        <f>DJ11+DJ63+DJ99+DJ157+DJ167+DJ173+DJ121</f>
        <v>5</v>
      </c>
      <c r="DK9" s="15">
        <f>DK11+DK63+DK99+DK157+DK167+DK173+DK121</f>
        <v>10</v>
      </c>
      <c r="DL9" s="15">
        <f>DL11+DL63+DL99+DL157+DL167+DL173+DL121</f>
        <v>6</v>
      </c>
      <c r="DM9" s="15">
        <f>DM11+DM63+DM99+DM157+DM167+DM173+DM121</f>
        <v>12</v>
      </c>
      <c r="DN9" s="15">
        <f>DN11+DN63+DN99+DN157+DN167+DN173+DN121</f>
        <v>5</v>
      </c>
      <c r="DO9" s="15">
        <f>DO11+DO63+DO99+DO157+DO167+DO173+DO121</f>
        <v>0</v>
      </c>
      <c r="DP9" s="15">
        <f>DP11+DP63+DP99+DP157+DP167+DP173+DP121</f>
        <v>0</v>
      </c>
      <c r="DQ9" s="15">
        <f>DQ11+DQ63+DQ99+DQ157+DQ167+DQ173+DQ121</f>
        <v>5</v>
      </c>
      <c r="DR9" s="15">
        <f>DR11+DR63+DR99+DR157+DR167+DR173+DR121</f>
        <v>8</v>
      </c>
      <c r="DS9" s="15">
        <f>DS11+DS63+DS99+DS157+DS167+DS173+DS121</f>
        <v>5</v>
      </c>
      <c r="DT9" s="15">
        <f>DT11+DT63+DT99+DT157+DT167+DT173+DT121</f>
        <v>11</v>
      </c>
      <c r="DU9" s="15">
        <f>DU11+DU63+DU99+DU157+DU167+DU173+DU121</f>
        <v>5</v>
      </c>
      <c r="DV9" s="15">
        <f>DV11+DV63+DV99+DV157+DV167+DV173+DV121</f>
        <v>0</v>
      </c>
      <c r="DW9" s="15">
        <f>DW11+DW63+DW99+DW157+DW167+DW173+DW121</f>
        <v>0</v>
      </c>
      <c r="DX9" s="15">
        <f>DX11+DX63+DX99+DX157+DX167+DX173+DX121</f>
        <v>5</v>
      </c>
      <c r="DY9" s="15">
        <f>DY11+DY63+DY99+DY157+DY167+DY173+DY121</f>
        <v>8</v>
      </c>
      <c r="DZ9" s="15">
        <f>DZ11+DZ63+DZ99+DZ157+DZ167+DZ173+DZ121</f>
        <v>5</v>
      </c>
      <c r="EA9" s="15">
        <f>EA11+EA63+EA99+EA157+EA167+EA173+EA121</f>
        <v>11</v>
      </c>
      <c r="EB9" s="15">
        <f>EB11+EB63+EB99+EB157+EB167+EB173+EB121</f>
        <v>5</v>
      </c>
      <c r="EC9" s="15">
        <f>EC11+EC63+EC99+EC157+EC167+EC173+EC121</f>
        <v>0</v>
      </c>
      <c r="ED9" s="15">
        <f>ED11+ED63+ED99+ED157+ED167+ED173+ED121</f>
        <v>0</v>
      </c>
      <c r="EE9" s="15">
        <f>EE11+EE63+EE99+EE157+EE167+EE173+EE121</f>
        <v>5</v>
      </c>
      <c r="EF9" s="15">
        <f>EF11+EF63+EF99+EF157+EF167+EF173+EF121</f>
        <v>8</v>
      </c>
      <c r="EG9" s="15">
        <f>EG11+EG63+EG99+EG157+EG167+EG173+EG121</f>
        <v>5</v>
      </c>
      <c r="EH9" s="15">
        <f>EH11+EH63+EH99+EH157+EH167+EH173+EH121</f>
        <v>11</v>
      </c>
      <c r="EI9" s="15">
        <f>EI11+EI63+EI99+EI157+EI167+EI173+EI121</f>
        <v>5</v>
      </c>
      <c r="EJ9" s="15">
        <f>EJ11+EJ63+EJ99+EJ157+EJ167+EJ173+EJ121</f>
        <v>0</v>
      </c>
      <c r="EK9" s="15">
        <f>EK11+EK63+EK99+EK157+EK167+EK173+EK121</f>
        <v>0</v>
      </c>
      <c r="EL9" s="15">
        <f>EL11+EL63+EL99+EL157+EL167+EL173+EL121</f>
        <v>5</v>
      </c>
      <c r="EM9" s="15">
        <f>EM11+EM63+EM99+EM157+EM167+EM173+EM121</f>
        <v>8</v>
      </c>
      <c r="EN9" s="15">
        <f>EN11+EN63+EN99+EN157+EN167+EN173+EN121</f>
        <v>5</v>
      </c>
      <c r="EO9" s="15">
        <f>EO11+EO63+EO99+EO157+EO167+EO173+EO121</f>
        <v>11</v>
      </c>
      <c r="EP9" s="15">
        <f>EP11+EP63+EP99+EP157+EP167+EP173+EP121</f>
        <v>5</v>
      </c>
      <c r="EQ9" s="15">
        <f>EQ11+EQ63+EQ99+EQ157+EQ167+EQ173+EQ121</f>
        <v>0</v>
      </c>
      <c r="ER9" s="15">
        <f>ER11+ER63+ER99+ER157+ER167+ER173+ER121</f>
        <v>0</v>
      </c>
      <c r="ES9" s="15">
        <f>ES11+ES63+ES99+ES157+ES167+ES173+ES121</f>
        <v>5</v>
      </c>
      <c r="ET9" s="15">
        <f>ET11+ET63+ET99+ET157+ET167+ET173+ET121</f>
        <v>10</v>
      </c>
      <c r="EU9" s="15">
        <f>EU11+EU63+EU99+EU157+EU167+EU173+EU121</f>
        <v>6</v>
      </c>
      <c r="EV9" s="15">
        <f>EV11+EV63+EV99+EV157+EV167+EV173+EV121</f>
        <v>12</v>
      </c>
      <c r="EW9" s="15">
        <f>EW11+EW63+EW99+EW157+EW167+EW173+EW121</f>
        <v>5</v>
      </c>
      <c r="EX9" s="15">
        <f>EX11+EX63+EX99+EX157+EX167+EX173+EX121</f>
        <v>0</v>
      </c>
      <c r="EY9" s="15">
        <f>EY11+EY63+EY99+EY157+EY167+EY173+EY121</f>
        <v>0</v>
      </c>
      <c r="EZ9" s="15">
        <f>EZ11+EZ63+EZ99+EZ157+EZ167+EZ173+EZ121</f>
        <v>5</v>
      </c>
      <c r="FA9" s="15">
        <f>FA11+FA63+FA99+FA157+FA167+FA173+FA121</f>
        <v>8</v>
      </c>
      <c r="FB9" s="15">
        <f>FB11+FB63+FB99+FB157+FB167+FB173+FB121</f>
        <v>5</v>
      </c>
      <c r="FC9" s="15">
        <f>FC11+FC63+FC99+FC157+FC167+FC173+FC121</f>
        <v>11</v>
      </c>
      <c r="FD9" s="15">
        <f>FD11+FD63+FD99+FD157+FD167+FD173+FD121</f>
        <v>5</v>
      </c>
      <c r="FE9" s="15">
        <f>FE11+FE63+FE99+FE157+FE167+FE173+FE121</f>
        <v>0</v>
      </c>
      <c r="FF9" s="15">
        <f>FF11+FF63+FF99+FF157+FF167+FF173+FF121</f>
        <v>0</v>
      </c>
      <c r="FG9" s="15">
        <f>FG11+FG63+FG99+FG157+FG167+FG173+FG121</f>
        <v>5</v>
      </c>
      <c r="FH9" s="15">
        <f>FH11+FH63+FH99+FH157+FH167+FH173+FH121</f>
        <v>8</v>
      </c>
      <c r="FI9" s="15">
        <f>FI11+FI63+FI99+FI157+FI167+FI173+FI121</f>
        <v>5</v>
      </c>
      <c r="FJ9" s="15">
        <f>FJ11+FJ63+FJ99+FJ157+FJ167+FJ173+FJ121</f>
        <v>11</v>
      </c>
      <c r="FK9" s="15">
        <f>FK11+FK63+FK99+FK157+FK167+FK173+FK121</f>
        <v>5</v>
      </c>
      <c r="FL9" s="15">
        <f>FL11+FL63+FL99+FL157+FL167+FL173+FL121</f>
        <v>0</v>
      </c>
      <c r="FM9" s="15">
        <f>FM11+FM63+FM99+FM157+FM167+FM173+FM121</f>
        <v>0</v>
      </c>
      <c r="FN9" s="15">
        <f>FN11+FN63+FN99+FN157+FN167+FN173+FN121</f>
        <v>5</v>
      </c>
      <c r="FO9" s="15">
        <f>FO11+FO63+FO99+FO157+FO167+FO173+FO121</f>
        <v>8</v>
      </c>
      <c r="FP9" s="15">
        <f>FP11+FP63+FP99+FP157+FP167+FP173+FP121</f>
        <v>5</v>
      </c>
      <c r="FQ9" s="15">
        <f>FQ11+FQ63+FQ99+FQ157+FQ167+FQ173+FQ121</f>
        <v>11</v>
      </c>
      <c r="FR9" s="15">
        <f>FR11+FR63+FR99+FR157+FR167+FR173+FR121</f>
        <v>5</v>
      </c>
      <c r="FS9" s="15">
        <f>FS11+FS63+FS99+FS157+FS167+FS173+FS121</f>
        <v>0</v>
      </c>
      <c r="FT9" s="15">
        <f>FT11+FT63+FT99+FT157+FT167+FT173+FT121</f>
        <v>0</v>
      </c>
      <c r="FU9" s="15">
        <f>FU11+FU63+FU99+FU157+FU167+FU173+FU121</f>
        <v>5</v>
      </c>
      <c r="FV9" s="15">
        <f>FV11+FV63+FV99+FV157+FV167+FV173+FV121</f>
        <v>8</v>
      </c>
      <c r="FW9" s="15">
        <f>FW11+FW63+FW99+FW157+FW167+FW173+FW121</f>
        <v>5</v>
      </c>
      <c r="FX9" s="15">
        <f>FX11+FX63+FX99+FX157+FX167+FX173+FX121</f>
        <v>11</v>
      </c>
      <c r="FY9" s="15">
        <f>FY11+FY63+FY99+FY157+FY167+FY173+FY121</f>
        <v>5</v>
      </c>
      <c r="FZ9" s="15">
        <f>FZ11+FZ63+FZ99+FZ157+FZ167+FZ173+FZ121</f>
        <v>0</v>
      </c>
      <c r="GA9" s="15">
        <f>GA11+GA63+GA99+GA157+GA167+GA173+GA121</f>
        <v>0</v>
      </c>
      <c r="GB9" s="15">
        <f>GB11+GB63+GB99+GB157+GB167+GB173+GB121</f>
        <v>5</v>
      </c>
      <c r="GC9" s="15">
        <f>GC11+GC63+GC99+GC157+GC167+GC173+GC121</f>
        <v>10</v>
      </c>
      <c r="GD9" s="15">
        <f>GD11+GD63+GD99+GD157+GD167+GD173+GD121</f>
        <v>6</v>
      </c>
      <c r="GE9" s="15">
        <f>GE11+GE63+GE99+GE157+GE167+GE173+GE121</f>
        <v>12</v>
      </c>
      <c r="GF9" s="15">
        <f>GF11+GF63+GF99+GF157+GF167+GF173+GF121</f>
        <v>5</v>
      </c>
      <c r="GG9" s="15">
        <f>GG11+GG63+GG99+GG157+GG167+GG173+GG121</f>
        <v>0</v>
      </c>
      <c r="GH9" s="15">
        <f>GH11+GH63+GH99+GH157+GH167+GH173+GH121</f>
        <v>0</v>
      </c>
      <c r="GI9" s="15">
        <f>GI11+GI63+GI99+GI157+GI167+GI173+GI121</f>
        <v>5</v>
      </c>
      <c r="GJ9" s="15">
        <f>GJ11+GJ63+GJ99+GJ157+GJ167+GJ173+GJ121</f>
        <v>8</v>
      </c>
      <c r="GK9" s="15">
        <f>GK11+GK63+GK99+GK157+GK167+GK173+GK121</f>
        <v>5</v>
      </c>
      <c r="GL9" s="15">
        <f>GL11+GL63+GL99+GL157+GL167+GL173+GL121</f>
        <v>11</v>
      </c>
      <c r="GM9" s="15">
        <f>GM11+GM63+GM99+GM157+GM167+GM173+GM121</f>
        <v>5</v>
      </c>
      <c r="GN9" s="15">
        <f>GN11+GN63+GN99+GN157+GN167+GN173+GN121</f>
        <v>0</v>
      </c>
      <c r="GO9" s="15">
        <f>GO11+GO63+GO99+GO157+GO167+GO173+GO121</f>
        <v>0</v>
      </c>
      <c r="GP9" s="15">
        <f>GP11+GP63+GP99+GP157+GP167+GP173+GP121</f>
        <v>5</v>
      </c>
      <c r="GQ9" s="15">
        <f>GQ11+GQ63+GQ99+GQ157+GQ167+GQ173+GQ121</f>
        <v>8</v>
      </c>
      <c r="GR9" s="15">
        <f>GR11+GR63+GR99+GR157+GR167+GR173+GR121</f>
        <v>5</v>
      </c>
      <c r="GS9" s="15">
        <f>GS11+GS63+GS99+GS157+GS167+GS173+GS121</f>
        <v>11</v>
      </c>
      <c r="GT9" s="15">
        <f>GT11+GT63+GT99+GT157+GT167+GT173+GT121</f>
        <v>5</v>
      </c>
      <c r="GU9" s="15">
        <f>GU11+GU63+GU99+GU157+GU167+GU173+GU121</f>
        <v>0</v>
      </c>
      <c r="GV9" s="15">
        <f>GV11+GV63+GV99+GV157+GV167+GV173+GV121</f>
        <v>0</v>
      </c>
      <c r="GW9" s="15">
        <f>GW11+GW63+GW99+GW157+GW167+GW173+GW121</f>
        <v>5</v>
      </c>
      <c r="GX9" s="15">
        <f>GX11+GX63+GX99+GX157+GX167+GX173+GX121</f>
        <v>8</v>
      </c>
      <c r="GY9" s="15">
        <f>GY11+GY63+GY99+GY157+GY167+GY173+GY121</f>
        <v>5</v>
      </c>
      <c r="GZ9" s="15">
        <f>GZ11+GZ63+GZ99+GZ157+GZ167+GZ173+GZ121</f>
        <v>11</v>
      </c>
      <c r="HA9" s="15">
        <f>HA11+HA63+HA99+HA157+HA167+HA173+HA121</f>
        <v>5</v>
      </c>
      <c r="HB9" s="15">
        <f>HB11+HB63+HB99+HB157+HB167+HB173+HB121</f>
        <v>0</v>
      </c>
      <c r="HC9" s="15">
        <f>HC11+HC63+HC99+HC157+HC167+HC173+HC121</f>
        <v>0</v>
      </c>
      <c r="HD9" s="15">
        <f>HD11+HD63+HD99+HD157+HD167+HD173+HD121</f>
        <v>5</v>
      </c>
      <c r="HE9" s="15">
        <f>HE11+HE63+HE99+HE157+HE167+HE173+HE121</f>
        <v>8</v>
      </c>
      <c r="HF9" s="15">
        <f>HF11+HF63+HF99+HF157+HF167+HF173+HF121</f>
        <v>5</v>
      </c>
      <c r="HG9" s="15">
        <f>HG11+HG63+HG99+HG157+HG167+HG173+HG121</f>
        <v>11</v>
      </c>
      <c r="HH9" s="15">
        <f>HH11+HH63+HH99+HH157+HH167+HH173+HH121</f>
        <v>5</v>
      </c>
      <c r="HI9" s="15">
        <f>HI11+HI63+HI99+HI157+HI167+HI173+HI121</f>
        <v>0</v>
      </c>
      <c r="HJ9" s="15">
        <f>HJ11+HJ63+HJ99+HJ157+HJ167+HJ173+HJ121</f>
        <v>0</v>
      </c>
      <c r="HK9" s="15">
        <f>HK11+HK63+HK99+HK157+HK167+HK173+HK121</f>
        <v>5</v>
      </c>
      <c r="HL9" s="15">
        <f>HL11+HL63+HL99+HL157+HL167+HL173+HL121</f>
        <v>10</v>
      </c>
      <c r="HM9" s="15">
        <f>HM11+HM63+HM99+HM157+HM167+HM173+HM121</f>
        <v>6</v>
      </c>
      <c r="HN9" s="15">
        <f>HN11+HN63+HN99+HN157+HN167+HN173+HN121</f>
        <v>12</v>
      </c>
      <c r="HO9" s="15">
        <f>HO11+HO63+HO99+HO157+HO167+HO173+HO121</f>
        <v>5</v>
      </c>
      <c r="HP9" s="15">
        <f>HP11+HP63+HP99+HP157+HP167+HP173+HP121</f>
        <v>0</v>
      </c>
      <c r="HQ9" s="15">
        <f>HQ11+HQ63+HQ99+HQ157+HQ167+HQ173+HQ121</f>
        <v>0</v>
      </c>
      <c r="HR9" s="15">
        <f>HR11+HR63+HR99+HR157+HR167+HR173+HR121</f>
        <v>5</v>
      </c>
      <c r="HS9" s="15">
        <f>HS11+HS63+HS99+HS157+HS167+HS173+HS121</f>
        <v>8</v>
      </c>
      <c r="HT9" s="15">
        <f>HT11+HT63+HT99+HT157+HT167+HT173+HT121</f>
        <v>5</v>
      </c>
      <c r="HU9" s="15">
        <f>HU11+HU63+HU99+HU157+HU167+HU173+HU121</f>
        <v>11</v>
      </c>
      <c r="HV9" s="15">
        <f>HV11+HV63+HV99+HV157+HV167+HV173+HV121</f>
        <v>5</v>
      </c>
      <c r="HW9" s="15">
        <f>HW11+HW63+HW99+HW157+HW167+HW173+HW121</f>
        <v>0</v>
      </c>
      <c r="HX9" s="15">
        <f>HX11+HX63+HX99+HX157+HX167+HX173+HX121</f>
        <v>0</v>
      </c>
      <c r="HY9" s="15">
        <f>HY11+HY63+HY99+HY157+HY167+HY173+HY121</f>
        <v>5</v>
      </c>
      <c r="HZ9" s="15">
        <f>HZ11+HZ63+HZ99+HZ157+HZ167+HZ173+HZ121</f>
        <v>8</v>
      </c>
      <c r="IA9" s="15">
        <f>IA11+IA63+IA99+IA157+IA167+IA173+IA121</f>
        <v>5</v>
      </c>
      <c r="IB9" s="15">
        <f>IB11+IB63+IB99+IB157+IB167+IB173+IB121</f>
        <v>11</v>
      </c>
      <c r="IC9" s="15">
        <f>IC11+IC63+IC99+IC157+IC167+IC173+IC121</f>
        <v>5</v>
      </c>
      <c r="ID9" s="15">
        <f>ID11+ID63+ID99+ID157+ID167+ID173+ID121</f>
        <v>0</v>
      </c>
      <c r="IE9" s="15">
        <f>IE11+IE63+IE99+IE157+IE167+IE173+IE121</f>
        <v>0</v>
      </c>
      <c r="IF9" s="15">
        <f>IF11+IF63+IF99+IF157+IF167+IF173+IF121</f>
        <v>5</v>
      </c>
      <c r="IG9" s="15">
        <f>IG11+IG63+IG99+IG157+IG167+IG173+IG121</f>
        <v>8</v>
      </c>
      <c r="IH9" s="15">
        <f>IH11+IH63+IH99+IH157+IH167+IH173+IH121</f>
        <v>5</v>
      </c>
      <c r="II9" s="15">
        <f>II11+II63+II99+II157+II167+II173+II121</f>
        <v>11</v>
      </c>
      <c r="IJ9" s="15">
        <f>IJ11+IJ63+IJ99+IJ157+IJ167+IJ173+IJ121</f>
        <v>5</v>
      </c>
      <c r="IK9" s="15">
        <f>IK11+IK63+IK99+IK157+IK167+IK173+IK121</f>
        <v>0</v>
      </c>
      <c r="IL9" s="15">
        <f>IL11+IL63+IL99+IL157+IL167+IL173+IL121</f>
        <v>0</v>
      </c>
      <c r="IM9" s="15">
        <f>IM11+IM63+IM99+IM157+IM167+IM173+IM121</f>
        <v>5</v>
      </c>
      <c r="IN9" s="15">
        <f>IN11+IN63+IN99+IN157+IN167+IN173+IN121</f>
        <v>8</v>
      </c>
      <c r="IO9" s="15">
        <f>IO11+IO63+IO99+IO157+IO167+IO173+IO121</f>
        <v>5</v>
      </c>
      <c r="IP9" s="15">
        <f>IP11+IP63+IP99+IP157+IP167+IP173+IP121</f>
        <v>11</v>
      </c>
      <c r="IQ9" s="15">
        <f>IQ11+IQ63+IQ99+IQ157+IQ167+IQ173+IQ121</f>
        <v>5</v>
      </c>
      <c r="IR9" s="15">
        <f>IR11+IR63+IR99+IR157+IR167+IR173+IR121</f>
        <v>0</v>
      </c>
      <c r="IS9" s="15">
        <f>IS11+IS63+IS99+IS157+IS167+IS173+IS121</f>
        <v>0</v>
      </c>
      <c r="IT9" s="15">
        <f>IT11+IT63+IT99+IT157+IT167+IT173+IT121</f>
        <v>5</v>
      </c>
      <c r="IU9" s="15">
        <f>IU11+IU63+IU99+IU157+IU167+IU173+IU121</f>
        <v>10</v>
      </c>
      <c r="IV9" s="15">
        <f>IV11+IV63+IV99+IV157+IV167+IV173+IV121</f>
        <v>6</v>
      </c>
      <c r="IW9" s="15">
        <f>IW11+IW63+IW99+IW157+IW167+IW173+IW121</f>
        <v>12</v>
      </c>
      <c r="IX9" s="15">
        <f>IX11+IX63+IX99+IX157+IX167+IX173+IX121</f>
        <v>5</v>
      </c>
      <c r="IY9" s="15">
        <f>IY11+IY63+IY99+IY157+IY167+IY173+IY121</f>
        <v>0</v>
      </c>
      <c r="IZ9" s="15">
        <f>IZ11+IZ63+IZ99+IZ157+IZ167+IZ173+IZ121</f>
        <v>0</v>
      </c>
      <c r="JA9" s="15">
        <f>JA11+JA63+JA99+JA157+JA167+JA173+JA121</f>
        <v>5</v>
      </c>
      <c r="JB9" s="15">
        <f>JB11+JB63+JB99+JB157+JB167+JB173+JB121</f>
        <v>8</v>
      </c>
      <c r="JC9" s="15">
        <f>JC11+JC63+JC99+JC157+JC167+JC173+JC121</f>
        <v>5</v>
      </c>
      <c r="JD9" s="15">
        <f>JD11+JD63+JD99+JD157+JD167+JD173+JD121</f>
        <v>11</v>
      </c>
      <c r="JE9" s="15">
        <f>JE11+JE63+JE99+JE157+JE167+JE173+JE121</f>
        <v>5</v>
      </c>
      <c r="JF9" s="15">
        <f>JF11+JF63+JF99+JF157+JF167+JF173+JF121</f>
        <v>0</v>
      </c>
      <c r="JG9" s="15">
        <f>JG11+JG63+JG99+JG157+JG167+JG173+JG121</f>
        <v>0</v>
      </c>
      <c r="JH9" s="15">
        <f>JH11+JH63+JH99+JH157+JH167+JH173+JH121</f>
        <v>5</v>
      </c>
      <c r="JI9" s="15">
        <f>JI11+JI63+JI99+JI157+JI167+JI173+JI121</f>
        <v>8</v>
      </c>
      <c r="JJ9" s="15">
        <f>JJ11+JJ63+JJ99+JJ157+JJ167+JJ173+JJ121</f>
        <v>5</v>
      </c>
      <c r="JK9" s="15">
        <f>JK11+JK63+JK99+JK157+JK167+JK173+JK121</f>
        <v>11</v>
      </c>
      <c r="JL9" s="15">
        <f>JL11+JL63+JL99+JL157+JL167+JL173+JL121</f>
        <v>5</v>
      </c>
      <c r="JM9" s="15">
        <f>JM11+JM63+JM99+JM157+JM167+JM173+JM121</f>
        <v>0</v>
      </c>
      <c r="JN9" s="15">
        <f>JN11+JN63+JN99+JN157+JN167+JN173+JN121</f>
        <v>0</v>
      </c>
      <c r="JO9" s="15">
        <f>JO11+JO63+JO99+JO157+JO167+JO173+JO121</f>
        <v>5</v>
      </c>
      <c r="JP9" s="15">
        <f>JP11+JP63+JP99+JP157+JP167+JP173+JP121</f>
        <v>8</v>
      </c>
      <c r="JQ9" s="15">
        <f>JQ11+JQ63+JQ99+JQ157+JQ167+JQ173+JQ121</f>
        <v>5</v>
      </c>
      <c r="JR9" s="15">
        <f>JR11+JR63+JR99+JR157+JR167+JR173+JR121</f>
        <v>11</v>
      </c>
      <c r="JS9" s="15">
        <f>JS11+JS63+JS99+JS157+JS167+JS173+JS121</f>
        <v>5</v>
      </c>
      <c r="JT9" s="15">
        <f>JT11+JT63+JT99+JT157+JT167+JT173+JT121</f>
        <v>0</v>
      </c>
      <c r="JU9" s="15">
        <f>JU11+JU63+JU99+JU157+JU167+JU173+JU121</f>
        <v>0</v>
      </c>
      <c r="JV9" s="15">
        <f>JV11+JV63+JV99+JV157+JV167+JV173+JV121</f>
        <v>5</v>
      </c>
      <c r="JW9" s="15">
        <f>JW11+JW63+JW99+JW157+JW167+JW173+JW121</f>
        <v>8</v>
      </c>
      <c r="JX9" s="15">
        <f>JX11+JX63+JX99+JX157+JX167+JX173+JX121</f>
        <v>5</v>
      </c>
      <c r="JY9" s="15">
        <f>JY11+JY63+JY99+JY157+JY167+JY173+JY121</f>
        <v>11</v>
      </c>
      <c r="JZ9" s="15">
        <f>JZ11+JZ63+JZ99+JZ157+JZ167+JZ173+JZ121</f>
        <v>5</v>
      </c>
      <c r="KA9" s="15">
        <f>KA11+KA63+KA99+KA157+KA167+KA173+KA121</f>
        <v>0</v>
      </c>
      <c r="KB9" s="15">
        <f>KB11+KB63+KB99+KB157+KB167+KB173+KB121</f>
        <v>0</v>
      </c>
      <c r="KC9" s="15">
        <f>KC11+KC63+KC99+KC157+KC167+KC173+KC121</f>
        <v>5</v>
      </c>
      <c r="KD9" s="15">
        <f>KD11+KD63+KD99+KD157+KD167+KD173+KD121</f>
        <v>10</v>
      </c>
      <c r="KE9" s="15">
        <f>KE11+KE63+KE99+KE157+KE167+KE173+KE121</f>
        <v>6</v>
      </c>
      <c r="KF9" s="15">
        <f>KF11+KF63+KF99+KF157+KF167+KF173+KF121</f>
        <v>12</v>
      </c>
      <c r="KG9" s="15">
        <f>KG11+KG63+KG99+KG157+KG167+KG173+KG121</f>
        <v>5</v>
      </c>
      <c r="KH9" s="15">
        <f>KH11+KH63+KH99+KH157+KH167+KH173+KH121</f>
        <v>0</v>
      </c>
      <c r="KI9" s="15">
        <f>KI11+KI63+KI99+KI157+KI167+KI173+KI121</f>
        <v>0</v>
      </c>
      <c r="KJ9" s="15">
        <f>KJ11+KJ63+KJ99+KJ157+KJ167+KJ173+KJ121</f>
        <v>5</v>
      </c>
      <c r="KK9" s="15">
        <f>KK11+KK63+KK99+KK157+KK167+KK173+KK121</f>
        <v>8</v>
      </c>
      <c r="KL9" s="15">
        <f>KL11+KL63+KL99+KL157+KL167+KL173+KL121</f>
        <v>5</v>
      </c>
      <c r="KM9" s="15">
        <f>KM11+KM63+KM99+KM157+KM167+KM173+KM121</f>
        <v>11</v>
      </c>
      <c r="KN9" s="15">
        <f>KN11+KN63+KN99+KN157+KN167+KN173+KN121</f>
        <v>5</v>
      </c>
      <c r="KO9" s="15">
        <f>KO11+KO63+KO99+KO157+KO167+KO173+KO121</f>
        <v>0</v>
      </c>
      <c r="KP9" s="15">
        <f>KP11+KP63+KP99+KP157+KP167+KP173+KP121</f>
        <v>0</v>
      </c>
      <c r="KQ9" s="15">
        <f>KQ11+KQ63+KQ99+KQ157+KQ167+KQ173+KQ121</f>
        <v>5</v>
      </c>
      <c r="KR9" s="15">
        <f>KR11+KR63+KR99+KR157+KR167+KR173+KR121</f>
        <v>8</v>
      </c>
      <c r="KS9" s="15">
        <f>KS11+KS63+KS99+KS157+KS167+KS173+KS121</f>
        <v>5</v>
      </c>
      <c r="KT9" s="15">
        <f>KT11+KT63+KT99+KT157+KT167+KT173+KT121</f>
        <v>11</v>
      </c>
      <c r="KU9" s="15">
        <f>KU11+KU63+KU99+KU157+KU167+KU173+KU121</f>
        <v>5</v>
      </c>
      <c r="KV9" s="15">
        <f>KV11+KV63+KV99+KV157+KV167+KV173+KV121</f>
        <v>0</v>
      </c>
      <c r="KW9" s="15">
        <f>KW11+KW63+KW99+KW157+KW167+KW173+KW121</f>
        <v>0</v>
      </c>
      <c r="KX9" s="15">
        <f>KX11+KX63+KX99+KX157+KX167+KX173+KX121</f>
        <v>5</v>
      </c>
      <c r="KY9" s="15">
        <f>KY11+KY63+KY99+KY157+KY167+KY173+KY121</f>
        <v>8</v>
      </c>
      <c r="KZ9" s="15">
        <f>KZ11+KZ63+KZ99+KZ157+KZ167+KZ173+KZ121</f>
        <v>5</v>
      </c>
      <c r="LA9" s="15">
        <f>LA11+LA63+LA99+LA157+LA167+LA173+LA121</f>
        <v>11</v>
      </c>
      <c r="LB9" s="15">
        <f>LB11+LB63+LB99+LB157+LB167+LB173+LB121</f>
        <v>5</v>
      </c>
      <c r="LC9" s="15">
        <f>LC11+LC63+LC99+LC157+LC167+LC173+LC121</f>
        <v>0</v>
      </c>
      <c r="LD9" s="15">
        <f>LD11+LD63+LD99+LD157+LD167+LD173+LD121</f>
        <v>0</v>
      </c>
      <c r="LE9" s="15">
        <f>LE11+LE63+LE99+LE157+LE167+LE173+LE121</f>
        <v>5</v>
      </c>
      <c r="LF9" s="15">
        <f>LF11+LF63+LF99+LF157+LF167+LF173+LF121</f>
        <v>8</v>
      </c>
      <c r="LG9" s="15">
        <f>LG11+LG63+LG99+LG157+LG167+LG173+LG121</f>
        <v>5</v>
      </c>
      <c r="LH9" s="15">
        <f>LH11+LH63+LH99+LH157+LH167+LH173+LH121</f>
        <v>11</v>
      </c>
      <c r="LI9" s="15">
        <f>LI11+LI63+LI99+LI157+LI167+LI173+LI121</f>
        <v>5</v>
      </c>
      <c r="LJ9" s="15">
        <f>LJ11+LJ63+LJ99+LJ157+LJ167+LJ173+LJ121</f>
        <v>0</v>
      </c>
      <c r="LK9" s="15">
        <f>LK11+LK63+LK99+LK157+LK167+LK173+LK121</f>
        <v>0</v>
      </c>
      <c r="LL9" s="15">
        <f>LL11+LL63+LL99+LL157+LL167+LL173+LL121</f>
        <v>5</v>
      </c>
      <c r="LM9" s="15">
        <f>LM11+LM63+LM99+LM157+LM167+LM173+LM121</f>
        <v>10</v>
      </c>
      <c r="LN9" s="15">
        <f>LN11+LN63+LN99+LN157+LN167+LN173+LN121</f>
        <v>6</v>
      </c>
      <c r="LO9" s="15">
        <f>LO11+LO63+LO99+LO157+LO167+LO173+LO121</f>
        <v>12</v>
      </c>
      <c r="LP9" s="15">
        <f>LP11+LP63+LP99+LP157+LP167+LP173+LP121</f>
        <v>5</v>
      </c>
      <c r="LQ9" s="15">
        <f>LQ11+LQ63+LQ99+LQ157+LQ167+LQ173+LQ121</f>
        <v>0</v>
      </c>
      <c r="LR9" s="15">
        <f>LR11+LR63+LR99+LR157+LR167+LR173+LR121</f>
        <v>0</v>
      </c>
      <c r="LS9" s="15">
        <f>LS11+LS63+LS99+LS157+LS167+LS173+LS121</f>
        <v>5</v>
      </c>
      <c r="LT9" s="15">
        <f>LT11+LT63+LT99+LT157+LT167+LT173+LT121</f>
        <v>8</v>
      </c>
      <c r="LU9" s="15">
        <f>LU11+LU63+LU99+LU157+LU167+LU173+LU121</f>
        <v>5</v>
      </c>
      <c r="LV9" s="15">
        <f>LV11+LV63+LV99+LV157+LV167+LV173+LV121</f>
        <v>11</v>
      </c>
      <c r="LW9" s="15">
        <f>LW11+LW63+LW99+LW157+LW167+LW173+LW121</f>
        <v>5</v>
      </c>
      <c r="LX9" s="15">
        <f>LX11+LX63+LX99+LX157+LX167+LX173+LX121</f>
        <v>0</v>
      </c>
      <c r="LY9" s="15">
        <f>LY11+LY63+LY99+LY157+LY167+LY173+LY121</f>
        <v>0</v>
      </c>
      <c r="LZ9" s="15">
        <f>LZ11+LZ63+LZ99+LZ157+LZ167+LZ173+LZ121</f>
        <v>5</v>
      </c>
      <c r="MA9" s="15">
        <f>MA11+MA63+MA99+MA157+MA167+MA173+MA121</f>
        <v>8</v>
      </c>
      <c r="MB9" s="15">
        <f>MB11+MB63+MB99+MB157+MB167+MB173+MB121</f>
        <v>5</v>
      </c>
      <c r="MC9" s="15">
        <f>MC11+MC63+MC99+MC157+MC167+MC173+MC121</f>
        <v>11</v>
      </c>
      <c r="MD9" s="15">
        <f>MD11+MD63+MD99+MD157+MD167+MD173+MD121</f>
        <v>5</v>
      </c>
      <c r="ME9" s="15">
        <f>ME11+ME63+ME99+ME157+ME167+ME173+ME121</f>
        <v>0</v>
      </c>
      <c r="MF9" s="15">
        <f>MF11+MF63+MF99+MF157+MF167+MF173+MF121</f>
        <v>0</v>
      </c>
      <c r="MG9" s="15">
        <f>MG11+MG63+MG99+MG157+MG167+MG173+MG121</f>
        <v>5</v>
      </c>
      <c r="MH9" s="15">
        <f>MH11+MH63+MH99+MH157+MH167+MH173+MH121</f>
        <v>8</v>
      </c>
      <c r="MI9" s="15">
        <f>MI11+MI63+MI99+MI157+MI167+MI173+MI121</f>
        <v>5</v>
      </c>
      <c r="MJ9" s="15">
        <f>MJ11+MJ63+MJ99+MJ157+MJ167+MJ173+MJ121</f>
        <v>11</v>
      </c>
      <c r="MK9" s="15">
        <f>MK11+MK63+MK99+MK157+MK167+MK173+MK121</f>
        <v>5</v>
      </c>
      <c r="ML9" s="15">
        <f>ML11+ML63+ML99+ML157+ML167+ML173+ML121</f>
        <v>0</v>
      </c>
      <c r="MM9" s="15">
        <f>MM11+MM63+MM99+MM157+MM167+MM173+MM121</f>
        <v>0</v>
      </c>
      <c r="MN9" s="15">
        <f>MN11+MN63+MN99+MN157+MN167+MN173+MN121</f>
        <v>5</v>
      </c>
      <c r="MO9" s="15">
        <f>MO11+MO63+MO99+MO157+MO167+MO173+MO121</f>
        <v>8</v>
      </c>
      <c r="MP9" s="15">
        <f>MP11+MP63+MP99+MP157+MP167+MP173+MP121</f>
        <v>5</v>
      </c>
      <c r="MQ9" s="15">
        <f>MQ11+MQ63+MQ99+MQ157+MQ167+MQ173+MQ121</f>
        <v>11</v>
      </c>
      <c r="MR9" s="15">
        <f>MR11+MR63+MR99+MR157+MR167+MR173+MR121</f>
        <v>5</v>
      </c>
      <c r="MS9" s="15">
        <f>MS11+MS63+MS99+MS157+MS167+MS173+MS121</f>
        <v>0</v>
      </c>
      <c r="MT9" s="15">
        <f>MT11+MT63+MT99+MT157+MT167+MT173+MT121</f>
        <v>0</v>
      </c>
      <c r="MU9" s="15">
        <f>MU11+MU63+MU99+MU157+MU167+MU173+MU121</f>
        <v>5</v>
      </c>
      <c r="MV9" s="15">
        <f>MV11+MV63+MV99+MV157+MV167+MV173+MV121</f>
        <v>10</v>
      </c>
      <c r="MW9" s="15">
        <f>MW11+MW63+MW99+MW157+MW167+MW173+MW121</f>
        <v>6</v>
      </c>
      <c r="MX9" s="15">
        <f>MX11+MX63+MX99+MX157+MX167+MX173+MX121</f>
        <v>12</v>
      </c>
      <c r="MY9" s="15">
        <f>MY11+MY63+MY99+MY157+MY167+MY173+MY121</f>
        <v>5</v>
      </c>
      <c r="MZ9" s="15">
        <f>MZ11+MZ63+MZ99+MZ157+MZ167+MZ173+MZ121</f>
        <v>0</v>
      </c>
      <c r="NA9" s="15">
        <f>NA11+NA63+NA99+NA157+NA167+NA173+NA121</f>
        <v>0</v>
      </c>
      <c r="NB9" s="15">
        <f>NB11+NB63+NB99+NB157+NB167+NB173+NB121</f>
        <v>5</v>
      </c>
      <c r="NC9" s="15">
        <f>NC11+NC63+NC99+NC157+NC167+NC173+NC121</f>
        <v>8</v>
      </c>
      <c r="ND9" s="15">
        <f>ND11+ND63+ND99+ND157+ND167+ND173+ND121</f>
        <v>5</v>
      </c>
      <c r="NE9" s="15">
        <f>NE11+NE63+NE99+NE157+NE167+NE173+NE121</f>
        <v>11</v>
      </c>
      <c r="NF9" s="15">
        <f>NF11+NF63+NF99+NF157+NF167+NF173+NF121</f>
        <v>5</v>
      </c>
      <c r="NG9" s="15">
        <f>NG11+NG63+NG99+NG157+NG167+NG173+NG121</f>
        <v>0</v>
      </c>
      <c r="NH9" s="15">
        <f>NH11+NH63+NH99+NH157+NH167+NH173+NH121</f>
        <v>0</v>
      </c>
      <c r="NI9" s="15">
        <f>NI11+NI63+NI99+NI157+NI167+NI173+NI121</f>
        <v>5</v>
      </c>
      <c r="NJ9" s="15">
        <f>NJ11+NJ63+NJ99+NJ157+NJ167+NJ173+NJ121</f>
        <v>8</v>
      </c>
      <c r="NK9" s="15">
        <f>NK11+NK63+NK99+NK157+NK167+NK173+NK121</f>
        <v>5</v>
      </c>
      <c r="NL9" s="15">
        <f>NL11+NL63+NL99+NL157+NL167+NL173+NL121</f>
        <v>11</v>
      </c>
      <c r="NM9" s="15">
        <f>NM11+NM63+NM99+NM157+NM167+NM173+NM121</f>
        <v>5</v>
      </c>
      <c r="NN9" s="15">
        <f>NN11+NN63+NN99+NN157+NN167+NN173+NN121</f>
        <v>0</v>
      </c>
      <c r="NO9" s="15">
        <f>NO11+NO63+NO99+NO157+NO167+NO173+NO121</f>
        <v>0</v>
      </c>
      <c r="NP9" s="15">
        <f>NP11+NP63+NP99+NP157+NP167+NP173+NP121</f>
        <v>5</v>
      </c>
      <c r="NQ9" s="15">
        <f>NQ11+NQ63+NQ99+NQ157+NQ167+NQ173+NQ121</f>
        <v>8</v>
      </c>
      <c r="NR9" s="15">
        <f>NR11+NR63+NR99+NR157+NR167+NR173+NR121</f>
        <v>5</v>
      </c>
      <c r="NS9" s="15">
        <f>NS11+NS63+NS99+NS157+NS167+NS173+NS121</f>
        <v>11</v>
      </c>
      <c r="NT9" s="6">
        <f>SUM(F9:NS9)</f>
        <v>1964</v>
      </c>
      <c r="NU9" s="75">
        <f>NT10/NT9</f>
        <v>0.12576374745417515</v>
      </c>
      <c r="NV9" s="20">
        <f>NV11+NV63+NV99+NV157+NV167</f>
        <v>29</v>
      </c>
      <c r="NW9" s="20"/>
      <c r="NX9" s="6">
        <f>SUM(F9:AU9)</f>
        <v>262</v>
      </c>
      <c r="NY9" s="104">
        <f>NX10/NX9</f>
        <v>0.93511450381679384</v>
      </c>
      <c r="NZ9" s="20">
        <f>NZ11+NZ63+NZ99+NZ157+NZ167</f>
        <v>22</v>
      </c>
      <c r="OA9" s="20"/>
      <c r="OB9" s="6">
        <f>SUM(AV9:CK9)</f>
        <v>242</v>
      </c>
      <c r="OC9" s="104">
        <f>OB10/OB9</f>
        <v>8.2644628099173556E-3</v>
      </c>
      <c r="OD9" s="20">
        <f>OD11+OD63+OD99+OD157+OD167</f>
        <v>15</v>
      </c>
      <c r="OE9" s="20"/>
      <c r="OF9" s="6">
        <f>SUM(CL9:EA9)</f>
        <v>208</v>
      </c>
      <c r="OG9" s="104">
        <f>OF10/OF9</f>
        <v>0</v>
      </c>
      <c r="OH9" s="20">
        <f>OH11+OH63+OH99+OH157+OH167</f>
        <v>15</v>
      </c>
      <c r="OI9" s="104">
        <f>OH10/OH9</f>
        <v>0</v>
      </c>
      <c r="OJ9" s="6">
        <f>SUM(EB9:FQ9)</f>
        <v>208</v>
      </c>
      <c r="OK9" s="104">
        <f>OJ10/OJ9</f>
        <v>0</v>
      </c>
      <c r="OL9" s="20">
        <f>OL11+OL63+OL99+OL157+OL167</f>
        <v>15</v>
      </c>
      <c r="OM9" s="104">
        <f>OL10/OL9</f>
        <v>0</v>
      </c>
      <c r="ON9" s="6">
        <f>SUM(FR9:HG9)</f>
        <v>208</v>
      </c>
      <c r="OO9" s="104">
        <f>ON10/ON9</f>
        <v>0</v>
      </c>
      <c r="OP9" s="20">
        <f>OP11+OP63+OP99+OP157+OP167</f>
        <v>15</v>
      </c>
      <c r="OQ9" s="104">
        <f>OP10/OP9</f>
        <v>0</v>
      </c>
      <c r="OR9" s="17">
        <f>SUM(HH9:IW9)</f>
        <v>212</v>
      </c>
      <c r="OS9" s="104">
        <f>OR10/OR9</f>
        <v>0</v>
      </c>
      <c r="OT9" s="47">
        <f>OT11+OT63+OT99+OT157+OT167</f>
        <v>15</v>
      </c>
      <c r="OU9" s="75">
        <f>OT10/OT9</f>
        <v>0</v>
      </c>
      <c r="OV9" s="17">
        <f>SUM(IX9:KM9)</f>
        <v>208</v>
      </c>
      <c r="OW9" s="75">
        <f>OV10/OV9</f>
        <v>0</v>
      </c>
      <c r="OX9" s="20">
        <f>OX11+OX63+OX99+OX157+OX167</f>
        <v>15</v>
      </c>
      <c r="OY9" s="20"/>
      <c r="OZ9" s="17">
        <f>SUM(KN9:MC9)</f>
        <v>208</v>
      </c>
      <c r="PA9" s="104">
        <f>OZ10/OZ9</f>
        <v>0</v>
      </c>
      <c r="PB9" s="20">
        <f>PB11+PB63+PB99+PB157+PB167</f>
        <v>15</v>
      </c>
      <c r="PC9" s="20"/>
      <c r="PD9" s="17">
        <f>SUM(MD9:NS9)</f>
        <v>208</v>
      </c>
      <c r="PE9" s="104">
        <f>PD10/PD9</f>
        <v>0</v>
      </c>
    </row>
    <row r="10" spans="1:421" ht="15" customHeight="1" thickBot="1" x14ac:dyDescent="0.3">
      <c r="C10" s="116"/>
      <c r="D10" s="103"/>
      <c r="E10" s="50" t="s">
        <v>9</v>
      </c>
      <c r="F10" s="15">
        <f>F12+F64+F100+F158+F168+F174+F122</f>
        <v>9</v>
      </c>
      <c r="G10" s="15">
        <f>G12+G64+G100+G158+G168+G174+G122</f>
        <v>0</v>
      </c>
      <c r="H10" s="15">
        <f>H12+H64+H100+H158+H168+H174+H122</f>
        <v>0</v>
      </c>
      <c r="I10" s="15">
        <f>I12+I64+I100+I158+I168+I174+I122</f>
        <v>9</v>
      </c>
      <c r="J10" s="15">
        <f>J12+J64+J100+J158+J168+J174+J122</f>
        <v>10</v>
      </c>
      <c r="K10" s="15">
        <f>K12+K64+K100+K158+K168+K174+K122</f>
        <v>7</v>
      </c>
      <c r="L10" s="15">
        <f>L12+L64+L100+L158+L168+L174+L122</f>
        <v>8</v>
      </c>
      <c r="M10" s="15">
        <f>M12+M64+M100+M158+M168+M174+M122</f>
        <v>10</v>
      </c>
      <c r="N10" s="15">
        <f>N12+N64+N100+N158+N168+N174+N122</f>
        <v>0</v>
      </c>
      <c r="O10" s="15">
        <f>O12+O64+O100+O158+O168+O174+O122</f>
        <v>0</v>
      </c>
      <c r="P10" s="68">
        <f>P12+P64+P100+P158+P168+P174+P122</f>
        <v>0</v>
      </c>
      <c r="Q10" s="15">
        <f>Q12+Q64+Q100+Q158+Q168+Q174+Q122</f>
        <v>6</v>
      </c>
      <c r="R10" s="15">
        <f>R12+R64+R100+R158+R168+R174+R122</f>
        <v>6</v>
      </c>
      <c r="S10" s="15">
        <f>S12+S64+S100+S158+S168+S174+S122</f>
        <v>6</v>
      </c>
      <c r="T10" s="15">
        <f>T12+T64+T100+T158+T168+T174+T122</f>
        <v>8</v>
      </c>
      <c r="U10" s="15">
        <f>U12+U64+U100+U158+U168+U174+U122</f>
        <v>0</v>
      </c>
      <c r="V10" s="15">
        <f>V12+V64+V100+V158+V168+V174+V122</f>
        <v>0</v>
      </c>
      <c r="W10" s="68">
        <f>W12+W64+W100+W158+W168+W174+W122</f>
        <v>0</v>
      </c>
      <c r="X10" s="15">
        <f>X12+X64+X100+X158+X168+X174+X122</f>
        <v>7</v>
      </c>
      <c r="Y10" s="15">
        <f>Y12+Y64+Y100+Y158+Y168+Y174+Y122</f>
        <v>5</v>
      </c>
      <c r="Z10" s="15">
        <f>Z12+Z64+Z100+Z158+Z168+Z174+Z122</f>
        <v>11</v>
      </c>
      <c r="AA10" s="15">
        <f>AA12+AA64+AA100+AA158+AA168+AA174+AA122</f>
        <v>5</v>
      </c>
      <c r="AB10" s="15">
        <f>AB12+AB64+AB100+AB158+AB168+AB174+AB122</f>
        <v>1</v>
      </c>
      <c r="AC10" s="15">
        <f>AC12+AC64+AC100+AC158+AC168+AC174+AC122</f>
        <v>0</v>
      </c>
      <c r="AD10" s="15">
        <f>AD12+AD64+AD100+AD158+AD168+AD174+AD122</f>
        <v>5</v>
      </c>
      <c r="AE10" s="15">
        <f>AE12+AE64+AE100+AE158+AE168+AE174+AE122</f>
        <v>8</v>
      </c>
      <c r="AF10" s="15">
        <f>AF12+AF64+AF100+AF158+AF168+AF174+AF122</f>
        <v>9</v>
      </c>
      <c r="AG10" s="15">
        <f>AG12+AG64+AG100+AG158+AG168+AG174+AG122</f>
        <v>15</v>
      </c>
      <c r="AH10" s="15">
        <f>AH12+AH64+AH100+AH158+AH168+AH174+AH122</f>
        <v>11</v>
      </c>
      <c r="AI10" s="15">
        <f>AI12+AI64+AI100+AI158+AI168+AI174+AI122</f>
        <v>0</v>
      </c>
      <c r="AJ10" s="15">
        <f>AJ12+AJ64+AJ100+AJ158+AJ168+AJ174+AJ122</f>
        <v>0</v>
      </c>
      <c r="AK10" s="15">
        <f>AK12+AK64+AK100+AK158+AK168+AK174+AK122</f>
        <v>10</v>
      </c>
      <c r="AL10" s="15">
        <f>AL12+AL64+AL100+AL158+AL168+AL174+AL122</f>
        <v>9</v>
      </c>
      <c r="AM10" s="15">
        <f>AM12+AM64+AM100+AM158+AM168+AM174+AM122</f>
        <v>8</v>
      </c>
      <c r="AN10" s="15">
        <f>AN12+AN64+AN100+AN158+AN168+AN174+AN122</f>
        <v>11</v>
      </c>
      <c r="AO10" s="15">
        <f>AO12+AO64+AO100+AO158+AO168+AO174+AO122</f>
        <v>9</v>
      </c>
      <c r="AP10" s="15">
        <f>AP12+AP64+AP100+AP158+AP168+AP174+AP122</f>
        <v>0</v>
      </c>
      <c r="AQ10" s="15">
        <f>AQ12+AQ64+AQ100+AQ158+AQ168+AQ174+AQ122</f>
        <v>0</v>
      </c>
      <c r="AR10" s="15">
        <f>AR12+AR64+AR100+AR158+AR168+AR174+AR122</f>
        <v>8</v>
      </c>
      <c r="AS10" s="15">
        <f>AS12+AS64+AS100+AS158+AS168+AS174+AS122</f>
        <v>11</v>
      </c>
      <c r="AT10" s="15">
        <f>AT12+AT64+AT100+AT158+AT168+AT174+AT122</f>
        <v>10</v>
      </c>
      <c r="AU10" s="15">
        <f>AU12+AU64+AU100+AU158+AU168+AU174+AU122</f>
        <v>13</v>
      </c>
      <c r="AV10" s="15">
        <f>AV12+AV64+AV100+AV158+AV168+AV174+AV122</f>
        <v>2</v>
      </c>
      <c r="AW10" s="15">
        <f>AW12+AW64+AW100+AW158+AW168+AW174+AW122</f>
        <v>0</v>
      </c>
      <c r="AX10" s="15">
        <f>AX12+AX64+AX100+AX158+AX168+AX174+AX122</f>
        <v>0</v>
      </c>
      <c r="AY10" s="15">
        <f>AY12+AY64+AY100+AY158+AY168+AY174+AY122</f>
        <v>0</v>
      </c>
      <c r="AZ10" s="15">
        <f>AZ12+AZ64+AZ100+AZ158+AZ168+AZ174+AZ122</f>
        <v>0</v>
      </c>
      <c r="BA10" s="15">
        <f>BA12+BA64+BA100+BA158+BA168+BA174+BA122</f>
        <v>0</v>
      </c>
      <c r="BB10" s="15">
        <f>BB12+BB64+BB100+BB158+BB168+BB174+BB122</f>
        <v>0</v>
      </c>
      <c r="BC10" s="15">
        <f>BC12+BC64+BC100+BC158+BC168+BC174+BC122</f>
        <v>0</v>
      </c>
      <c r="BD10" s="15">
        <f>BD12+BD64+BD100+BD158+BD168+BD174+BD122</f>
        <v>0</v>
      </c>
      <c r="BE10" s="15">
        <f>BE12+BE64+BE100+BE158+BE168+BE174+BE122</f>
        <v>0</v>
      </c>
      <c r="BF10" s="15">
        <f>BF12+BF64+BF100+BF158+BF168+BF174+BF122</f>
        <v>0</v>
      </c>
      <c r="BG10" s="15">
        <f>BG12+BG64+BG100+BG158+BG168+BG174+BG122</f>
        <v>0</v>
      </c>
      <c r="BH10" s="15">
        <f>BH12+BH64+BH100+BH158+BH168+BH174+BH122</f>
        <v>0</v>
      </c>
      <c r="BI10" s="15">
        <f>BI12+BI64+BI100+BI158+BI168+BI174+BI122</f>
        <v>0</v>
      </c>
      <c r="BJ10" s="15">
        <f>BJ12+BJ64+BJ100+BJ158+BJ168+BJ174+BJ122</f>
        <v>0</v>
      </c>
      <c r="BK10" s="15">
        <f>BK12+BK64+BK100+BK158+BK168+BK174+BK122</f>
        <v>0</v>
      </c>
      <c r="BL10" s="15">
        <f>BL12+BL64+BL100+BL158+BL168+BL174+BL122</f>
        <v>0</v>
      </c>
      <c r="BM10" s="15">
        <f>BM12+BM64+BM100+BM158+BM168+BM174+BM122</f>
        <v>0</v>
      </c>
      <c r="BN10" s="15">
        <f>BN12+BN64+BN100+BN158+BN168+BN174+BN122</f>
        <v>0</v>
      </c>
      <c r="BO10" s="15">
        <f>BO12+BO64+BO100+BO158+BO168+BO174+BO122</f>
        <v>0</v>
      </c>
      <c r="BP10" s="15">
        <f>BP12+BP64+BP100+BP158+BP168+BP174+BP122</f>
        <v>0</v>
      </c>
      <c r="BQ10" s="15">
        <f>BQ12+BQ64+BQ100+BQ158+BQ168+BQ174+BQ122</f>
        <v>0</v>
      </c>
      <c r="BR10" s="15">
        <f>BR12+BR64+BR100+BR158+BR168+BR174+BR122</f>
        <v>0</v>
      </c>
      <c r="BS10" s="15">
        <f>BS12+BS64+BS100+BS158+BS168+BS174+BS122</f>
        <v>0</v>
      </c>
      <c r="BT10" s="15">
        <f>BT12+BT64+BT100+BT158+BT168+BT174+BT122</f>
        <v>0</v>
      </c>
      <c r="BU10" s="15">
        <f>BU12+BU64+BU100+BU158+BU168+BU174+BU122</f>
        <v>0</v>
      </c>
      <c r="BV10" s="15">
        <f>BV12+BV64+BV100+BV158+BV168+BV174+BV122</f>
        <v>0</v>
      </c>
      <c r="BW10" s="15">
        <f>BW12+BW64+BW100+BW158+BW168+BW174+BW122</f>
        <v>0</v>
      </c>
      <c r="BX10" s="15">
        <f>BX12+BX64+BX100+BX158+BX168+BX174+BX122</f>
        <v>0</v>
      </c>
      <c r="BY10" s="15">
        <f>BY12+BY64+BY100+BY158+BY168+BY174+BY122</f>
        <v>0</v>
      </c>
      <c r="BZ10" s="15">
        <f>BZ12+BZ64+BZ100+BZ158+BZ168+BZ174+BZ122</f>
        <v>0</v>
      </c>
      <c r="CA10" s="15">
        <f>CA12+CA64+CA100+CA158+CA168+CA174+CA122</f>
        <v>0</v>
      </c>
      <c r="CB10" s="15">
        <f>CB12+CB64+CB100+CB158+CB168+CB174+CB122</f>
        <v>0</v>
      </c>
      <c r="CC10" s="15">
        <f>CC12+CC64+CC100+CC158+CC168+CC174+CC122</f>
        <v>0</v>
      </c>
      <c r="CD10" s="15">
        <f>CD12+CD64+CD100+CD158+CD168+CD174+CD122</f>
        <v>0</v>
      </c>
      <c r="CE10" s="15">
        <f>CE12+CE64+CE100+CE158+CE168+CE174+CE122</f>
        <v>0</v>
      </c>
      <c r="CF10" s="15">
        <f>CF12+CF64+CF100+CF158+CF168+CF174+CF122</f>
        <v>0</v>
      </c>
      <c r="CG10" s="15">
        <f>CG12+CG64+CG100+CG158+CG168+CG174+CG122</f>
        <v>0</v>
      </c>
      <c r="CH10" s="15">
        <f>CH12+CH64+CH100+CH158+CH168+CH174+CH122</f>
        <v>0</v>
      </c>
      <c r="CI10" s="15">
        <f>CI12+CI64+CI100+CI158+CI168+CI174+CI122</f>
        <v>0</v>
      </c>
      <c r="CJ10" s="15">
        <f>CJ12+CJ64+CJ100+CJ158+CJ168+CJ174+CJ122</f>
        <v>0</v>
      </c>
      <c r="CK10" s="15">
        <f>CK12+CK64+CK100+CK158+CK168+CK174+CK122</f>
        <v>0</v>
      </c>
      <c r="CL10" s="15">
        <f>CL12+CL64+CL100+CL158+CL168+CL174+CL122</f>
        <v>0</v>
      </c>
      <c r="CM10" s="15">
        <f>CM12+CM64+CM100+CM158+CM168+CM174+CM122</f>
        <v>0</v>
      </c>
      <c r="CN10" s="15">
        <f>CN12+CN64+CN100+CN158+CN168+CN174+CN122</f>
        <v>0</v>
      </c>
      <c r="CO10" s="15">
        <f>CO12+CO64+CO100+CO158+CO168+CO174+CO122</f>
        <v>0</v>
      </c>
      <c r="CP10" s="15">
        <f>CP12+CP64+CP100+CP158+CP168+CP174+CP122</f>
        <v>0</v>
      </c>
      <c r="CQ10" s="15">
        <f>CQ12+CQ64+CQ100+CQ158+CQ168+CQ174+CQ122</f>
        <v>0</v>
      </c>
      <c r="CR10" s="15">
        <f>CR12+CR64+CR100+CR158+CR168+CR174+CR122</f>
        <v>0</v>
      </c>
      <c r="CS10" s="15">
        <f>CS12+CS64+CS100+CS158+CS168+CS174+CS122</f>
        <v>0</v>
      </c>
      <c r="CT10" s="15">
        <f>CT12+CT64+CT100+CT158+CT168+CT174+CT122</f>
        <v>0</v>
      </c>
      <c r="CU10" s="15">
        <f>CU12+CU64+CU100+CU158+CU168+CU174+CU122</f>
        <v>0</v>
      </c>
      <c r="CV10" s="15">
        <f>CV12+CV64+CV100+CV158+CV168+CV174+CV122</f>
        <v>0</v>
      </c>
      <c r="CW10" s="15">
        <f>CW12+CW64+CW100+CW158+CW168+CW174+CW122</f>
        <v>0</v>
      </c>
      <c r="CX10" s="15">
        <f>CX12+CX64+CX100+CX158+CX168+CX174+CX122</f>
        <v>0</v>
      </c>
      <c r="CY10" s="15">
        <f>CY12+CY64+CY100+CY158+CY168+CY174+CY122</f>
        <v>0</v>
      </c>
      <c r="CZ10" s="15">
        <f>CZ12+CZ64+CZ100+CZ158+CZ168+CZ174+CZ122</f>
        <v>0</v>
      </c>
      <c r="DA10" s="15">
        <f>DA12+DA64+DA100+DA158+DA168+DA174+DA122</f>
        <v>0</v>
      </c>
      <c r="DB10" s="15">
        <f>DB12+DB64+DB100+DB158+DB168+DB174+DB122</f>
        <v>0</v>
      </c>
      <c r="DC10" s="15">
        <f>DC12+DC64+DC100+DC158+DC168+DC174+DC122</f>
        <v>0</v>
      </c>
      <c r="DD10" s="15">
        <f>DD12+DD64+DD100+DD158+DD168+DD174+DD122</f>
        <v>0</v>
      </c>
      <c r="DE10" s="15">
        <f>DE12+DE64+DE100+DE158+DE168+DE174+DE122</f>
        <v>0</v>
      </c>
      <c r="DF10" s="15">
        <f>DF12+DF64+DF100+DF158+DF168+DF174+DF122</f>
        <v>0</v>
      </c>
      <c r="DG10" s="15">
        <f>DG12+DG64+DG100+DG158+DG168+DG174+DG122</f>
        <v>0</v>
      </c>
      <c r="DH10" s="15">
        <f>DH12+DH64+DH100+DH158+DH168+DH174+DH122</f>
        <v>0</v>
      </c>
      <c r="DI10" s="15">
        <f>DI12+DI64+DI100+DI158+DI168+DI174+DI122</f>
        <v>0</v>
      </c>
      <c r="DJ10" s="15">
        <f>DJ12+DJ64+DJ100+DJ158+DJ168+DJ174+DJ122</f>
        <v>0</v>
      </c>
      <c r="DK10" s="15">
        <f>DK12+DK64+DK100+DK158+DK168+DK174+DK122</f>
        <v>0</v>
      </c>
      <c r="DL10" s="15">
        <f>DL12+DL64+DL100+DL158+DL168+DL174+DL122</f>
        <v>0</v>
      </c>
      <c r="DM10" s="15">
        <f>DM12+DM64+DM100+DM158+DM168+DM174+DM122</f>
        <v>0</v>
      </c>
      <c r="DN10" s="15">
        <f>DN12+DN64+DN100+DN158+DN168+DN174+DN122</f>
        <v>0</v>
      </c>
      <c r="DO10" s="15">
        <f>DO12+DO64+DO100+DO158+DO168+DO174+DO122</f>
        <v>0</v>
      </c>
      <c r="DP10" s="15">
        <f>DP12+DP64+DP100+DP158+DP168+DP174+DP122</f>
        <v>0</v>
      </c>
      <c r="DQ10" s="15">
        <f>DQ12+DQ64+DQ100+DQ158+DQ168+DQ174+DQ122</f>
        <v>0</v>
      </c>
      <c r="DR10" s="15">
        <f>DR12+DR64+DR100+DR158+DR168+DR174+DR122</f>
        <v>0</v>
      </c>
      <c r="DS10" s="15">
        <f>DS12+DS64+DS100+DS158+DS168+DS174+DS122</f>
        <v>0</v>
      </c>
      <c r="DT10" s="15">
        <f>DT12+DT64+DT100+DT158+DT168+DT174+DT122</f>
        <v>0</v>
      </c>
      <c r="DU10" s="15">
        <f>DU12+DU64+DU100+DU158+DU168+DU174+DU122</f>
        <v>0</v>
      </c>
      <c r="DV10" s="15">
        <f>DV12+DV64+DV100+DV158+DV168+DV174+DV122</f>
        <v>0</v>
      </c>
      <c r="DW10" s="15">
        <f>DW12+DW64+DW100+DW158+DW168+DW174+DW122</f>
        <v>0</v>
      </c>
      <c r="DX10" s="15">
        <f>DX12+DX64+DX100+DX158+DX168+DX174+DX122</f>
        <v>0</v>
      </c>
      <c r="DY10" s="15">
        <f>DY12+DY64+DY100+DY158+DY168+DY174+DY122</f>
        <v>0</v>
      </c>
      <c r="DZ10" s="15">
        <f>DZ12+DZ64+DZ100+DZ158+DZ168+DZ174+DZ122</f>
        <v>0</v>
      </c>
      <c r="EA10" s="15">
        <f>EA12+EA64+EA100+EA158+EA168+EA174+EA122</f>
        <v>0</v>
      </c>
      <c r="EB10" s="15">
        <f>EB12+EB64+EB100+EB158+EB168+EB174+EB122</f>
        <v>0</v>
      </c>
      <c r="EC10" s="15">
        <f>EC12+EC64+EC100+EC158+EC168+EC174+EC122</f>
        <v>0</v>
      </c>
      <c r="ED10" s="15">
        <f>ED12+ED64+ED100+ED158+ED168+ED174+ED122</f>
        <v>0</v>
      </c>
      <c r="EE10" s="15">
        <f>EE12+EE64+EE100+EE158+EE168+EE174+EE122</f>
        <v>0</v>
      </c>
      <c r="EF10" s="15">
        <f>EF12+EF64+EF100+EF158+EF168+EF174+EF122</f>
        <v>0</v>
      </c>
      <c r="EG10" s="15">
        <f>EG12+EG64+EG100+EG158+EG168+EG174+EG122</f>
        <v>0</v>
      </c>
      <c r="EH10" s="15">
        <f>EH12+EH64+EH100+EH158+EH168+EH174+EH122</f>
        <v>0</v>
      </c>
      <c r="EI10" s="15">
        <f>EI12+EI64+EI100+EI158+EI168+EI174+EI122</f>
        <v>0</v>
      </c>
      <c r="EJ10" s="15">
        <f>EJ12+EJ64+EJ100+EJ158+EJ168+EJ174+EJ122</f>
        <v>0</v>
      </c>
      <c r="EK10" s="15">
        <f>EK12+EK64+EK100+EK158+EK168+EK174+EK122</f>
        <v>0</v>
      </c>
      <c r="EL10" s="15">
        <f>EL12+EL64+EL100+EL158+EL168+EL174+EL122</f>
        <v>0</v>
      </c>
      <c r="EM10" s="15">
        <f>EM12+EM64+EM100+EM158+EM168+EM174+EM122</f>
        <v>0</v>
      </c>
      <c r="EN10" s="15">
        <f>EN12+EN64+EN100+EN158+EN168+EN174+EN122</f>
        <v>0</v>
      </c>
      <c r="EO10" s="15">
        <f>EO12+EO64+EO100+EO158+EO168+EO174+EO122</f>
        <v>0</v>
      </c>
      <c r="EP10" s="15">
        <f>EP12+EP64+EP100+EP158+EP168+EP174+EP122</f>
        <v>0</v>
      </c>
      <c r="EQ10" s="15">
        <f>EQ12+EQ64+EQ100+EQ158+EQ168+EQ174+EQ122</f>
        <v>0</v>
      </c>
      <c r="ER10" s="15">
        <f>ER12+ER64+ER100+ER158+ER168+ER174+ER122</f>
        <v>0</v>
      </c>
      <c r="ES10" s="15">
        <f>ES12+ES64+ES100+ES158+ES168+ES174+ES122</f>
        <v>0</v>
      </c>
      <c r="ET10" s="15">
        <f>ET12+ET64+ET100+ET158+ET168+ET174+ET122</f>
        <v>0</v>
      </c>
      <c r="EU10" s="15">
        <f>EU12+EU64+EU100+EU158+EU168+EU174+EU122</f>
        <v>0</v>
      </c>
      <c r="EV10" s="15">
        <f>EV12+EV64+EV100+EV158+EV168+EV174+EV122</f>
        <v>0</v>
      </c>
      <c r="EW10" s="15">
        <f>EW12+EW64+EW100+EW158+EW168+EW174+EW122</f>
        <v>0</v>
      </c>
      <c r="EX10" s="15">
        <f>EX12+EX64+EX100+EX158+EX168+EX174+EX122</f>
        <v>0</v>
      </c>
      <c r="EY10" s="15">
        <f>EY12+EY64+EY100+EY158+EY168+EY174+EY122</f>
        <v>0</v>
      </c>
      <c r="EZ10" s="15">
        <f>EZ12+EZ64+EZ100+EZ158+EZ168+EZ174+EZ122</f>
        <v>0</v>
      </c>
      <c r="FA10" s="15">
        <f>FA12+FA64+FA100+FA158+FA168+FA174+FA122</f>
        <v>0</v>
      </c>
      <c r="FB10" s="15">
        <f>FB12+FB64+FB100+FB158+FB168+FB174+FB122</f>
        <v>0</v>
      </c>
      <c r="FC10" s="15">
        <f>FC12+FC64+FC100+FC158+FC168+FC174+FC122</f>
        <v>0</v>
      </c>
      <c r="FD10" s="15">
        <f>FD12+FD64+FD100+FD158+FD168+FD174+FD122</f>
        <v>0</v>
      </c>
      <c r="FE10" s="15">
        <f>FE12+FE64+FE100+FE158+FE168+FE174+FE122</f>
        <v>0</v>
      </c>
      <c r="FF10" s="15">
        <f>FF12+FF64+FF100+FF158+FF168+FF174+FF122</f>
        <v>0</v>
      </c>
      <c r="FG10" s="15">
        <f>FG12+FG64+FG100+FG158+FG168+FG174+FG122</f>
        <v>0</v>
      </c>
      <c r="FH10" s="15">
        <f>FH12+FH64+FH100+FH158+FH168+FH174+FH122</f>
        <v>0</v>
      </c>
      <c r="FI10" s="15">
        <f>FI12+FI64+FI100+FI158+FI168+FI174+FI122</f>
        <v>0</v>
      </c>
      <c r="FJ10" s="15">
        <f>FJ12+FJ64+FJ100+FJ158+FJ168+FJ174+FJ122</f>
        <v>0</v>
      </c>
      <c r="FK10" s="15">
        <f>FK12+FK64+FK100+FK158+FK168+FK174+FK122</f>
        <v>0</v>
      </c>
      <c r="FL10" s="15">
        <f>FL12+FL64+FL100+FL158+FL168+FL174+FL122</f>
        <v>0</v>
      </c>
      <c r="FM10" s="15">
        <f>FM12+FM64+FM100+FM158+FM168+FM174+FM122</f>
        <v>0</v>
      </c>
      <c r="FN10" s="15">
        <f>FN12+FN64+FN100+FN158+FN168+FN174+FN122</f>
        <v>0</v>
      </c>
      <c r="FO10" s="15">
        <f>FO12+FO64+FO100+FO158+FO168+FO174+FO122</f>
        <v>0</v>
      </c>
      <c r="FP10" s="15">
        <f>FP12+FP64+FP100+FP158+FP168+FP174+FP122</f>
        <v>0</v>
      </c>
      <c r="FQ10" s="15">
        <f>FQ12+FQ64+FQ100+FQ158+FQ168+FQ174+FQ122</f>
        <v>0</v>
      </c>
      <c r="FR10" s="15">
        <f>FR12+FR64+FR100+FR158+FR168+FR174+FR122</f>
        <v>0</v>
      </c>
      <c r="FS10" s="15">
        <f>FS12+FS64+FS100+FS158+FS168+FS174+FS122</f>
        <v>0</v>
      </c>
      <c r="FT10" s="15">
        <f>FT12+FT64+FT100+FT158+FT168+FT174+FT122</f>
        <v>0</v>
      </c>
      <c r="FU10" s="15">
        <f>FU12+FU64+FU100+FU158+FU168+FU174+FU122</f>
        <v>0</v>
      </c>
      <c r="FV10" s="15">
        <f>FV12+FV64+FV100+FV158+FV168+FV174+FV122</f>
        <v>0</v>
      </c>
      <c r="FW10" s="15">
        <f>FW12+FW64+FW100+FW158+FW168+FW174+FW122</f>
        <v>0</v>
      </c>
      <c r="FX10" s="15">
        <f>FX12+FX64+FX100+FX158+FX168+FX174+FX122</f>
        <v>0</v>
      </c>
      <c r="FY10" s="15">
        <f>FY12+FY64+FY100+FY158+FY168+FY174+FY122</f>
        <v>0</v>
      </c>
      <c r="FZ10" s="15">
        <f>FZ12+FZ64+FZ100+FZ158+FZ168+FZ174+FZ122</f>
        <v>0</v>
      </c>
      <c r="GA10" s="15">
        <f>GA12+GA64+GA100+GA158+GA168+GA174+GA122</f>
        <v>0</v>
      </c>
      <c r="GB10" s="15">
        <f>GB12+GB64+GB100+GB158+GB168+GB174+GB122</f>
        <v>0</v>
      </c>
      <c r="GC10" s="15">
        <f>GC12+GC64+GC100+GC158+GC168+GC174+GC122</f>
        <v>0</v>
      </c>
      <c r="GD10" s="15">
        <f>GD12+GD64+GD100+GD158+GD168+GD174+GD122</f>
        <v>0</v>
      </c>
      <c r="GE10" s="15">
        <f>GE12+GE64+GE100+GE158+GE168+GE174+GE122</f>
        <v>0</v>
      </c>
      <c r="GF10" s="15">
        <f>GF12+GF64+GF100+GF158+GF168+GF174+GF122</f>
        <v>0</v>
      </c>
      <c r="GG10" s="15">
        <f>GG12+GG64+GG100+GG158+GG168+GG174+GG122</f>
        <v>0</v>
      </c>
      <c r="GH10" s="15">
        <f>GH12+GH64+GH100+GH158+GH168+GH174+GH122</f>
        <v>0</v>
      </c>
      <c r="GI10" s="15">
        <f>GI12+GI64+GI100+GI158+GI168+GI174+GI122</f>
        <v>0</v>
      </c>
      <c r="GJ10" s="15">
        <f>GJ12+GJ64+GJ100+GJ158+GJ168+GJ174+GJ122</f>
        <v>0</v>
      </c>
      <c r="GK10" s="15">
        <f>GK12+GK64+GK100+GK158+GK168+GK174+GK122</f>
        <v>0</v>
      </c>
      <c r="GL10" s="15">
        <f>GL12+GL64+GL100+GL158+GL168+GL174+GL122</f>
        <v>0</v>
      </c>
      <c r="GM10" s="15">
        <f>GM12+GM64+GM100+GM158+GM168+GM174+GM122</f>
        <v>0</v>
      </c>
      <c r="GN10" s="15">
        <f>GN12+GN64+GN100+GN158+GN168+GN174+GN122</f>
        <v>0</v>
      </c>
      <c r="GO10" s="15">
        <f>GO12+GO64+GO100+GO158+GO168+GO174+GO122</f>
        <v>0</v>
      </c>
      <c r="GP10" s="15">
        <f>GP12+GP64+GP100+GP158+GP168+GP174+GP122</f>
        <v>0</v>
      </c>
      <c r="GQ10" s="15">
        <f>GQ12+GQ64+GQ100+GQ158+GQ168+GQ174+GQ122</f>
        <v>0</v>
      </c>
      <c r="GR10" s="15">
        <f>GR12+GR64+GR100+GR158+GR168+GR174+GR122</f>
        <v>0</v>
      </c>
      <c r="GS10" s="15">
        <f>GS12+GS64+GS100+GS158+GS168+GS174+GS122</f>
        <v>0</v>
      </c>
      <c r="GT10" s="15">
        <f>GT12+GT64+GT100+GT158+GT168+GT174+GT122</f>
        <v>0</v>
      </c>
      <c r="GU10" s="15">
        <f>GU12+GU64+GU100+GU158+GU168+GU174+GU122</f>
        <v>0</v>
      </c>
      <c r="GV10" s="15">
        <f>GV12+GV64+GV100+GV158+GV168+GV174+GV122</f>
        <v>0</v>
      </c>
      <c r="GW10" s="15">
        <f>GW12+GW64+GW100+GW158+GW168+GW174+GW122</f>
        <v>0</v>
      </c>
      <c r="GX10" s="15">
        <f>GX12+GX64+GX100+GX158+GX168+GX174+GX122</f>
        <v>0</v>
      </c>
      <c r="GY10" s="15">
        <f>GY12+GY64+GY100+GY158+GY168+GY174+GY122</f>
        <v>0</v>
      </c>
      <c r="GZ10" s="15">
        <f>GZ12+GZ64+GZ100+GZ158+GZ168+GZ174+GZ122</f>
        <v>0</v>
      </c>
      <c r="HA10" s="15">
        <f>HA12+HA64+HA100+HA158+HA168+HA174+HA122</f>
        <v>0</v>
      </c>
      <c r="HB10" s="15">
        <f>HB12+HB64+HB100+HB158+HB168+HB174+HB122</f>
        <v>0</v>
      </c>
      <c r="HC10" s="15">
        <f>HC12+HC64+HC100+HC158+HC168+HC174+HC122</f>
        <v>0</v>
      </c>
      <c r="HD10" s="15">
        <f>HD12+HD64+HD100+HD158+HD168+HD174+HD122</f>
        <v>0</v>
      </c>
      <c r="HE10" s="15">
        <f>HE12+HE64+HE100+HE158+HE168+HE174+HE122</f>
        <v>0</v>
      </c>
      <c r="HF10" s="15">
        <f>HF12+HF64+HF100+HF158+HF168+HF174+HF122</f>
        <v>0</v>
      </c>
      <c r="HG10" s="15">
        <f>HG12+HG64+HG100+HG158+HG168+HG174+HG122</f>
        <v>0</v>
      </c>
      <c r="HH10" s="15">
        <f>HH12+HH64+HH100+HH158+HH168+HH174+HH122</f>
        <v>0</v>
      </c>
      <c r="HI10" s="15">
        <f>HI12+HI64+HI100+HI158+HI168+HI174+HI122</f>
        <v>0</v>
      </c>
      <c r="HJ10" s="15">
        <f>HJ12+HJ64+HJ100+HJ158+HJ168+HJ174+HJ122</f>
        <v>0</v>
      </c>
      <c r="HK10" s="15">
        <f>HK12+HK64+HK100+HK158+HK168+HK174+HK122</f>
        <v>0</v>
      </c>
      <c r="HL10" s="15">
        <f>HL12+HL64+HL100+HL158+HL168+HL174+HL122</f>
        <v>0</v>
      </c>
      <c r="HM10" s="15">
        <f>HM12+HM64+HM100+HM158+HM168+HM174+HM122</f>
        <v>0</v>
      </c>
      <c r="HN10" s="15">
        <f>HN12+HN64+HN100+HN158+HN168+HN174+HN122</f>
        <v>0</v>
      </c>
      <c r="HO10" s="15">
        <f>HO12+HO64+HO100+HO158+HO168+HO174+HO122</f>
        <v>0</v>
      </c>
      <c r="HP10" s="15">
        <f>HP12+HP64+HP100+HP158+HP168+HP174+HP122</f>
        <v>0</v>
      </c>
      <c r="HQ10" s="15">
        <f>HQ12+HQ64+HQ100+HQ158+HQ168+HQ174+HQ122</f>
        <v>0</v>
      </c>
      <c r="HR10" s="15">
        <f>HR12+HR64+HR100+HR158+HR168+HR174+HR122</f>
        <v>0</v>
      </c>
      <c r="HS10" s="15">
        <f>HS12+HS64+HS100+HS158+HS168+HS174+HS122</f>
        <v>0</v>
      </c>
      <c r="HT10" s="15">
        <f>HT12+HT64+HT100+HT158+HT168+HT174+HT122</f>
        <v>0</v>
      </c>
      <c r="HU10" s="15">
        <f>HU12+HU64+HU100+HU158+HU168+HU174+HU122</f>
        <v>0</v>
      </c>
      <c r="HV10" s="15">
        <f>HV12+HV64+HV100+HV158+HV168+HV174+HV122</f>
        <v>0</v>
      </c>
      <c r="HW10" s="15">
        <f>HW12+HW64+HW100+HW158+HW168+HW174+HW122</f>
        <v>0</v>
      </c>
      <c r="HX10" s="15">
        <f>HX12+HX64+HX100+HX158+HX168+HX174+HX122</f>
        <v>0</v>
      </c>
      <c r="HY10" s="15">
        <f>HY12+HY64+HY100+HY158+HY168+HY174+HY122</f>
        <v>0</v>
      </c>
      <c r="HZ10" s="15">
        <f>HZ12+HZ64+HZ100+HZ158+HZ168+HZ174+HZ122</f>
        <v>0</v>
      </c>
      <c r="IA10" s="15">
        <f>IA12+IA64+IA100+IA158+IA168+IA174+IA122</f>
        <v>0</v>
      </c>
      <c r="IB10" s="15">
        <f>IB12+IB64+IB100+IB158+IB168+IB174+IB122</f>
        <v>0</v>
      </c>
      <c r="IC10" s="15">
        <f>IC12+IC64+IC100+IC158+IC168+IC174+IC122</f>
        <v>0</v>
      </c>
      <c r="ID10" s="15">
        <f>ID12+ID64+ID100+ID158+ID168+ID174+ID122</f>
        <v>0</v>
      </c>
      <c r="IE10" s="15">
        <f>IE12+IE64+IE100+IE158+IE168+IE174+IE122</f>
        <v>0</v>
      </c>
      <c r="IF10" s="15">
        <f>IF12+IF64+IF100+IF158+IF168+IF174+IF122</f>
        <v>0</v>
      </c>
      <c r="IG10" s="15">
        <f>IG12+IG64+IG100+IG158+IG168+IG174+IG122</f>
        <v>0</v>
      </c>
      <c r="IH10" s="15">
        <f>IH12+IH64+IH100+IH158+IH168+IH174+IH122</f>
        <v>0</v>
      </c>
      <c r="II10" s="15">
        <f>II12+II64+II100+II158+II168+II174+II122</f>
        <v>0</v>
      </c>
      <c r="IJ10" s="15">
        <f>IJ12+IJ64+IJ100+IJ158+IJ168+IJ174+IJ122</f>
        <v>0</v>
      </c>
      <c r="IK10" s="15">
        <f>IK12+IK64+IK100+IK158+IK168+IK174+IK122</f>
        <v>0</v>
      </c>
      <c r="IL10" s="15">
        <f>IL12+IL64+IL100+IL158+IL168+IL174+IL122</f>
        <v>0</v>
      </c>
      <c r="IM10" s="15">
        <f>IM12+IM64+IM100+IM158+IM168+IM174+IM122</f>
        <v>0</v>
      </c>
      <c r="IN10" s="15">
        <f>IN12+IN64+IN100+IN158+IN168+IN174+IN122</f>
        <v>0</v>
      </c>
      <c r="IO10" s="15">
        <f>IO12+IO64+IO100+IO158+IO168+IO174+IO122</f>
        <v>0</v>
      </c>
      <c r="IP10" s="15">
        <f>IP12+IP64+IP100+IP158+IP168+IP174+IP122</f>
        <v>0</v>
      </c>
      <c r="IQ10" s="15">
        <f>IQ12+IQ64+IQ100+IQ158+IQ168+IQ174+IQ122</f>
        <v>0</v>
      </c>
      <c r="IR10" s="15">
        <f>IR12+IR64+IR100+IR158+IR168+IR174+IR122</f>
        <v>0</v>
      </c>
      <c r="IS10" s="15">
        <f>IS12+IS64+IS100+IS158+IS168+IS174+IS122</f>
        <v>0</v>
      </c>
      <c r="IT10" s="15">
        <f>IT12+IT64+IT100+IT158+IT168+IT174+IT122</f>
        <v>0</v>
      </c>
      <c r="IU10" s="15">
        <f>IU12+IU64+IU100+IU158+IU168+IU174+IU122</f>
        <v>0</v>
      </c>
      <c r="IV10" s="15">
        <f>IV12+IV64+IV100+IV158+IV168+IV174+IV122</f>
        <v>0</v>
      </c>
      <c r="IW10" s="15">
        <f>IW12+IW64+IW100+IW158+IW168+IW174+IW122</f>
        <v>0</v>
      </c>
      <c r="IX10" s="15">
        <f>IX12+IX64+IX100+IX158+IX168+IX174+IX122</f>
        <v>0</v>
      </c>
      <c r="IY10" s="15">
        <f>IY12+IY64+IY100+IY158+IY168+IY174+IY122</f>
        <v>0</v>
      </c>
      <c r="IZ10" s="15">
        <f>IZ12+IZ64+IZ100+IZ158+IZ168+IZ174+IZ122</f>
        <v>0</v>
      </c>
      <c r="JA10" s="15">
        <f>JA12+JA64+JA100+JA158+JA168+JA174+JA122</f>
        <v>0</v>
      </c>
      <c r="JB10" s="15">
        <f>JB12+JB64+JB100+JB158+JB168+JB174+JB122</f>
        <v>0</v>
      </c>
      <c r="JC10" s="15">
        <f>JC12+JC64+JC100+JC158+JC168+JC174+JC122</f>
        <v>0</v>
      </c>
      <c r="JD10" s="15">
        <f>JD12+JD64+JD100+JD158+JD168+JD174+JD122</f>
        <v>0</v>
      </c>
      <c r="JE10" s="15">
        <f>JE12+JE64+JE100+JE158+JE168+JE174+JE122</f>
        <v>0</v>
      </c>
      <c r="JF10" s="15">
        <f>JF12+JF64+JF100+JF158+JF168+JF174+JF122</f>
        <v>0</v>
      </c>
      <c r="JG10" s="15">
        <f>JG12+JG64+JG100+JG158+JG168+JG174+JG122</f>
        <v>0</v>
      </c>
      <c r="JH10" s="15">
        <f>JH12+JH64+JH100+JH158+JH168+JH174+JH122</f>
        <v>0</v>
      </c>
      <c r="JI10" s="15">
        <f>JI12+JI64+JI100+JI158+JI168+JI174+JI122</f>
        <v>0</v>
      </c>
      <c r="JJ10" s="15">
        <f>JJ12+JJ64+JJ100+JJ158+JJ168+JJ174+JJ122</f>
        <v>0</v>
      </c>
      <c r="JK10" s="15">
        <f>JK12+JK64+JK100+JK158+JK168+JK174+JK122</f>
        <v>0</v>
      </c>
      <c r="JL10" s="15">
        <f>JL12+JL64+JL100+JL158+JL168+JL174+JL122</f>
        <v>0</v>
      </c>
      <c r="JM10" s="15">
        <f>JM12+JM64+JM100+JM158+JM168+JM174+JM122</f>
        <v>0</v>
      </c>
      <c r="JN10" s="15">
        <f>JN12+JN64+JN100+JN158+JN168+JN174+JN122</f>
        <v>0</v>
      </c>
      <c r="JO10" s="15">
        <f>JO12+JO64+JO100+JO158+JO168+JO174+JO122</f>
        <v>0</v>
      </c>
      <c r="JP10" s="15">
        <f>JP12+JP64+JP100+JP158+JP168+JP174+JP122</f>
        <v>0</v>
      </c>
      <c r="JQ10" s="15">
        <f>JQ12+JQ64+JQ100+JQ158+JQ168+JQ174+JQ122</f>
        <v>0</v>
      </c>
      <c r="JR10" s="15">
        <f>JR12+JR64+JR100+JR158+JR168+JR174+JR122</f>
        <v>0</v>
      </c>
      <c r="JS10" s="15">
        <f>JS12+JS64+JS100+JS158+JS168+JS174+JS122</f>
        <v>0</v>
      </c>
      <c r="JT10" s="15">
        <f>JT12+JT64+JT100+JT158+JT168+JT174+JT122</f>
        <v>0</v>
      </c>
      <c r="JU10" s="15">
        <f>JU12+JU64+JU100+JU158+JU168+JU174+JU122</f>
        <v>0</v>
      </c>
      <c r="JV10" s="15">
        <f>JV12+JV64+JV100+JV158+JV168+JV174+JV122</f>
        <v>0</v>
      </c>
      <c r="JW10" s="15">
        <f>JW12+JW64+JW100+JW158+JW168+JW174+JW122</f>
        <v>0</v>
      </c>
      <c r="JX10" s="15">
        <f>JX12+JX64+JX100+JX158+JX168+JX174+JX122</f>
        <v>0</v>
      </c>
      <c r="JY10" s="15">
        <f>JY12+JY64+JY100+JY158+JY168+JY174+JY122</f>
        <v>0</v>
      </c>
      <c r="JZ10" s="15">
        <f>JZ12+JZ64+JZ100+JZ158+JZ168+JZ174+JZ122</f>
        <v>0</v>
      </c>
      <c r="KA10" s="15">
        <f>KA12+KA64+KA100+KA158+KA168+KA174+KA122</f>
        <v>0</v>
      </c>
      <c r="KB10" s="15">
        <f>KB12+KB64+KB100+KB158+KB168+KB174+KB122</f>
        <v>0</v>
      </c>
      <c r="KC10" s="15">
        <f>KC12+KC64+KC100+KC158+KC168+KC174+KC122</f>
        <v>0</v>
      </c>
      <c r="KD10" s="15">
        <f>KD12+KD64+KD100+KD158+KD168+KD174+KD122</f>
        <v>0</v>
      </c>
      <c r="KE10" s="15">
        <f>KE12+KE64+KE100+KE158+KE168+KE174+KE122</f>
        <v>0</v>
      </c>
      <c r="KF10" s="15">
        <f>KF12+KF64+KF100+KF158+KF168+KF174+KF122</f>
        <v>0</v>
      </c>
      <c r="KG10" s="15">
        <f>KG12+KG64+KG100+KG158+KG168+KG174+KG122</f>
        <v>0</v>
      </c>
      <c r="KH10" s="15">
        <f>KH12+KH64+KH100+KH158+KH168+KH174+KH122</f>
        <v>0</v>
      </c>
      <c r="KI10" s="15">
        <f>KI12+KI64+KI100+KI158+KI168+KI174+KI122</f>
        <v>0</v>
      </c>
      <c r="KJ10" s="15">
        <f>KJ12+KJ64+KJ100+KJ158+KJ168+KJ174+KJ122</f>
        <v>0</v>
      </c>
      <c r="KK10" s="15">
        <f>KK12+KK64+KK100+KK158+KK168+KK174+KK122</f>
        <v>0</v>
      </c>
      <c r="KL10" s="15">
        <f>KL12+KL64+KL100+KL158+KL168+KL174+KL122</f>
        <v>0</v>
      </c>
      <c r="KM10" s="15">
        <f>KM12+KM64+KM100+KM158+KM168+KM174+KM122</f>
        <v>0</v>
      </c>
      <c r="KN10" s="15">
        <f>KN12+KN64+KN100+KN158+KN168+KN174+KN122</f>
        <v>0</v>
      </c>
      <c r="KO10" s="15">
        <f>KO12+KO64+KO100+KO158+KO168+KO174+KO122</f>
        <v>0</v>
      </c>
      <c r="KP10" s="15">
        <f>KP12+KP64+KP100+KP158+KP168+KP174+KP122</f>
        <v>0</v>
      </c>
      <c r="KQ10" s="15">
        <f>KQ12+KQ64+KQ100+KQ158+KQ168+KQ174+KQ122</f>
        <v>0</v>
      </c>
      <c r="KR10" s="15">
        <f>KR12+KR64+KR100+KR158+KR168+KR174+KR122</f>
        <v>0</v>
      </c>
      <c r="KS10" s="15">
        <f>KS12+KS64+KS100+KS158+KS168+KS174+KS122</f>
        <v>0</v>
      </c>
      <c r="KT10" s="15">
        <f>KT12+KT64+KT100+KT158+KT168+KT174+KT122</f>
        <v>0</v>
      </c>
      <c r="KU10" s="15">
        <f>KU12+KU64+KU100+KU158+KU168+KU174+KU122</f>
        <v>0</v>
      </c>
      <c r="KV10" s="15">
        <f>KV12+KV64+KV100+KV158+KV168+KV174+KV122</f>
        <v>0</v>
      </c>
      <c r="KW10" s="15">
        <f>KW12+KW64+KW100+KW158+KW168+KW174+KW122</f>
        <v>0</v>
      </c>
      <c r="KX10" s="15">
        <f>KX12+KX64+KX100+KX158+KX168+KX174+KX122</f>
        <v>0</v>
      </c>
      <c r="KY10" s="15">
        <f>KY12+KY64+KY100+KY158+KY168+KY174+KY122</f>
        <v>0</v>
      </c>
      <c r="KZ10" s="15">
        <f>KZ12+KZ64+KZ100+KZ158+KZ168+KZ174+KZ122</f>
        <v>0</v>
      </c>
      <c r="LA10" s="15">
        <f>LA12+LA64+LA100+LA158+LA168+LA174+LA122</f>
        <v>0</v>
      </c>
      <c r="LB10" s="15">
        <f>LB12+LB64+LB100+LB158+LB168+LB174+LB122</f>
        <v>0</v>
      </c>
      <c r="LC10" s="15">
        <f>LC12+LC64+LC100+LC158+LC168+LC174+LC122</f>
        <v>0</v>
      </c>
      <c r="LD10" s="15">
        <f>LD12+LD64+LD100+LD158+LD168+LD174+LD122</f>
        <v>0</v>
      </c>
      <c r="LE10" s="15">
        <f>LE12+LE64+LE100+LE158+LE168+LE174+LE122</f>
        <v>0</v>
      </c>
      <c r="LF10" s="15">
        <f>LF12+LF64+LF100+LF158+LF168+LF174+LF122</f>
        <v>0</v>
      </c>
      <c r="LG10" s="15">
        <f>LG12+LG64+LG100+LG158+LG168+LG174+LG122</f>
        <v>0</v>
      </c>
      <c r="LH10" s="15">
        <f>LH12+LH64+LH100+LH158+LH168+LH174+LH122</f>
        <v>0</v>
      </c>
      <c r="LI10" s="15">
        <f>LI12+LI64+LI100+LI158+LI168+LI174+LI122</f>
        <v>0</v>
      </c>
      <c r="LJ10" s="15">
        <f>LJ12+LJ64+LJ100+LJ158+LJ168+LJ174+LJ122</f>
        <v>0</v>
      </c>
      <c r="LK10" s="15">
        <f>LK12+LK64+LK100+LK158+LK168+LK174+LK122</f>
        <v>0</v>
      </c>
      <c r="LL10" s="15">
        <f>LL12+LL64+LL100+LL158+LL168+LL174+LL122</f>
        <v>0</v>
      </c>
      <c r="LM10" s="15">
        <f>LM12+LM64+LM100+LM158+LM168+LM174+LM122</f>
        <v>0</v>
      </c>
      <c r="LN10" s="15">
        <f>LN12+LN64+LN100+LN158+LN168+LN174+LN122</f>
        <v>0</v>
      </c>
      <c r="LO10" s="15">
        <f>LO12+LO64+LO100+LO158+LO168+LO174+LO122</f>
        <v>0</v>
      </c>
      <c r="LP10" s="15">
        <f>LP12+LP64+LP100+LP158+LP168+LP174+LP122</f>
        <v>0</v>
      </c>
      <c r="LQ10" s="15">
        <f>LQ12+LQ64+LQ100+LQ158+LQ168+LQ174+LQ122</f>
        <v>0</v>
      </c>
      <c r="LR10" s="15">
        <f>LR12+LR64+LR100+LR158+LR168+LR174+LR122</f>
        <v>0</v>
      </c>
      <c r="LS10" s="15">
        <f>LS12+LS64+LS100+LS158+LS168+LS174+LS122</f>
        <v>0</v>
      </c>
      <c r="LT10" s="15">
        <f>LT12+LT64+LT100+LT158+LT168+LT174+LT122</f>
        <v>0</v>
      </c>
      <c r="LU10" s="15">
        <f>LU12+LU64+LU100+LU158+LU168+LU174+LU122</f>
        <v>0</v>
      </c>
      <c r="LV10" s="15">
        <f>LV12+LV64+LV100+LV158+LV168+LV174+LV122</f>
        <v>0</v>
      </c>
      <c r="LW10" s="15">
        <f>LW12+LW64+LW100+LW158+LW168+LW174+LW122</f>
        <v>0</v>
      </c>
      <c r="LX10" s="15">
        <f>LX12+LX64+LX100+LX158+LX168+LX174+LX122</f>
        <v>0</v>
      </c>
      <c r="LY10" s="15">
        <f>LY12+LY64+LY100+LY158+LY168+LY174+LY122</f>
        <v>0</v>
      </c>
      <c r="LZ10" s="15">
        <f>LZ12+LZ64+LZ100+LZ158+LZ168+LZ174+LZ122</f>
        <v>0</v>
      </c>
      <c r="MA10" s="15">
        <f>MA12+MA64+MA100+MA158+MA168+MA174+MA122</f>
        <v>0</v>
      </c>
      <c r="MB10" s="15">
        <f>MB12+MB64+MB100+MB158+MB168+MB174+MB122</f>
        <v>0</v>
      </c>
      <c r="MC10" s="15">
        <f>MC12+MC64+MC100+MC158+MC168+MC174+MC122</f>
        <v>0</v>
      </c>
      <c r="MD10" s="15">
        <f>MD12+MD64+MD100+MD158+MD168+MD174+MD122</f>
        <v>0</v>
      </c>
      <c r="ME10" s="15">
        <f>ME12+ME64+ME100+ME158+ME168+ME174+ME122</f>
        <v>0</v>
      </c>
      <c r="MF10" s="15">
        <f>MF12+MF64+MF100+MF158+MF168+MF174+MF122</f>
        <v>0</v>
      </c>
      <c r="MG10" s="15">
        <f>MG12+MG64+MG100+MG158+MG168+MG174+MG122</f>
        <v>0</v>
      </c>
      <c r="MH10" s="15">
        <f>MH12+MH64+MH100+MH158+MH168+MH174+MH122</f>
        <v>0</v>
      </c>
      <c r="MI10" s="15">
        <f>MI12+MI64+MI100+MI158+MI168+MI174+MI122</f>
        <v>0</v>
      </c>
      <c r="MJ10" s="15">
        <f>MJ12+MJ64+MJ100+MJ158+MJ168+MJ174+MJ122</f>
        <v>0</v>
      </c>
      <c r="MK10" s="15">
        <f>MK12+MK64+MK100+MK158+MK168+MK174+MK122</f>
        <v>0</v>
      </c>
      <c r="ML10" s="15">
        <f>ML12+ML64+ML100+ML158+ML168+ML174+ML122</f>
        <v>0</v>
      </c>
      <c r="MM10" s="15">
        <f>MM12+MM64+MM100+MM158+MM168+MM174+MM122</f>
        <v>0</v>
      </c>
      <c r="MN10" s="15">
        <f>MN12+MN64+MN100+MN158+MN168+MN174+MN122</f>
        <v>0</v>
      </c>
      <c r="MO10" s="15">
        <f>MO12+MO64+MO100+MO158+MO168+MO174+MO122</f>
        <v>0</v>
      </c>
      <c r="MP10" s="15">
        <f>MP12+MP64+MP100+MP158+MP168+MP174+MP122</f>
        <v>0</v>
      </c>
      <c r="MQ10" s="15">
        <f>MQ12+MQ64+MQ100+MQ158+MQ168+MQ174+MQ122</f>
        <v>0</v>
      </c>
      <c r="MR10" s="15">
        <f>MR12+MR64+MR100+MR158+MR168+MR174+MR122</f>
        <v>0</v>
      </c>
      <c r="MS10" s="15">
        <f>MS12+MS64+MS100+MS158+MS168+MS174+MS122</f>
        <v>0</v>
      </c>
      <c r="MT10" s="15">
        <f>MT12+MT64+MT100+MT158+MT168+MT174+MT122</f>
        <v>0</v>
      </c>
      <c r="MU10" s="15">
        <f>MU12+MU64+MU100+MU158+MU168+MU174+MU122</f>
        <v>0</v>
      </c>
      <c r="MV10" s="15">
        <f>MV12+MV64+MV100+MV158+MV168+MV174+MV122</f>
        <v>0</v>
      </c>
      <c r="MW10" s="15">
        <f>MW12+MW64+MW100+MW158+MW168+MW174+MW122</f>
        <v>0</v>
      </c>
      <c r="MX10" s="15">
        <f>MX12+MX64+MX100+MX158+MX168+MX174+MX122</f>
        <v>0</v>
      </c>
      <c r="MY10" s="15">
        <f>MY12+MY64+MY100+MY158+MY168+MY174+MY122</f>
        <v>0</v>
      </c>
      <c r="MZ10" s="15">
        <f>MZ12+MZ64+MZ100+MZ158+MZ168+MZ174+MZ122</f>
        <v>0</v>
      </c>
      <c r="NA10" s="15">
        <f>NA12+NA64+NA100+NA158+NA168+NA174+NA122</f>
        <v>0</v>
      </c>
      <c r="NB10" s="15">
        <f>NB12+NB64+NB100+NB158+NB168+NB174+NB122</f>
        <v>0</v>
      </c>
      <c r="NC10" s="15">
        <f>NC12+NC64+NC100+NC158+NC168+NC174+NC122</f>
        <v>0</v>
      </c>
      <c r="ND10" s="15">
        <f>ND12+ND64+ND100+ND158+ND168+ND174+ND122</f>
        <v>0</v>
      </c>
      <c r="NE10" s="15">
        <f>NE12+NE64+NE100+NE158+NE168+NE174+NE122</f>
        <v>0</v>
      </c>
      <c r="NF10" s="15">
        <f>NF12+NF64+NF100+NF158+NF168+NF174+NF122</f>
        <v>0</v>
      </c>
      <c r="NG10" s="15">
        <f>NG12+NG64+NG100+NG158+NG168+NG174+NG122</f>
        <v>0</v>
      </c>
      <c r="NH10" s="15">
        <f>NH12+NH64+NH100+NH158+NH168+NH174+NH122</f>
        <v>0</v>
      </c>
      <c r="NI10" s="15">
        <f>NI12+NI64+NI100+NI158+NI168+NI174+NI122</f>
        <v>0</v>
      </c>
      <c r="NJ10" s="15">
        <f>NJ12+NJ64+NJ100+NJ158+NJ168+NJ174+NJ122</f>
        <v>0</v>
      </c>
      <c r="NK10" s="15">
        <f>NK12+NK64+NK100+NK158+NK168+NK174+NK122</f>
        <v>0</v>
      </c>
      <c r="NL10" s="15">
        <f>NL12+NL64+NL100+NL158+NL168+NL174+NL122</f>
        <v>0</v>
      </c>
      <c r="NM10" s="15">
        <f>NM12+NM64+NM100+NM158+NM168+NM174+NM122</f>
        <v>0</v>
      </c>
      <c r="NN10" s="15">
        <f>NN12+NN64+NN100+NN158+NN168+NN174+NN122</f>
        <v>0</v>
      </c>
      <c r="NO10" s="15">
        <f>NO12+NO64+NO100+NO158+NO168+NO174+NO122</f>
        <v>0</v>
      </c>
      <c r="NP10" s="15">
        <f>NP12+NP64+NP100+NP158+NP168+NP174+NP122</f>
        <v>0</v>
      </c>
      <c r="NQ10" s="15">
        <f>NQ12+NQ64+NQ100+NQ158+NQ168+NQ174+NQ122</f>
        <v>0</v>
      </c>
      <c r="NR10" s="15">
        <f>NR12+NR64+NR100+NR158+NR168+NR174+NR122</f>
        <v>0</v>
      </c>
      <c r="NS10" s="15">
        <f>NS12+NS64+NS100+NS158+NS168+NS174+NS122</f>
        <v>0</v>
      </c>
      <c r="NT10" s="7">
        <f>SUM(F10:NS10)</f>
        <v>247</v>
      </c>
      <c r="NU10" s="76"/>
      <c r="NV10" s="21">
        <f>NV12+NV64+NV100+NV158+NV168</f>
        <v>27.788773448773448</v>
      </c>
      <c r="NW10" s="39"/>
      <c r="NX10" s="6">
        <f>SUM(F10:AU10)</f>
        <v>245</v>
      </c>
      <c r="NY10" s="105"/>
      <c r="NZ10" s="21">
        <f>NZ12+NZ64+NZ100+NZ158+NZ168</f>
        <v>7.1428571428571425E-2</v>
      </c>
      <c r="OA10" s="21"/>
      <c r="OB10" s="7">
        <f>SUM(AV10:CK10)</f>
        <v>2</v>
      </c>
      <c r="OC10" s="105"/>
      <c r="OD10" s="21">
        <f>OD12+OD64+OD100+OD158+OD168</f>
        <v>0</v>
      </c>
      <c r="OE10" s="39"/>
      <c r="OF10" s="6">
        <f>SUM(CL10:EA10)</f>
        <v>0</v>
      </c>
      <c r="OG10" s="105"/>
      <c r="OH10" s="21">
        <f>OH12+OH64+OH100+OH158+OH168</f>
        <v>0</v>
      </c>
      <c r="OI10" s="105"/>
      <c r="OJ10" s="6">
        <f>SUM(EB10:FQ10)</f>
        <v>0</v>
      </c>
      <c r="OK10" s="105"/>
      <c r="OL10" s="21">
        <f>OL12+OL64+OL100+OL158+OL168</f>
        <v>0</v>
      </c>
      <c r="OM10" s="105"/>
      <c r="ON10" s="6">
        <f>SUM(FR10:HG10)</f>
        <v>0</v>
      </c>
      <c r="OO10" s="105"/>
      <c r="OP10" s="21">
        <f>OP12+OP64+OP100+OP158+OP168</f>
        <v>0</v>
      </c>
      <c r="OQ10" s="105"/>
      <c r="OR10" s="17">
        <f>SUM(HH10:IW10)</f>
        <v>0</v>
      </c>
      <c r="OS10" s="105"/>
      <c r="OT10" s="48">
        <f>OT12+OT64+OT100+OT158+OT168</f>
        <v>0</v>
      </c>
      <c r="OU10" s="76"/>
      <c r="OV10" s="17">
        <f>SUM(IX10:KM10)</f>
        <v>0</v>
      </c>
      <c r="OW10" s="76"/>
      <c r="OX10" s="21">
        <f>OX12+OX64+OX100+OX158+OX168</f>
        <v>0</v>
      </c>
      <c r="OY10" s="39"/>
      <c r="OZ10" s="17">
        <f>SUM(KN10:MC10)</f>
        <v>0</v>
      </c>
      <c r="PA10" s="105"/>
      <c r="PB10" s="21">
        <f>PB12+PB64+PB100+PB158+PB168</f>
        <v>0</v>
      </c>
      <c r="PC10" s="39"/>
      <c r="PD10" s="17">
        <f>SUM(MD10:NS10)</f>
        <v>0</v>
      </c>
      <c r="PE10" s="105"/>
    </row>
    <row r="11" spans="1:421" ht="15" customHeight="1" thickBot="1" x14ac:dyDescent="0.3">
      <c r="A11" s="18"/>
      <c r="B11" s="18"/>
      <c r="C11" s="94" t="s">
        <v>22</v>
      </c>
      <c r="D11" s="57"/>
      <c r="E11" s="51" t="s">
        <v>8</v>
      </c>
      <c r="F11" s="12">
        <f>COUNTIF(F13:F62,"1")</f>
        <v>8</v>
      </c>
      <c r="G11" s="12">
        <f>COUNTIF(G13:G62,"1")</f>
        <v>0</v>
      </c>
      <c r="H11" s="12">
        <f>COUNTIF(H13:H62,"1")</f>
        <v>0</v>
      </c>
      <c r="I11" s="12">
        <f>COUNTIF(I13:I62,"1")</f>
        <v>7</v>
      </c>
      <c r="J11" s="12">
        <f>COUNTIF(J13:J62,"1")</f>
        <v>7</v>
      </c>
      <c r="K11" s="12">
        <f>COUNTIF(K13:K62,"1")</f>
        <v>6</v>
      </c>
      <c r="L11" s="12">
        <f>COUNTIF(L13:L62,"1")</f>
        <v>8</v>
      </c>
      <c r="M11" s="12">
        <f>COUNTIF(M13:M62,"1")</f>
        <v>4</v>
      </c>
      <c r="N11" s="12">
        <f>COUNTIF(N13:N62,"1")</f>
        <v>0</v>
      </c>
      <c r="O11" s="12">
        <f>COUNTIF(O13:O62,"1")</f>
        <v>0</v>
      </c>
      <c r="P11" s="69">
        <f>COUNTIF(P13:P62,"1")</f>
        <v>0</v>
      </c>
      <c r="Q11" s="12">
        <f>COUNTIF(Q13:Q62,"1")</f>
        <v>6</v>
      </c>
      <c r="R11" s="12">
        <f>COUNTIF(R13:R62,"1")</f>
        <v>3</v>
      </c>
      <c r="S11" s="12">
        <f>COUNTIF(S13:S62,"1")</f>
        <v>8</v>
      </c>
      <c r="T11" s="12">
        <f>COUNTIF(T13:T62,"1")</f>
        <v>2</v>
      </c>
      <c r="U11" s="12">
        <f>COUNTIF(U13:U62,"1")</f>
        <v>0</v>
      </c>
      <c r="V11" s="12">
        <f>COUNTIF(V13:V62,"1")</f>
        <v>0</v>
      </c>
      <c r="W11" s="69">
        <f>COUNTIF(W13:W62,"1")</f>
        <v>0</v>
      </c>
      <c r="X11" s="12">
        <f>COUNTIF(X13:X62,"1")</f>
        <v>4</v>
      </c>
      <c r="Y11" s="12">
        <f>COUNTIF(Y13:Y62,"1")</f>
        <v>3</v>
      </c>
      <c r="Z11" s="12">
        <f>COUNTIF(Z13:Z62,"1")</f>
        <v>7</v>
      </c>
      <c r="AA11" s="12">
        <f>COUNTIF(AA13:AA62,"1")</f>
        <v>2</v>
      </c>
      <c r="AB11" s="12">
        <f>COUNTIF(AB13:AB62,"1")</f>
        <v>0</v>
      </c>
      <c r="AC11" s="12">
        <f>COUNTIF(AC13:AC62,"1")</f>
        <v>0</v>
      </c>
      <c r="AD11" s="12">
        <f>COUNTIF(AD13:AD62,"1")</f>
        <v>2</v>
      </c>
      <c r="AE11" s="12">
        <f>COUNTIF(AE13:AE62,"1")</f>
        <v>4</v>
      </c>
      <c r="AF11" s="12">
        <f>COUNTIF(AF13:AF62,"1")</f>
        <v>4</v>
      </c>
      <c r="AG11" s="12">
        <f>COUNTIF(AG13:AG62,"1")</f>
        <v>9</v>
      </c>
      <c r="AH11" s="12">
        <f>COUNTIF(AH13:AH62,"1")</f>
        <v>5</v>
      </c>
      <c r="AI11" s="12">
        <f>COUNTIF(AI13:AI62,"1")</f>
        <v>0</v>
      </c>
      <c r="AJ11" s="12">
        <f>COUNTIF(AJ13:AJ62,"1")</f>
        <v>0</v>
      </c>
      <c r="AK11" s="12">
        <f>COUNTIF(AK13:AK62,"1")</f>
        <v>6</v>
      </c>
      <c r="AL11" s="12">
        <f>COUNTIF(AL13:AL62,"1")</f>
        <v>10</v>
      </c>
      <c r="AM11" s="12">
        <f>COUNTIF(AM13:AM62,"1")</f>
        <v>6</v>
      </c>
      <c r="AN11" s="12">
        <f>COUNTIF(AN13:AN62,"1")</f>
        <v>13</v>
      </c>
      <c r="AO11" s="12">
        <f>COUNTIF(AO13:AO62,"1")</f>
        <v>4</v>
      </c>
      <c r="AP11" s="12">
        <f>COUNTIF(AP13:AP62,"1")</f>
        <v>0</v>
      </c>
      <c r="AQ11" s="12">
        <f>COUNTIF(AQ13:AQ62,"1")</f>
        <v>0</v>
      </c>
      <c r="AR11" s="12">
        <f>COUNTIF(AR13:AR62,"1")</f>
        <v>5</v>
      </c>
      <c r="AS11" s="12">
        <f>COUNTIF(AS13:AS62,"1")</f>
        <v>9</v>
      </c>
      <c r="AT11" s="12">
        <f>COUNTIF(AT13:AT62,"1")</f>
        <v>8</v>
      </c>
      <c r="AU11" s="12">
        <f>COUNTIF(AU13:AU62,"1")</f>
        <v>12</v>
      </c>
      <c r="AV11" s="12">
        <f>COUNTIF(AV13:AV62,"1")</f>
        <v>6</v>
      </c>
      <c r="AW11" s="12">
        <f>COUNTIF(AW13:AW62,"1")</f>
        <v>0</v>
      </c>
      <c r="AX11" s="12">
        <f>COUNTIF(AX13:AX62,"1")</f>
        <v>0</v>
      </c>
      <c r="AY11" s="12">
        <f>COUNTIF(AY13:AY62,"1")</f>
        <v>5</v>
      </c>
      <c r="AZ11" s="12">
        <f>COUNTIF(AZ13:AZ62,"1")</f>
        <v>8</v>
      </c>
      <c r="BA11" s="12">
        <f>COUNTIF(BA13:BA62,"1")</f>
        <v>5</v>
      </c>
      <c r="BB11" s="12">
        <f>COUNTIF(BB13:BB62,"1")</f>
        <v>11</v>
      </c>
      <c r="BC11" s="12">
        <f>COUNTIF(BC13:BC62,"1")</f>
        <v>5</v>
      </c>
      <c r="BD11" s="12">
        <f>COUNTIF(BD13:BD62,"1")</f>
        <v>0</v>
      </c>
      <c r="BE11" s="12">
        <f>COUNTIF(BE13:BE62,"1")</f>
        <v>0</v>
      </c>
      <c r="BF11" s="12">
        <f>COUNTIF(BF13:BF62,"1")</f>
        <v>5</v>
      </c>
      <c r="BG11" s="12">
        <f>COUNTIF(BG13:BG62,"1")</f>
        <v>8</v>
      </c>
      <c r="BH11" s="12">
        <f>COUNTIF(BH13:BH62,"1")</f>
        <v>5</v>
      </c>
      <c r="BI11" s="12">
        <f>COUNTIF(BI13:BI62,"1")</f>
        <v>11</v>
      </c>
      <c r="BJ11" s="12">
        <f>COUNTIF(BJ13:BJ62,"1")</f>
        <v>5</v>
      </c>
      <c r="BK11" s="12">
        <f>COUNTIF(BK13:BK62,"1")</f>
        <v>0</v>
      </c>
      <c r="BL11" s="12">
        <f>COUNTIF(BL13:BL62,"1")</f>
        <v>0</v>
      </c>
      <c r="BM11" s="12">
        <f>COUNTIF(BM13:BM62,"1")</f>
        <v>5</v>
      </c>
      <c r="BN11" s="12">
        <f>COUNTIF(BN13:BN62,"1")</f>
        <v>8</v>
      </c>
      <c r="BO11" s="12">
        <f>COUNTIF(BO13:BO62,"1")</f>
        <v>6</v>
      </c>
      <c r="BP11" s="12">
        <f>COUNTIF(BP13:BP62,"1")</f>
        <v>12</v>
      </c>
      <c r="BQ11" s="12">
        <f>COUNTIF(BQ13:BQ62,"1")</f>
        <v>5</v>
      </c>
      <c r="BR11" s="12">
        <f>COUNTIF(BR13:BR62,"1")</f>
        <v>0</v>
      </c>
      <c r="BS11" s="12">
        <f>COUNTIF(BS13:BS62,"1")</f>
        <v>0</v>
      </c>
      <c r="BT11" s="12">
        <f>COUNTIF(BT13:BT62,"1")</f>
        <v>5</v>
      </c>
      <c r="BU11" s="12">
        <f>COUNTIF(BU13:BU62,"1")</f>
        <v>8</v>
      </c>
      <c r="BV11" s="12">
        <f>COUNTIF(BV13:BV62,"1")</f>
        <v>6</v>
      </c>
      <c r="BW11" s="12">
        <f>COUNTIF(BW13:BW62,"1")</f>
        <v>12</v>
      </c>
      <c r="BX11" s="12">
        <f>COUNTIF(BX13:BX62,"1")</f>
        <v>5</v>
      </c>
      <c r="BY11" s="12">
        <f>COUNTIF(BY13:BY62,"1")</f>
        <v>0</v>
      </c>
      <c r="BZ11" s="12">
        <f>COUNTIF(BZ13:BZ62,"1")</f>
        <v>0</v>
      </c>
      <c r="CA11" s="12">
        <f>COUNTIF(CA13:CA62,"1")</f>
        <v>5</v>
      </c>
      <c r="CB11" s="12">
        <f>COUNTIF(CB13:CB62,"1")</f>
        <v>10</v>
      </c>
      <c r="CC11" s="12">
        <f>COUNTIF(CC13:CC62,"1")</f>
        <v>6</v>
      </c>
      <c r="CD11" s="12">
        <f>COUNTIF(CD13:CD62,"1")</f>
        <v>12</v>
      </c>
      <c r="CE11" s="12">
        <f>COUNTIF(CE13:CE62,"1")</f>
        <v>5</v>
      </c>
      <c r="CF11" s="12">
        <f>COUNTIF(CF13:CF62,"1")</f>
        <v>0</v>
      </c>
      <c r="CG11" s="12">
        <f>COUNTIF(CG13:CG62,"1")</f>
        <v>0</v>
      </c>
      <c r="CH11" s="12">
        <f>COUNTIF(CH13:CH62,"1")</f>
        <v>5</v>
      </c>
      <c r="CI11" s="12">
        <f>COUNTIF(CI13:CI62,"1")</f>
        <v>8</v>
      </c>
      <c r="CJ11" s="12">
        <f>COUNTIF(CJ13:CJ62,"1")</f>
        <v>5</v>
      </c>
      <c r="CK11" s="12">
        <f>COUNTIF(CK13:CK62,"1")</f>
        <v>11</v>
      </c>
      <c r="CL11" s="12">
        <f>COUNTIF(CL13:CL62,"1")</f>
        <v>5</v>
      </c>
      <c r="CM11" s="12">
        <f>COUNTIF(CM13:CM62,"1")</f>
        <v>0</v>
      </c>
      <c r="CN11" s="12">
        <f>COUNTIF(CN13:CN62,"1")</f>
        <v>0</v>
      </c>
      <c r="CO11" s="12">
        <f>COUNTIF(CO13:CO62,"1")</f>
        <v>5</v>
      </c>
      <c r="CP11" s="12">
        <f>COUNTIF(CP13:CP62,"1")</f>
        <v>8</v>
      </c>
      <c r="CQ11" s="12">
        <f>COUNTIF(CQ13:CQ62,"1")</f>
        <v>5</v>
      </c>
      <c r="CR11" s="12">
        <f>COUNTIF(CR13:CR62,"1")</f>
        <v>11</v>
      </c>
      <c r="CS11" s="12">
        <f>COUNTIF(CS13:CS62,"1")</f>
        <v>5</v>
      </c>
      <c r="CT11" s="12">
        <f>COUNTIF(CT13:CT62,"1")</f>
        <v>0</v>
      </c>
      <c r="CU11" s="12">
        <f>COUNTIF(CU13:CU62,"1")</f>
        <v>0</v>
      </c>
      <c r="CV11" s="12">
        <f>COUNTIF(CV13:CV62,"1")</f>
        <v>5</v>
      </c>
      <c r="CW11" s="12">
        <f>COUNTIF(CW13:CW62,"1")</f>
        <v>8</v>
      </c>
      <c r="CX11" s="12">
        <f>COUNTIF(CX13:CX62,"1")</f>
        <v>5</v>
      </c>
      <c r="CY11" s="12">
        <f>COUNTIF(CY13:CY62,"1")</f>
        <v>11</v>
      </c>
      <c r="CZ11" s="12">
        <f>COUNTIF(CZ13:CZ62,"1")</f>
        <v>5</v>
      </c>
      <c r="DA11" s="12">
        <f>COUNTIF(DA13:DA62,"1")</f>
        <v>0</v>
      </c>
      <c r="DB11" s="12">
        <f>COUNTIF(DB13:DB62,"1")</f>
        <v>0</v>
      </c>
      <c r="DC11" s="12">
        <f>COUNTIF(DC13:DC62,"1")</f>
        <v>5</v>
      </c>
      <c r="DD11" s="12">
        <f>COUNTIF(DD13:DD62,"1")</f>
        <v>8</v>
      </c>
      <c r="DE11" s="12">
        <f>COUNTIF(DE13:DE62,"1")</f>
        <v>5</v>
      </c>
      <c r="DF11" s="12">
        <f>COUNTIF(DF13:DF62,"1")</f>
        <v>11</v>
      </c>
      <c r="DG11" s="12">
        <f>COUNTIF(DG13:DG62,"1")</f>
        <v>5</v>
      </c>
      <c r="DH11" s="12">
        <f>COUNTIF(DH13:DH62,"1")</f>
        <v>0</v>
      </c>
      <c r="DI11" s="12">
        <f>COUNTIF(DI13:DI62,"1")</f>
        <v>0</v>
      </c>
      <c r="DJ11" s="12">
        <f>COUNTIF(DJ13:DJ62,"1")</f>
        <v>5</v>
      </c>
      <c r="DK11" s="12">
        <f>COUNTIF(DK13:DK62,"1")</f>
        <v>10</v>
      </c>
      <c r="DL11" s="12">
        <f>COUNTIF(DL13:DL62,"1")</f>
        <v>6</v>
      </c>
      <c r="DM11" s="12">
        <f>COUNTIF(DM13:DM62,"1")</f>
        <v>12</v>
      </c>
      <c r="DN11" s="12">
        <f>COUNTIF(DN13:DN62,"1")</f>
        <v>5</v>
      </c>
      <c r="DO11" s="12">
        <f>COUNTIF(DO13:DO62,"1")</f>
        <v>0</v>
      </c>
      <c r="DP11" s="12">
        <f>COUNTIF(DP13:DP62,"1")</f>
        <v>0</v>
      </c>
      <c r="DQ11" s="12">
        <f>COUNTIF(DQ13:DQ62,"1")</f>
        <v>5</v>
      </c>
      <c r="DR11" s="12">
        <f>COUNTIF(DR13:DR62,"1")</f>
        <v>8</v>
      </c>
      <c r="DS11" s="12">
        <f>COUNTIF(DS13:DS62,"1")</f>
        <v>5</v>
      </c>
      <c r="DT11" s="12">
        <f>COUNTIF(DT13:DT62,"1")</f>
        <v>11</v>
      </c>
      <c r="DU11" s="12">
        <f>COUNTIF(DU13:DU62,"1")</f>
        <v>5</v>
      </c>
      <c r="DV11" s="12">
        <f>COUNTIF(DV13:DV62,"1")</f>
        <v>0</v>
      </c>
      <c r="DW11" s="12">
        <f>COUNTIF(DW13:DW62,"1")</f>
        <v>0</v>
      </c>
      <c r="DX11" s="12">
        <f>COUNTIF(DX13:DX62,"1")</f>
        <v>5</v>
      </c>
      <c r="DY11" s="12">
        <f>COUNTIF(DY13:DY62,"1")</f>
        <v>8</v>
      </c>
      <c r="DZ11" s="12">
        <f>COUNTIF(DZ13:DZ62,"1")</f>
        <v>5</v>
      </c>
      <c r="EA11" s="12">
        <f>COUNTIF(EA13:EA62,"1")</f>
        <v>11</v>
      </c>
      <c r="EB11" s="12">
        <f>COUNTIF(EB13:EB62,"1")</f>
        <v>5</v>
      </c>
      <c r="EC11" s="12">
        <f>COUNTIF(EC13:EC62,"1")</f>
        <v>0</v>
      </c>
      <c r="ED11" s="12">
        <f>COUNTIF(ED13:ED62,"1")</f>
        <v>0</v>
      </c>
      <c r="EE11" s="12">
        <f>COUNTIF(EE13:EE62,"1")</f>
        <v>5</v>
      </c>
      <c r="EF11" s="12">
        <f>COUNTIF(EF13:EF62,"1")</f>
        <v>8</v>
      </c>
      <c r="EG11" s="12">
        <f>COUNTIF(EG13:EG62,"1")</f>
        <v>5</v>
      </c>
      <c r="EH11" s="12">
        <f>COUNTIF(EH13:EH62,"1")</f>
        <v>11</v>
      </c>
      <c r="EI11" s="12">
        <f>COUNTIF(EI13:EI62,"1")</f>
        <v>5</v>
      </c>
      <c r="EJ11" s="12">
        <f>COUNTIF(EJ13:EJ62,"1")</f>
        <v>0</v>
      </c>
      <c r="EK11" s="12">
        <f>COUNTIF(EK13:EK62,"1")</f>
        <v>0</v>
      </c>
      <c r="EL11" s="12">
        <f>COUNTIF(EL13:EL62,"1")</f>
        <v>5</v>
      </c>
      <c r="EM11" s="12">
        <f>COUNTIF(EM13:EM62,"1")</f>
        <v>8</v>
      </c>
      <c r="EN11" s="12">
        <f>COUNTIF(EN13:EN62,"1")</f>
        <v>5</v>
      </c>
      <c r="EO11" s="12">
        <f>COUNTIF(EO13:EO62,"1")</f>
        <v>11</v>
      </c>
      <c r="EP11" s="12">
        <f>COUNTIF(EP13:EP62,"1")</f>
        <v>5</v>
      </c>
      <c r="EQ11" s="12">
        <f>COUNTIF(EQ13:EQ62,"1")</f>
        <v>0</v>
      </c>
      <c r="ER11" s="12">
        <f>COUNTIF(ER13:ER62,"1")</f>
        <v>0</v>
      </c>
      <c r="ES11" s="12">
        <f>COUNTIF(ES13:ES62,"1")</f>
        <v>5</v>
      </c>
      <c r="ET11" s="12">
        <f>COUNTIF(ET13:ET62,"1")</f>
        <v>10</v>
      </c>
      <c r="EU11" s="12">
        <f>COUNTIF(EU13:EU62,"1")</f>
        <v>6</v>
      </c>
      <c r="EV11" s="12">
        <f>COUNTIF(EV13:EV62,"1")</f>
        <v>12</v>
      </c>
      <c r="EW11" s="12">
        <f>COUNTIF(EW13:EW62,"1")</f>
        <v>5</v>
      </c>
      <c r="EX11" s="12">
        <f>COUNTIF(EX13:EX62,"1")</f>
        <v>0</v>
      </c>
      <c r="EY11" s="12">
        <f>COUNTIF(EY13:EY62,"1")</f>
        <v>0</v>
      </c>
      <c r="EZ11" s="12">
        <f>COUNTIF(EZ13:EZ62,"1")</f>
        <v>5</v>
      </c>
      <c r="FA11" s="12">
        <f>COUNTIF(FA13:FA62,"1")</f>
        <v>8</v>
      </c>
      <c r="FB11" s="12">
        <f>COUNTIF(FB13:FB62,"1")</f>
        <v>5</v>
      </c>
      <c r="FC11" s="12">
        <f>COUNTIF(FC13:FC62,"1")</f>
        <v>11</v>
      </c>
      <c r="FD11" s="12">
        <f>COUNTIF(FD13:FD62,"1")</f>
        <v>5</v>
      </c>
      <c r="FE11" s="12">
        <f>COUNTIF(FE13:FE62,"1")</f>
        <v>0</v>
      </c>
      <c r="FF11" s="12">
        <f>COUNTIF(FF13:FF62,"1")</f>
        <v>0</v>
      </c>
      <c r="FG11" s="12">
        <f>COUNTIF(FG13:FG62,"1")</f>
        <v>5</v>
      </c>
      <c r="FH11" s="12">
        <f>COUNTIF(FH13:FH62,"1")</f>
        <v>8</v>
      </c>
      <c r="FI11" s="12">
        <f>COUNTIF(FI13:FI62,"1")</f>
        <v>5</v>
      </c>
      <c r="FJ11" s="12">
        <f>COUNTIF(FJ13:FJ62,"1")</f>
        <v>11</v>
      </c>
      <c r="FK11" s="12">
        <f>COUNTIF(FK13:FK62,"1")</f>
        <v>5</v>
      </c>
      <c r="FL11" s="12">
        <f>COUNTIF(FL13:FL62,"1")</f>
        <v>0</v>
      </c>
      <c r="FM11" s="12">
        <f>COUNTIF(FM13:FM62,"1")</f>
        <v>0</v>
      </c>
      <c r="FN11" s="12">
        <f>COUNTIF(FN13:FN62,"1")</f>
        <v>5</v>
      </c>
      <c r="FO11" s="12">
        <f>COUNTIF(FO13:FO62,"1")</f>
        <v>8</v>
      </c>
      <c r="FP11" s="12">
        <f>COUNTIF(FP13:FP62,"1")</f>
        <v>5</v>
      </c>
      <c r="FQ11" s="12">
        <f>COUNTIF(FQ13:FQ62,"1")</f>
        <v>11</v>
      </c>
      <c r="FR11" s="12">
        <f>COUNTIF(FR13:FR62,"1")</f>
        <v>5</v>
      </c>
      <c r="FS11" s="12">
        <f>COUNTIF(FS13:FS62,"1")</f>
        <v>0</v>
      </c>
      <c r="FT11" s="12">
        <f>COUNTIF(FT13:FT62,"1")</f>
        <v>0</v>
      </c>
      <c r="FU11" s="12">
        <f>COUNTIF(FU13:FU62,"1")</f>
        <v>5</v>
      </c>
      <c r="FV11" s="12">
        <f>COUNTIF(FV13:FV62,"1")</f>
        <v>8</v>
      </c>
      <c r="FW11" s="12">
        <f>COUNTIF(FW13:FW62,"1")</f>
        <v>5</v>
      </c>
      <c r="FX11" s="12">
        <f>COUNTIF(FX13:FX62,"1")</f>
        <v>11</v>
      </c>
      <c r="FY11" s="12">
        <f>COUNTIF(FY13:FY62,"1")</f>
        <v>5</v>
      </c>
      <c r="FZ11" s="12">
        <f>COUNTIF(FZ13:FZ62,"1")</f>
        <v>0</v>
      </c>
      <c r="GA11" s="12">
        <f>COUNTIF(GA13:GA62,"1")</f>
        <v>0</v>
      </c>
      <c r="GB11" s="12">
        <f>COUNTIF(GB13:GB62,"1")</f>
        <v>5</v>
      </c>
      <c r="GC11" s="12">
        <f>COUNTIF(GC13:GC62,"1")</f>
        <v>10</v>
      </c>
      <c r="GD11" s="12">
        <f>COUNTIF(GD13:GD62,"1")</f>
        <v>6</v>
      </c>
      <c r="GE11" s="12">
        <f>COUNTIF(GE13:GE62,"1")</f>
        <v>12</v>
      </c>
      <c r="GF11" s="12">
        <f>COUNTIF(GF13:GF62,"1")</f>
        <v>5</v>
      </c>
      <c r="GG11" s="12">
        <f>COUNTIF(GG13:GG62,"1")</f>
        <v>0</v>
      </c>
      <c r="GH11" s="12">
        <f>COUNTIF(GH13:GH62,"1")</f>
        <v>0</v>
      </c>
      <c r="GI11" s="12">
        <f>COUNTIF(GI13:GI62,"1")</f>
        <v>5</v>
      </c>
      <c r="GJ11" s="12">
        <f>COUNTIF(GJ13:GJ62,"1")</f>
        <v>8</v>
      </c>
      <c r="GK11" s="12">
        <f>COUNTIF(GK13:GK62,"1")</f>
        <v>5</v>
      </c>
      <c r="GL11" s="12">
        <f>COUNTIF(GL13:GL62,"1")</f>
        <v>11</v>
      </c>
      <c r="GM11" s="12">
        <f>COUNTIF(GM13:GM62,"1")</f>
        <v>5</v>
      </c>
      <c r="GN11" s="12">
        <f>COUNTIF(GN13:GN62,"1")</f>
        <v>0</v>
      </c>
      <c r="GO11" s="12">
        <f>COUNTIF(GO13:GO62,"1")</f>
        <v>0</v>
      </c>
      <c r="GP11" s="12">
        <f>COUNTIF(GP13:GP62,"1")</f>
        <v>5</v>
      </c>
      <c r="GQ11" s="12">
        <f>COUNTIF(GQ13:GQ62,"1")</f>
        <v>8</v>
      </c>
      <c r="GR11" s="12">
        <f>COUNTIF(GR13:GR62,"1")</f>
        <v>5</v>
      </c>
      <c r="GS11" s="12">
        <f>COUNTIF(GS13:GS62,"1")</f>
        <v>11</v>
      </c>
      <c r="GT11" s="12">
        <f>COUNTIF(GT13:GT62,"1")</f>
        <v>5</v>
      </c>
      <c r="GU11" s="12">
        <f>COUNTIF(GU13:GU62,"1")</f>
        <v>0</v>
      </c>
      <c r="GV11" s="12">
        <f>COUNTIF(GV13:GV62,"1")</f>
        <v>0</v>
      </c>
      <c r="GW11" s="12">
        <f>COUNTIF(GW13:GW62,"1")</f>
        <v>5</v>
      </c>
      <c r="GX11" s="12">
        <f>COUNTIF(GX13:GX62,"1")</f>
        <v>8</v>
      </c>
      <c r="GY11" s="12">
        <f>COUNTIF(GY13:GY62,"1")</f>
        <v>5</v>
      </c>
      <c r="GZ11" s="12">
        <f>COUNTIF(GZ13:GZ62,"1")</f>
        <v>11</v>
      </c>
      <c r="HA11" s="12">
        <f>COUNTIF(HA13:HA62,"1")</f>
        <v>5</v>
      </c>
      <c r="HB11" s="12">
        <f>COUNTIF(HB13:HB62,"1")</f>
        <v>0</v>
      </c>
      <c r="HC11" s="12">
        <f>COUNTIF(HC13:HC62,"1")</f>
        <v>0</v>
      </c>
      <c r="HD11" s="12">
        <f>COUNTIF(HD13:HD62,"1")</f>
        <v>5</v>
      </c>
      <c r="HE11" s="12">
        <f>COUNTIF(HE13:HE62,"1")</f>
        <v>8</v>
      </c>
      <c r="HF11" s="12">
        <f>COUNTIF(HF13:HF62,"1")</f>
        <v>5</v>
      </c>
      <c r="HG11" s="12">
        <f>COUNTIF(HG13:HG62,"1")</f>
        <v>11</v>
      </c>
      <c r="HH11" s="12">
        <f>COUNTIF(HH13:HH62,"1")</f>
        <v>5</v>
      </c>
      <c r="HI11" s="12">
        <f>COUNTIF(HI13:HI62,"1")</f>
        <v>0</v>
      </c>
      <c r="HJ11" s="12">
        <f>COUNTIF(HJ13:HJ62,"1")</f>
        <v>0</v>
      </c>
      <c r="HK11" s="12">
        <f>COUNTIF(HK13:HK62,"1")</f>
        <v>5</v>
      </c>
      <c r="HL11" s="12">
        <f>COUNTIF(HL13:HL62,"1")</f>
        <v>10</v>
      </c>
      <c r="HM11" s="12">
        <f>COUNTIF(HM13:HM62,"1")</f>
        <v>6</v>
      </c>
      <c r="HN11" s="12">
        <f>COUNTIF(HN13:HN62,"1")</f>
        <v>12</v>
      </c>
      <c r="HO11" s="12">
        <f>COUNTIF(HO13:HO62,"1")</f>
        <v>5</v>
      </c>
      <c r="HP11" s="12">
        <f>COUNTIF(HP13:HP62,"1")</f>
        <v>0</v>
      </c>
      <c r="HQ11" s="12">
        <f>COUNTIF(HQ13:HQ62,"1")</f>
        <v>0</v>
      </c>
      <c r="HR11" s="12">
        <f>COUNTIF(HR13:HR62,"1")</f>
        <v>5</v>
      </c>
      <c r="HS11" s="12">
        <f>COUNTIF(HS13:HS62,"1")</f>
        <v>8</v>
      </c>
      <c r="HT11" s="12">
        <f>COUNTIF(HT13:HT62,"1")</f>
        <v>5</v>
      </c>
      <c r="HU11" s="12">
        <f>COUNTIF(HU13:HU62,"1")</f>
        <v>11</v>
      </c>
      <c r="HV11" s="12">
        <f>COUNTIF(HV13:HV62,"1")</f>
        <v>5</v>
      </c>
      <c r="HW11" s="12">
        <f>COUNTIF(HW13:HW62,"1")</f>
        <v>0</v>
      </c>
      <c r="HX11" s="12">
        <f>COUNTIF(HX13:HX62,"1")</f>
        <v>0</v>
      </c>
      <c r="HY11" s="12">
        <f>COUNTIF(HY13:HY62,"1")</f>
        <v>5</v>
      </c>
      <c r="HZ11" s="12">
        <f>COUNTIF(HZ13:HZ62,"1")</f>
        <v>8</v>
      </c>
      <c r="IA11" s="12">
        <f>COUNTIF(IA13:IA62,"1")</f>
        <v>5</v>
      </c>
      <c r="IB11" s="12">
        <f>COUNTIF(IB13:IB62,"1")</f>
        <v>11</v>
      </c>
      <c r="IC11" s="12">
        <f>COUNTIF(IC13:IC62,"1")</f>
        <v>5</v>
      </c>
      <c r="ID11" s="12">
        <f>COUNTIF(ID13:ID62,"1")</f>
        <v>0</v>
      </c>
      <c r="IE11" s="12">
        <f>COUNTIF(IE13:IE62,"1")</f>
        <v>0</v>
      </c>
      <c r="IF11" s="12">
        <f>COUNTIF(IF13:IF62,"1")</f>
        <v>5</v>
      </c>
      <c r="IG11" s="12">
        <f>COUNTIF(IG13:IG62,"1")</f>
        <v>8</v>
      </c>
      <c r="IH11" s="12">
        <f>COUNTIF(IH13:IH62,"1")</f>
        <v>5</v>
      </c>
      <c r="II11" s="12">
        <f>COUNTIF(II13:II62,"1")</f>
        <v>11</v>
      </c>
      <c r="IJ11" s="12">
        <f>COUNTIF(IJ13:IJ62,"1")</f>
        <v>5</v>
      </c>
      <c r="IK11" s="12">
        <f>COUNTIF(IK13:IK62,"1")</f>
        <v>0</v>
      </c>
      <c r="IL11" s="12">
        <f>COUNTIF(IL13:IL62,"1")</f>
        <v>0</v>
      </c>
      <c r="IM11" s="12">
        <f>COUNTIF(IM13:IM62,"1")</f>
        <v>5</v>
      </c>
      <c r="IN11" s="12">
        <f>COUNTIF(IN13:IN62,"1")</f>
        <v>8</v>
      </c>
      <c r="IO11" s="12">
        <f>COUNTIF(IO13:IO62,"1")</f>
        <v>5</v>
      </c>
      <c r="IP11" s="12">
        <f>COUNTIF(IP13:IP62,"1")</f>
        <v>11</v>
      </c>
      <c r="IQ11" s="12">
        <f>COUNTIF(IQ13:IQ62,"1")</f>
        <v>5</v>
      </c>
      <c r="IR11" s="12">
        <f>COUNTIF(IR13:IR62,"1")</f>
        <v>0</v>
      </c>
      <c r="IS11" s="12">
        <f>COUNTIF(IS13:IS62,"1")</f>
        <v>0</v>
      </c>
      <c r="IT11" s="12">
        <f>COUNTIF(IT13:IT62,"1")</f>
        <v>5</v>
      </c>
      <c r="IU11" s="12">
        <f>COUNTIF(IU13:IU62,"1")</f>
        <v>10</v>
      </c>
      <c r="IV11" s="12">
        <f>COUNTIF(IV13:IV62,"1")</f>
        <v>6</v>
      </c>
      <c r="IW11" s="12">
        <f>COUNTIF(IW13:IW62,"1")</f>
        <v>12</v>
      </c>
      <c r="IX11" s="12">
        <f>COUNTIF(IX13:IX62,"1")</f>
        <v>5</v>
      </c>
      <c r="IY11" s="12">
        <f>COUNTIF(IY13:IY62,"1")</f>
        <v>0</v>
      </c>
      <c r="IZ11" s="12">
        <f>COUNTIF(IZ13:IZ62,"1")</f>
        <v>0</v>
      </c>
      <c r="JA11" s="12">
        <f>COUNTIF(JA13:JA62,"1")</f>
        <v>5</v>
      </c>
      <c r="JB11" s="12">
        <f>COUNTIF(JB13:JB62,"1")</f>
        <v>8</v>
      </c>
      <c r="JC11" s="12">
        <f>COUNTIF(JC13:JC62,"1")</f>
        <v>5</v>
      </c>
      <c r="JD11" s="12">
        <f>COUNTIF(JD13:JD62,"1")</f>
        <v>11</v>
      </c>
      <c r="JE11" s="12">
        <f>COUNTIF(JE13:JE62,"1")</f>
        <v>5</v>
      </c>
      <c r="JF11" s="12">
        <f>COUNTIF(JF13:JF62,"1")</f>
        <v>0</v>
      </c>
      <c r="JG11" s="12">
        <f>COUNTIF(JG13:JG62,"1")</f>
        <v>0</v>
      </c>
      <c r="JH11" s="12">
        <f>COUNTIF(JH13:JH62,"1")</f>
        <v>5</v>
      </c>
      <c r="JI11" s="12">
        <f>COUNTIF(JI13:JI62,"1")</f>
        <v>8</v>
      </c>
      <c r="JJ11" s="12">
        <f>COUNTIF(JJ13:JJ62,"1")</f>
        <v>5</v>
      </c>
      <c r="JK11" s="12">
        <f>COUNTIF(JK13:JK62,"1")</f>
        <v>11</v>
      </c>
      <c r="JL11" s="12">
        <f>COUNTIF(JL13:JL62,"1")</f>
        <v>5</v>
      </c>
      <c r="JM11" s="12">
        <f>COUNTIF(JM13:JM62,"1")</f>
        <v>0</v>
      </c>
      <c r="JN11" s="12">
        <f>COUNTIF(JN13:JN62,"1")</f>
        <v>0</v>
      </c>
      <c r="JO11" s="12">
        <f>COUNTIF(JO13:JO62,"1")</f>
        <v>5</v>
      </c>
      <c r="JP11" s="12">
        <f>COUNTIF(JP13:JP62,"1")</f>
        <v>8</v>
      </c>
      <c r="JQ11" s="12">
        <f>COUNTIF(JQ13:JQ62,"1")</f>
        <v>5</v>
      </c>
      <c r="JR11" s="12">
        <f>COUNTIF(JR13:JR62,"1")</f>
        <v>11</v>
      </c>
      <c r="JS11" s="12">
        <f>COUNTIF(JS13:JS62,"1")</f>
        <v>5</v>
      </c>
      <c r="JT11" s="12">
        <f>COUNTIF(JT13:JT62,"1")</f>
        <v>0</v>
      </c>
      <c r="JU11" s="12">
        <f>COUNTIF(JU13:JU62,"1")</f>
        <v>0</v>
      </c>
      <c r="JV11" s="12">
        <f>COUNTIF(JV13:JV62,"1")</f>
        <v>5</v>
      </c>
      <c r="JW11" s="12">
        <f>COUNTIF(JW13:JW62,"1")</f>
        <v>8</v>
      </c>
      <c r="JX11" s="12">
        <f>COUNTIF(JX13:JX62,"1")</f>
        <v>5</v>
      </c>
      <c r="JY11" s="12">
        <f>COUNTIF(JY13:JY62,"1")</f>
        <v>11</v>
      </c>
      <c r="JZ11" s="12">
        <f>COUNTIF(JZ13:JZ62,"1")</f>
        <v>5</v>
      </c>
      <c r="KA11" s="12">
        <f>COUNTIF(KA13:KA62,"1")</f>
        <v>0</v>
      </c>
      <c r="KB11" s="12">
        <f>COUNTIF(KB13:KB62,"1")</f>
        <v>0</v>
      </c>
      <c r="KC11" s="12">
        <f>COUNTIF(KC13:KC62,"1")</f>
        <v>5</v>
      </c>
      <c r="KD11" s="12">
        <f>COUNTIF(KD13:KD62,"1")</f>
        <v>10</v>
      </c>
      <c r="KE11" s="12">
        <f>COUNTIF(KE13:KE62,"1")</f>
        <v>6</v>
      </c>
      <c r="KF11" s="12">
        <f>COUNTIF(KF13:KF62,"1")</f>
        <v>12</v>
      </c>
      <c r="KG11" s="12">
        <f>COUNTIF(KG13:KG62,"1")</f>
        <v>5</v>
      </c>
      <c r="KH11" s="12">
        <f>COUNTIF(KH13:KH62,"1")</f>
        <v>0</v>
      </c>
      <c r="KI11" s="12">
        <f>COUNTIF(KI13:KI62,"1")</f>
        <v>0</v>
      </c>
      <c r="KJ11" s="12">
        <f>COUNTIF(KJ13:KJ62,"1")</f>
        <v>5</v>
      </c>
      <c r="KK11" s="12">
        <f>COUNTIF(KK13:KK62,"1")</f>
        <v>8</v>
      </c>
      <c r="KL11" s="12">
        <f>COUNTIF(KL13:KL62,"1")</f>
        <v>5</v>
      </c>
      <c r="KM11" s="12">
        <f>COUNTIF(KM13:KM62,"1")</f>
        <v>11</v>
      </c>
      <c r="KN11" s="12">
        <f>COUNTIF(KN13:KN62,"1")</f>
        <v>5</v>
      </c>
      <c r="KO11" s="12">
        <f>COUNTIF(KO13:KO62,"1")</f>
        <v>0</v>
      </c>
      <c r="KP11" s="12">
        <f>COUNTIF(KP13:KP62,"1")</f>
        <v>0</v>
      </c>
      <c r="KQ11" s="12">
        <f>COUNTIF(KQ13:KQ62,"1")</f>
        <v>5</v>
      </c>
      <c r="KR11" s="12">
        <f>COUNTIF(KR13:KR62,"1")</f>
        <v>8</v>
      </c>
      <c r="KS11" s="12">
        <f>COUNTIF(KS13:KS62,"1")</f>
        <v>5</v>
      </c>
      <c r="KT11" s="12">
        <f>COUNTIF(KT13:KT62,"1")</f>
        <v>11</v>
      </c>
      <c r="KU11" s="12">
        <f>COUNTIF(KU13:KU62,"1")</f>
        <v>5</v>
      </c>
      <c r="KV11" s="12">
        <f>COUNTIF(KV13:KV62,"1")</f>
        <v>0</v>
      </c>
      <c r="KW11" s="12">
        <f>COUNTIF(KW13:KW62,"1")</f>
        <v>0</v>
      </c>
      <c r="KX11" s="12">
        <f>COUNTIF(KX13:KX62,"1")</f>
        <v>5</v>
      </c>
      <c r="KY11" s="12">
        <f>COUNTIF(KY13:KY62,"1")</f>
        <v>8</v>
      </c>
      <c r="KZ11" s="12">
        <f>COUNTIF(KZ13:KZ62,"1")</f>
        <v>5</v>
      </c>
      <c r="LA11" s="12">
        <f>COUNTIF(LA13:LA62,"1")</f>
        <v>11</v>
      </c>
      <c r="LB11" s="12">
        <f>COUNTIF(LB13:LB62,"1")</f>
        <v>5</v>
      </c>
      <c r="LC11" s="12">
        <f>COUNTIF(LC13:LC62,"1")</f>
        <v>0</v>
      </c>
      <c r="LD11" s="12">
        <f>COUNTIF(LD13:LD62,"1")</f>
        <v>0</v>
      </c>
      <c r="LE11" s="12">
        <f>COUNTIF(LE13:LE62,"1")</f>
        <v>5</v>
      </c>
      <c r="LF11" s="12">
        <f>COUNTIF(LF13:LF62,"1")</f>
        <v>8</v>
      </c>
      <c r="LG11" s="12">
        <f>COUNTIF(LG13:LG62,"1")</f>
        <v>5</v>
      </c>
      <c r="LH11" s="12">
        <f>COUNTIF(LH13:LH62,"1")</f>
        <v>11</v>
      </c>
      <c r="LI11" s="12">
        <f>COUNTIF(LI13:LI62,"1")</f>
        <v>5</v>
      </c>
      <c r="LJ11" s="12">
        <f>COUNTIF(LJ13:LJ62,"1")</f>
        <v>0</v>
      </c>
      <c r="LK11" s="12">
        <f>COUNTIF(LK13:LK62,"1")</f>
        <v>0</v>
      </c>
      <c r="LL11" s="12">
        <f>COUNTIF(LL13:LL62,"1")</f>
        <v>5</v>
      </c>
      <c r="LM11" s="12">
        <f>COUNTIF(LM13:LM62,"1")</f>
        <v>10</v>
      </c>
      <c r="LN11" s="12">
        <f>COUNTIF(LN13:LN62,"1")</f>
        <v>6</v>
      </c>
      <c r="LO11" s="12">
        <f>COUNTIF(LO13:LO62,"1")</f>
        <v>12</v>
      </c>
      <c r="LP11" s="12">
        <f>COUNTIF(LP13:LP62,"1")</f>
        <v>5</v>
      </c>
      <c r="LQ11" s="12">
        <f>COUNTIF(LQ13:LQ62,"1")</f>
        <v>0</v>
      </c>
      <c r="LR11" s="12">
        <f>COUNTIF(LR13:LR62,"1")</f>
        <v>0</v>
      </c>
      <c r="LS11" s="12">
        <f>COUNTIF(LS13:LS62,"1")</f>
        <v>5</v>
      </c>
      <c r="LT11" s="12">
        <f>COUNTIF(LT13:LT62,"1")</f>
        <v>8</v>
      </c>
      <c r="LU11" s="12">
        <f>COUNTIF(LU13:LU62,"1")</f>
        <v>5</v>
      </c>
      <c r="LV11" s="12">
        <f>COUNTIF(LV13:LV62,"1")</f>
        <v>11</v>
      </c>
      <c r="LW11" s="12">
        <f>COUNTIF(LW13:LW62,"1")</f>
        <v>5</v>
      </c>
      <c r="LX11" s="12">
        <f>COUNTIF(LX13:LX62,"1")</f>
        <v>0</v>
      </c>
      <c r="LY11" s="12">
        <f>COUNTIF(LY13:LY62,"1")</f>
        <v>0</v>
      </c>
      <c r="LZ11" s="12">
        <f>COUNTIF(LZ13:LZ62,"1")</f>
        <v>5</v>
      </c>
      <c r="MA11" s="12">
        <f>COUNTIF(MA13:MA62,"1")</f>
        <v>8</v>
      </c>
      <c r="MB11" s="12">
        <f>COUNTIF(MB13:MB62,"1")</f>
        <v>5</v>
      </c>
      <c r="MC11" s="12">
        <f>COUNTIF(MC13:MC62,"1")</f>
        <v>11</v>
      </c>
      <c r="MD11" s="12">
        <f>COUNTIF(MD13:MD62,"1")</f>
        <v>5</v>
      </c>
      <c r="ME11" s="12">
        <f>COUNTIF(ME13:ME62,"1")</f>
        <v>0</v>
      </c>
      <c r="MF11" s="12">
        <f>COUNTIF(MF13:MF62,"1")</f>
        <v>0</v>
      </c>
      <c r="MG11" s="12">
        <f>COUNTIF(MG13:MG62,"1")</f>
        <v>5</v>
      </c>
      <c r="MH11" s="12">
        <f>COUNTIF(MH13:MH62,"1")</f>
        <v>8</v>
      </c>
      <c r="MI11" s="12">
        <f>COUNTIF(MI13:MI62,"1")</f>
        <v>5</v>
      </c>
      <c r="MJ11" s="12">
        <f>COUNTIF(MJ13:MJ62,"1")</f>
        <v>11</v>
      </c>
      <c r="MK11" s="12">
        <f>COUNTIF(MK13:MK62,"1")</f>
        <v>5</v>
      </c>
      <c r="ML11" s="12">
        <f>COUNTIF(ML13:ML62,"1")</f>
        <v>0</v>
      </c>
      <c r="MM11" s="12">
        <f>COUNTIF(MM13:MM62,"1")</f>
        <v>0</v>
      </c>
      <c r="MN11" s="12">
        <f>COUNTIF(MN13:MN62,"1")</f>
        <v>5</v>
      </c>
      <c r="MO11" s="12">
        <f>COUNTIF(MO13:MO62,"1")</f>
        <v>8</v>
      </c>
      <c r="MP11" s="12">
        <f>COUNTIF(MP13:MP62,"1")</f>
        <v>5</v>
      </c>
      <c r="MQ11" s="12">
        <f>COUNTIF(MQ13:MQ62,"1")</f>
        <v>11</v>
      </c>
      <c r="MR11" s="12">
        <f>COUNTIF(MR13:MR62,"1")</f>
        <v>5</v>
      </c>
      <c r="MS11" s="12">
        <f>COUNTIF(MS13:MS62,"1")</f>
        <v>0</v>
      </c>
      <c r="MT11" s="12">
        <f>COUNTIF(MT13:MT62,"1")</f>
        <v>0</v>
      </c>
      <c r="MU11" s="12">
        <f>COUNTIF(MU13:MU62,"1")</f>
        <v>5</v>
      </c>
      <c r="MV11" s="12">
        <f>COUNTIF(MV13:MV62,"1")</f>
        <v>10</v>
      </c>
      <c r="MW11" s="12">
        <f>COUNTIF(MW13:MW62,"1")</f>
        <v>6</v>
      </c>
      <c r="MX11" s="12">
        <f>COUNTIF(MX13:MX62,"1")</f>
        <v>12</v>
      </c>
      <c r="MY11" s="12">
        <f>COUNTIF(MY13:MY62,"1")</f>
        <v>5</v>
      </c>
      <c r="MZ11" s="12">
        <f>COUNTIF(MZ13:MZ62,"1")</f>
        <v>0</v>
      </c>
      <c r="NA11" s="12">
        <f>COUNTIF(NA13:NA62,"1")</f>
        <v>0</v>
      </c>
      <c r="NB11" s="12">
        <f>COUNTIF(NB13:NB62,"1")</f>
        <v>5</v>
      </c>
      <c r="NC11" s="12">
        <f>COUNTIF(NC13:NC62,"1")</f>
        <v>8</v>
      </c>
      <c r="ND11" s="12">
        <f>COUNTIF(ND13:ND62,"1")</f>
        <v>5</v>
      </c>
      <c r="NE11" s="12">
        <f>COUNTIF(NE13:NE62,"1")</f>
        <v>11</v>
      </c>
      <c r="NF11" s="12">
        <f>COUNTIF(NF13:NF62,"1")</f>
        <v>5</v>
      </c>
      <c r="NG11" s="12">
        <f>COUNTIF(NG13:NG62,"1")</f>
        <v>0</v>
      </c>
      <c r="NH11" s="12">
        <f>COUNTIF(NH13:NH62,"1")</f>
        <v>0</v>
      </c>
      <c r="NI11" s="12">
        <f>COUNTIF(NI13:NI62,"1")</f>
        <v>5</v>
      </c>
      <c r="NJ11" s="12">
        <f>COUNTIF(NJ13:NJ62,"1")</f>
        <v>8</v>
      </c>
      <c r="NK11" s="12">
        <f>COUNTIF(NK13:NK62,"1")</f>
        <v>5</v>
      </c>
      <c r="NL11" s="12">
        <f>COUNTIF(NL13:NL62,"1")</f>
        <v>11</v>
      </c>
      <c r="NM11" s="12">
        <f>COUNTIF(NM13:NM62,"1")</f>
        <v>5</v>
      </c>
      <c r="NN11" s="12">
        <f>COUNTIF(NN13:NN62,"1")</f>
        <v>0</v>
      </c>
      <c r="NO11" s="12">
        <f>COUNTIF(NO13:NO62,"1")</f>
        <v>0</v>
      </c>
      <c r="NP11" s="12">
        <f>COUNTIF(NP13:NP62,"1")</f>
        <v>5</v>
      </c>
      <c r="NQ11" s="12">
        <f>COUNTIF(NQ13:NQ62,"1")</f>
        <v>8</v>
      </c>
      <c r="NR11" s="12">
        <f>COUNTIF(NR13:NR62,"1")</f>
        <v>5</v>
      </c>
      <c r="NS11" s="12">
        <f>COUNTIF(NS13:NS62,"1")</f>
        <v>11</v>
      </c>
      <c r="NT11" s="16">
        <f>SUM(F11:NS11)</f>
        <v>1845</v>
      </c>
      <c r="NU11" s="112">
        <f>NT12/NT11</f>
        <v>8.943089430894309E-2</v>
      </c>
      <c r="NV11" s="22">
        <f>SUMIF(NV13:NV62,1,NW13:NW62)</f>
        <v>20</v>
      </c>
      <c r="NW11" s="22">
        <f>SUMIF(NV13:NV62,1,NW13:NW62)</f>
        <v>20</v>
      </c>
      <c r="NX11" s="16">
        <f>SUM(F11:AU11)</f>
        <v>172</v>
      </c>
      <c r="NY11" s="84">
        <f>NX12/NX11</f>
        <v>0.95930232558139539</v>
      </c>
      <c r="NZ11" s="22">
        <f>SUMIF(NZ13:NZ62,1,OA13:OA62)</f>
        <v>17</v>
      </c>
      <c r="OA11" s="22">
        <f>SUMIF(NZ13:NZ62,1,OA13:OA62)</f>
        <v>17</v>
      </c>
      <c r="OB11" s="16">
        <f>SUM(AV11:CK11)</f>
        <v>213</v>
      </c>
      <c r="OC11" s="92">
        <f>OB12/OB11</f>
        <v>0</v>
      </c>
      <c r="OD11" s="22">
        <f>SUMIF(OD13:OD62,1,OE13:OE62)</f>
        <v>15</v>
      </c>
      <c r="OE11" s="22">
        <f>SUMIF(OD13:OD62,1,OE13:OE62)</f>
        <v>15</v>
      </c>
      <c r="OF11" s="16">
        <f>SUM(CL11:EA11)</f>
        <v>208</v>
      </c>
      <c r="OG11" s="84">
        <f>OF12/OF11</f>
        <v>0</v>
      </c>
      <c r="OH11" s="22">
        <f>SUMIF(OH13:OH62,1,OI13:OI62)</f>
        <v>15</v>
      </c>
      <c r="OI11" s="22">
        <f>SUMIF(OH13:OH62,1,OI13:OI62)</f>
        <v>15</v>
      </c>
      <c r="OJ11" s="16">
        <f>SUM(EB11:FQ11)</f>
        <v>208</v>
      </c>
      <c r="OK11" s="100">
        <f>OJ12/OJ11</f>
        <v>0</v>
      </c>
      <c r="OL11" s="22">
        <f>SUMIF(OL13:OL62,1,OM13:OM62)</f>
        <v>15</v>
      </c>
      <c r="OM11" s="22">
        <f>SUMIF(OL13:OL62,1,OM13:OM62)</f>
        <v>15</v>
      </c>
      <c r="ON11" s="16">
        <f>SUM(FR11:HG11)</f>
        <v>208</v>
      </c>
      <c r="OO11" s="100">
        <f>ON12/ON11</f>
        <v>0</v>
      </c>
      <c r="OP11" s="22">
        <f>SUMIF(OP13:OP62,1,OQ13:OQ62)</f>
        <v>15</v>
      </c>
      <c r="OQ11" s="100">
        <f>OP12/OP11</f>
        <v>0</v>
      </c>
      <c r="OR11" s="16">
        <f>SUM(HH11:IW11)</f>
        <v>212</v>
      </c>
      <c r="OS11" s="100">
        <f>OR12/OR11</f>
        <v>0</v>
      </c>
      <c r="OT11" s="22">
        <f>SUMIF(OT13:OT62,1,OU13:OU62)</f>
        <v>15</v>
      </c>
      <c r="OU11" s="77">
        <f>OT12/OT11</f>
        <v>0</v>
      </c>
      <c r="OV11" s="16">
        <f>SUM(IX11:KM11)</f>
        <v>208</v>
      </c>
      <c r="OW11" s="77">
        <f>OV12/OV11</f>
        <v>0</v>
      </c>
      <c r="OX11" s="22">
        <f>SUMIF(OX13:OX62,1,OY13:OY62)</f>
        <v>15</v>
      </c>
      <c r="OY11" s="22">
        <f>SUMIF(OX13:OX62,1,OY13:OY62)</f>
        <v>15</v>
      </c>
      <c r="OZ11" s="16">
        <f>SUM(KN11:MC11)</f>
        <v>208</v>
      </c>
      <c r="PA11" s="100">
        <f>OZ12/OZ11</f>
        <v>0</v>
      </c>
      <c r="PB11" s="22">
        <f>SUMIF(PB13:PB62,1,PC13:PC62)</f>
        <v>15</v>
      </c>
      <c r="PC11" s="22">
        <f>SUMIF(PB13:PB62,1,PC13:PC62)</f>
        <v>15</v>
      </c>
      <c r="PD11" s="16">
        <f>SUM(MD11:NS11)</f>
        <v>208</v>
      </c>
      <c r="PE11" s="100">
        <f>PD12/PD11</f>
        <v>0</v>
      </c>
    </row>
    <row r="12" spans="1:421" ht="15.75" customHeight="1" thickBot="1" x14ac:dyDescent="0.3">
      <c r="A12" s="18"/>
      <c r="B12" s="18"/>
      <c r="C12" s="95"/>
      <c r="D12" s="58"/>
      <c r="E12" s="52" t="s">
        <v>9</v>
      </c>
      <c r="F12" s="13">
        <f>COUNTIF(F13:F62,"X")</f>
        <v>9</v>
      </c>
      <c r="G12" s="13">
        <f>COUNTIF(G13:G62,"X")</f>
        <v>0</v>
      </c>
      <c r="H12" s="13">
        <f>COUNTIF(H13:H62,"X")</f>
        <v>0</v>
      </c>
      <c r="I12" s="13">
        <f>COUNTIF(I13:I62,"X")</f>
        <v>7</v>
      </c>
      <c r="J12" s="13">
        <f>COUNTIF(J13:J62,"X")</f>
        <v>6</v>
      </c>
      <c r="K12" s="13">
        <f>COUNTIF(K13:K62,"X")</f>
        <v>5</v>
      </c>
      <c r="L12" s="13">
        <f>COUNTIF(L13:L62,"X")</f>
        <v>5</v>
      </c>
      <c r="M12" s="13">
        <f>COUNTIF(M13:M62,"X")</f>
        <v>6</v>
      </c>
      <c r="N12" s="13">
        <f>COUNTIF(N13:N62,"X")</f>
        <v>0</v>
      </c>
      <c r="O12" s="13">
        <f>COUNTIF(O13:O62,"X")</f>
        <v>0</v>
      </c>
      <c r="P12" s="70">
        <f>COUNTIF(P13:P62,"X")</f>
        <v>0</v>
      </c>
      <c r="Q12" s="13">
        <f>COUNTIF(Q13:Q62,"X")</f>
        <v>4</v>
      </c>
      <c r="R12" s="13">
        <f>COUNTIF(R13:R62,"X")</f>
        <v>4</v>
      </c>
      <c r="S12" s="13">
        <f>COUNTIF(S13:S62,"X")</f>
        <v>4</v>
      </c>
      <c r="T12" s="13">
        <f>COUNTIF(T13:T62,"X")</f>
        <v>6</v>
      </c>
      <c r="U12" s="13">
        <f>COUNTIF(U13:U62,"X")</f>
        <v>0</v>
      </c>
      <c r="V12" s="13">
        <f>COUNTIF(V13:V62,"X")</f>
        <v>0</v>
      </c>
      <c r="W12" s="70">
        <f>COUNTIF(W13:W62,"X")</f>
        <v>0</v>
      </c>
      <c r="X12" s="13">
        <f>COUNTIF(X13:X62,"X")</f>
        <v>4</v>
      </c>
      <c r="Y12" s="13">
        <f>COUNTIF(Y13:Y62,"X")</f>
        <v>2</v>
      </c>
      <c r="Z12" s="13">
        <f>COUNTIF(Z13:Z62,"X")</f>
        <v>8</v>
      </c>
      <c r="AA12" s="13">
        <f>COUNTIF(AA13:AA62,"X")</f>
        <v>2</v>
      </c>
      <c r="AB12" s="13">
        <f>COUNTIF(AB13:AB62,"X")</f>
        <v>1</v>
      </c>
      <c r="AC12" s="13">
        <f>COUNTIF(AC13:AC62,"X")</f>
        <v>0</v>
      </c>
      <c r="AD12" s="13">
        <f>COUNTIF(AD13:AD62,"X")</f>
        <v>2</v>
      </c>
      <c r="AE12" s="13">
        <f>COUNTIF(AE13:AE62,"X")</f>
        <v>3</v>
      </c>
      <c r="AF12" s="13">
        <f>COUNTIF(AF13:AF62,"X")</f>
        <v>3</v>
      </c>
      <c r="AG12" s="13">
        <f>COUNTIF(AG13:AG62,"X")</f>
        <v>9</v>
      </c>
      <c r="AH12" s="13">
        <f>COUNTIF(AH13:AH62,"X")</f>
        <v>7</v>
      </c>
      <c r="AI12" s="13">
        <f>COUNTIF(AI13:AI62,"X")</f>
        <v>0</v>
      </c>
      <c r="AJ12" s="13">
        <f>COUNTIF(AJ13:AJ62,"X")</f>
        <v>0</v>
      </c>
      <c r="AK12" s="13">
        <f>COUNTIF(AK13:AK62,"X")</f>
        <v>8</v>
      </c>
      <c r="AL12" s="13">
        <f>COUNTIF(AL13:AL62,"X")</f>
        <v>8</v>
      </c>
      <c r="AM12" s="13">
        <f>COUNTIF(AM13:AM62,"X")</f>
        <v>6</v>
      </c>
      <c r="AN12" s="13">
        <f>COUNTIF(AN13:AN62,"X")</f>
        <v>10</v>
      </c>
      <c r="AO12" s="13">
        <f>COUNTIF(AO13:AO62,"X")</f>
        <v>7</v>
      </c>
      <c r="AP12" s="13">
        <f>COUNTIF(AP13:AP62,"X")</f>
        <v>0</v>
      </c>
      <c r="AQ12" s="13">
        <f>COUNTIF(AQ13:AQ62,"X")</f>
        <v>0</v>
      </c>
      <c r="AR12" s="13">
        <f>COUNTIF(AR13:AR62,"X")</f>
        <v>4</v>
      </c>
      <c r="AS12" s="13">
        <f>COUNTIF(AS13:AS62,"X")</f>
        <v>8</v>
      </c>
      <c r="AT12" s="13">
        <f>COUNTIF(AT13:AT62,"X")</f>
        <v>7</v>
      </c>
      <c r="AU12" s="13">
        <f>COUNTIF(AU13:AU62,"X")</f>
        <v>10</v>
      </c>
      <c r="AV12" s="13">
        <f>COUNTIF(AV13:AV62,"X")</f>
        <v>0</v>
      </c>
      <c r="AW12" s="13">
        <f>COUNTIF(AW13:AW62,"X")</f>
        <v>0</v>
      </c>
      <c r="AX12" s="13">
        <f>COUNTIF(AX13:AX62,"X")</f>
        <v>0</v>
      </c>
      <c r="AY12" s="13">
        <f>COUNTIF(AY13:AY62,"X")</f>
        <v>0</v>
      </c>
      <c r="AZ12" s="13">
        <f>COUNTIF(AZ13:AZ62,"X")</f>
        <v>0</v>
      </c>
      <c r="BA12" s="13">
        <f>COUNTIF(BA13:BA62,"X")</f>
        <v>0</v>
      </c>
      <c r="BB12" s="13">
        <f>COUNTIF(BB13:BB62,"X")</f>
        <v>0</v>
      </c>
      <c r="BC12" s="13">
        <f>COUNTIF(BC13:BC62,"X")</f>
        <v>0</v>
      </c>
      <c r="BD12" s="13">
        <f>COUNTIF(BD13:BD62,"X")</f>
        <v>0</v>
      </c>
      <c r="BE12" s="13">
        <f>COUNTIF(BE13:BE62,"X")</f>
        <v>0</v>
      </c>
      <c r="BF12" s="13">
        <f>COUNTIF(BF13:BF62,"X")</f>
        <v>0</v>
      </c>
      <c r="BG12" s="13">
        <f>COUNTIF(BG13:BG62,"X")</f>
        <v>0</v>
      </c>
      <c r="BH12" s="13">
        <f>COUNTIF(BH13:BH62,"X")</f>
        <v>0</v>
      </c>
      <c r="BI12" s="13">
        <f>COUNTIF(BI13:BI62,"X")</f>
        <v>0</v>
      </c>
      <c r="BJ12" s="13">
        <f>COUNTIF(BJ13:BJ62,"X")</f>
        <v>0</v>
      </c>
      <c r="BK12" s="13">
        <f>COUNTIF(BK13:BK62,"X")</f>
        <v>0</v>
      </c>
      <c r="BL12" s="13">
        <f>COUNTIF(BL13:BL62,"X")</f>
        <v>0</v>
      </c>
      <c r="BM12" s="13">
        <f>COUNTIF(BM13:BM62,"X")</f>
        <v>0</v>
      </c>
      <c r="BN12" s="13">
        <f>COUNTIF(BN13:BN62,"X")</f>
        <v>0</v>
      </c>
      <c r="BO12" s="13">
        <f>COUNTIF(BO13:BO62,"X")</f>
        <v>0</v>
      </c>
      <c r="BP12" s="13">
        <f>COUNTIF(BP13:BP62,"X")</f>
        <v>0</v>
      </c>
      <c r="BQ12" s="13">
        <f>COUNTIF(BQ13:BQ62,"X")</f>
        <v>0</v>
      </c>
      <c r="BR12" s="13">
        <f>COUNTIF(BR13:BR62,"X")</f>
        <v>0</v>
      </c>
      <c r="BS12" s="13">
        <f>COUNTIF(BS13:BS62,"X")</f>
        <v>0</v>
      </c>
      <c r="BT12" s="13">
        <f>COUNTIF(BT13:BT62,"X")</f>
        <v>0</v>
      </c>
      <c r="BU12" s="13">
        <f>COUNTIF(BU13:BU62,"X")</f>
        <v>0</v>
      </c>
      <c r="BV12" s="13">
        <f>COUNTIF(BV13:BV62,"X")</f>
        <v>0</v>
      </c>
      <c r="BW12" s="13">
        <f>COUNTIF(BW13:BW62,"X")</f>
        <v>0</v>
      </c>
      <c r="BX12" s="13">
        <f>COUNTIF(BX13:BX62,"X")</f>
        <v>0</v>
      </c>
      <c r="BY12" s="13">
        <f>COUNTIF(BY13:BY62,"X")</f>
        <v>0</v>
      </c>
      <c r="BZ12" s="13">
        <f>COUNTIF(BZ13:BZ62,"X")</f>
        <v>0</v>
      </c>
      <c r="CA12" s="13">
        <f>COUNTIF(CA13:CA62,"X")</f>
        <v>0</v>
      </c>
      <c r="CB12" s="13">
        <f>COUNTIF(CB13:CB62,"X")</f>
        <v>0</v>
      </c>
      <c r="CC12" s="13">
        <f>COUNTIF(CC13:CC62,"X")</f>
        <v>0</v>
      </c>
      <c r="CD12" s="13">
        <f>COUNTIF(CD13:CD62,"X")</f>
        <v>0</v>
      </c>
      <c r="CE12" s="13">
        <f>COUNTIF(CE13:CE62,"X")</f>
        <v>0</v>
      </c>
      <c r="CF12" s="13">
        <f>COUNTIF(CF13:CF62,"X")</f>
        <v>0</v>
      </c>
      <c r="CG12" s="13">
        <f>COUNTIF(CG13:CG62,"X")</f>
        <v>0</v>
      </c>
      <c r="CH12" s="13">
        <f>COUNTIF(CH13:CH62,"X")</f>
        <v>0</v>
      </c>
      <c r="CI12" s="13">
        <f>COUNTIF(CI13:CI62,"X")</f>
        <v>0</v>
      </c>
      <c r="CJ12" s="13">
        <f>COUNTIF(CJ13:CJ62,"X")</f>
        <v>0</v>
      </c>
      <c r="CK12" s="13">
        <f>COUNTIF(CK13:CK62,"X")</f>
        <v>0</v>
      </c>
      <c r="CL12" s="13">
        <f>COUNTIF(CL13:CL62,"X")</f>
        <v>0</v>
      </c>
      <c r="CM12" s="13">
        <f>COUNTIF(CM13:CM62,"X")</f>
        <v>0</v>
      </c>
      <c r="CN12" s="13">
        <f>COUNTIF(CN13:CN62,"X")</f>
        <v>0</v>
      </c>
      <c r="CO12" s="13">
        <f>COUNTIF(CO13:CO62,"X")</f>
        <v>0</v>
      </c>
      <c r="CP12" s="13">
        <f>COUNTIF(CP13:CP62,"X")</f>
        <v>0</v>
      </c>
      <c r="CQ12" s="13">
        <f>COUNTIF(CQ13:CQ62,"X")</f>
        <v>0</v>
      </c>
      <c r="CR12" s="13">
        <f>COUNTIF(CR13:CR62,"X")</f>
        <v>0</v>
      </c>
      <c r="CS12" s="13">
        <f>COUNTIF(CS13:CS62,"X")</f>
        <v>0</v>
      </c>
      <c r="CT12" s="13">
        <f>COUNTIF(CT13:CT62,"X")</f>
        <v>0</v>
      </c>
      <c r="CU12" s="13">
        <f>COUNTIF(CU13:CU62,"X")</f>
        <v>0</v>
      </c>
      <c r="CV12" s="13">
        <f>COUNTIF(CV13:CV62,"X")</f>
        <v>0</v>
      </c>
      <c r="CW12" s="13">
        <f>COUNTIF(CW13:CW62,"X")</f>
        <v>0</v>
      </c>
      <c r="CX12" s="13">
        <f>COUNTIF(CX13:CX62,"X")</f>
        <v>0</v>
      </c>
      <c r="CY12" s="13">
        <f>COUNTIF(CY13:CY62,"X")</f>
        <v>0</v>
      </c>
      <c r="CZ12" s="13">
        <f>COUNTIF(CZ13:CZ62,"X")</f>
        <v>0</v>
      </c>
      <c r="DA12" s="13">
        <f>COUNTIF(DA13:DA62,"X")</f>
        <v>0</v>
      </c>
      <c r="DB12" s="13">
        <f>COUNTIF(DB13:DB62,"X")</f>
        <v>0</v>
      </c>
      <c r="DC12" s="13">
        <f>COUNTIF(DC13:DC62,"X")</f>
        <v>0</v>
      </c>
      <c r="DD12" s="13">
        <f>COUNTIF(DD13:DD62,"X")</f>
        <v>0</v>
      </c>
      <c r="DE12" s="13">
        <f>COUNTIF(DE13:DE62,"X")</f>
        <v>0</v>
      </c>
      <c r="DF12" s="13">
        <f>COUNTIF(DF13:DF62,"X")</f>
        <v>0</v>
      </c>
      <c r="DG12" s="13">
        <f>COUNTIF(DG13:DG62,"X")</f>
        <v>0</v>
      </c>
      <c r="DH12" s="13">
        <f>COUNTIF(DH13:DH62,"X")</f>
        <v>0</v>
      </c>
      <c r="DI12" s="13">
        <f>COUNTIF(DI13:DI62,"X")</f>
        <v>0</v>
      </c>
      <c r="DJ12" s="13">
        <f>COUNTIF(DJ13:DJ62,"X")</f>
        <v>0</v>
      </c>
      <c r="DK12" s="13">
        <f>COUNTIF(DK13:DK62,"X")</f>
        <v>0</v>
      </c>
      <c r="DL12" s="13">
        <f>COUNTIF(DL13:DL62,"X")</f>
        <v>0</v>
      </c>
      <c r="DM12" s="13">
        <f>COUNTIF(DM13:DM62,"X")</f>
        <v>0</v>
      </c>
      <c r="DN12" s="13">
        <f>COUNTIF(DN13:DN62,"X")</f>
        <v>0</v>
      </c>
      <c r="DO12" s="13">
        <f>COUNTIF(DO13:DO62,"X")</f>
        <v>0</v>
      </c>
      <c r="DP12" s="13">
        <f>COUNTIF(DP13:DP62,"X")</f>
        <v>0</v>
      </c>
      <c r="DQ12" s="13">
        <f>COUNTIF(DQ13:DQ62,"X")</f>
        <v>0</v>
      </c>
      <c r="DR12" s="13">
        <f>COUNTIF(DR13:DR62,"X")</f>
        <v>0</v>
      </c>
      <c r="DS12" s="13">
        <f>COUNTIF(DS13:DS62,"X")</f>
        <v>0</v>
      </c>
      <c r="DT12" s="13">
        <f>COUNTIF(DT13:DT62,"X")</f>
        <v>0</v>
      </c>
      <c r="DU12" s="13">
        <f>COUNTIF(DU13:DU62,"X")</f>
        <v>0</v>
      </c>
      <c r="DV12" s="13">
        <f>COUNTIF(DV13:DV62,"X")</f>
        <v>0</v>
      </c>
      <c r="DW12" s="13">
        <f>COUNTIF(DW13:DW62,"X")</f>
        <v>0</v>
      </c>
      <c r="DX12" s="13">
        <f>COUNTIF(DX13:DX62,"X")</f>
        <v>0</v>
      </c>
      <c r="DY12" s="13">
        <f>COUNTIF(DY13:DY62,"X")</f>
        <v>0</v>
      </c>
      <c r="DZ12" s="13">
        <f>COUNTIF(DZ13:DZ62,"X")</f>
        <v>0</v>
      </c>
      <c r="EA12" s="13">
        <f>COUNTIF(EA13:EA62,"X")</f>
        <v>0</v>
      </c>
      <c r="EB12" s="13">
        <f>COUNTIF(EB13:EB62,"X")</f>
        <v>0</v>
      </c>
      <c r="EC12" s="13">
        <f>COUNTIF(EC13:EC62,"X")</f>
        <v>0</v>
      </c>
      <c r="ED12" s="13">
        <f>COUNTIF(ED13:ED62,"X")</f>
        <v>0</v>
      </c>
      <c r="EE12" s="13">
        <f>COUNTIF(EE13:EE62,"X")</f>
        <v>0</v>
      </c>
      <c r="EF12" s="13">
        <f>COUNTIF(EF13:EF62,"X")</f>
        <v>0</v>
      </c>
      <c r="EG12" s="13">
        <f>COUNTIF(EG13:EG62,"X")</f>
        <v>0</v>
      </c>
      <c r="EH12" s="13">
        <f>COUNTIF(EH13:EH62,"X")</f>
        <v>0</v>
      </c>
      <c r="EI12" s="13">
        <f>COUNTIF(EI13:EI62,"X")</f>
        <v>0</v>
      </c>
      <c r="EJ12" s="13">
        <f>COUNTIF(EJ13:EJ62,"X")</f>
        <v>0</v>
      </c>
      <c r="EK12" s="13">
        <f>COUNTIF(EK13:EK62,"X")</f>
        <v>0</v>
      </c>
      <c r="EL12" s="13">
        <f>COUNTIF(EL13:EL62,"X")</f>
        <v>0</v>
      </c>
      <c r="EM12" s="13">
        <f>COUNTIF(EM13:EM62,"X")</f>
        <v>0</v>
      </c>
      <c r="EN12" s="13">
        <f>COUNTIF(EN13:EN62,"X")</f>
        <v>0</v>
      </c>
      <c r="EO12" s="13">
        <f>COUNTIF(EO13:EO62,"X")</f>
        <v>0</v>
      </c>
      <c r="EP12" s="13">
        <f>COUNTIF(EP13:EP62,"X")</f>
        <v>0</v>
      </c>
      <c r="EQ12" s="13">
        <f>COUNTIF(EQ13:EQ62,"X")</f>
        <v>0</v>
      </c>
      <c r="ER12" s="13">
        <f>COUNTIF(ER13:ER62,"X")</f>
        <v>0</v>
      </c>
      <c r="ES12" s="13">
        <f>COUNTIF(ES13:ES62,"X")</f>
        <v>0</v>
      </c>
      <c r="ET12" s="13">
        <f>COUNTIF(ET13:ET62,"X")</f>
        <v>0</v>
      </c>
      <c r="EU12" s="13">
        <f>COUNTIF(EU13:EU62,"X")</f>
        <v>0</v>
      </c>
      <c r="EV12" s="13">
        <f>COUNTIF(EV13:EV62,"X")</f>
        <v>0</v>
      </c>
      <c r="EW12" s="13">
        <f>COUNTIF(EW13:EW62,"X")</f>
        <v>0</v>
      </c>
      <c r="EX12" s="13">
        <f>COUNTIF(EX13:EX62,"X")</f>
        <v>0</v>
      </c>
      <c r="EY12" s="13">
        <f>COUNTIF(EY13:EY62,"X")</f>
        <v>0</v>
      </c>
      <c r="EZ12" s="13">
        <f>COUNTIF(EZ13:EZ62,"X")</f>
        <v>0</v>
      </c>
      <c r="FA12" s="13">
        <f>COUNTIF(FA13:FA62,"X")</f>
        <v>0</v>
      </c>
      <c r="FB12" s="13">
        <f>COUNTIF(FB13:FB62,"X")</f>
        <v>0</v>
      </c>
      <c r="FC12" s="13">
        <f>COUNTIF(FC13:FC62,"X")</f>
        <v>0</v>
      </c>
      <c r="FD12" s="13">
        <f>COUNTIF(FD13:FD62,"X")</f>
        <v>0</v>
      </c>
      <c r="FE12" s="13">
        <f>COUNTIF(FE13:FE62,"X")</f>
        <v>0</v>
      </c>
      <c r="FF12" s="13">
        <f>COUNTIF(FF13:FF62,"X")</f>
        <v>0</v>
      </c>
      <c r="FG12" s="13">
        <f>COUNTIF(FG13:FG62,"X")</f>
        <v>0</v>
      </c>
      <c r="FH12" s="13">
        <f>COUNTIF(FH13:FH62,"X")</f>
        <v>0</v>
      </c>
      <c r="FI12" s="13">
        <f>COUNTIF(FI13:FI62,"X")</f>
        <v>0</v>
      </c>
      <c r="FJ12" s="13">
        <f>COUNTIF(FJ13:FJ62,"X")</f>
        <v>0</v>
      </c>
      <c r="FK12" s="13">
        <f>COUNTIF(FK13:FK62,"X")</f>
        <v>0</v>
      </c>
      <c r="FL12" s="13">
        <f>COUNTIF(FL13:FL62,"X")</f>
        <v>0</v>
      </c>
      <c r="FM12" s="13">
        <f>COUNTIF(FM13:FM62,"X")</f>
        <v>0</v>
      </c>
      <c r="FN12" s="13">
        <f>COUNTIF(FN13:FN62,"X")</f>
        <v>0</v>
      </c>
      <c r="FO12" s="13">
        <f>COUNTIF(FO13:FO62,"X")</f>
        <v>0</v>
      </c>
      <c r="FP12" s="13">
        <f>COUNTIF(FP13:FP62,"X")</f>
        <v>0</v>
      </c>
      <c r="FQ12" s="13">
        <f>COUNTIF(FQ13:FQ62,"X")</f>
        <v>0</v>
      </c>
      <c r="FR12" s="13">
        <f>COUNTIF(FR13:FR62,"X")</f>
        <v>0</v>
      </c>
      <c r="FS12" s="13">
        <f>COUNTIF(FS13:FS62,"X")</f>
        <v>0</v>
      </c>
      <c r="FT12" s="13">
        <f>COUNTIF(FT13:FT62,"X")</f>
        <v>0</v>
      </c>
      <c r="FU12" s="13">
        <f>COUNTIF(FU13:FU62,"X")</f>
        <v>0</v>
      </c>
      <c r="FV12" s="13">
        <f>COUNTIF(FV13:FV62,"X")</f>
        <v>0</v>
      </c>
      <c r="FW12" s="13">
        <f>COUNTIF(FW13:FW62,"X")</f>
        <v>0</v>
      </c>
      <c r="FX12" s="13">
        <f>COUNTIF(FX13:FX62,"X")</f>
        <v>0</v>
      </c>
      <c r="FY12" s="13">
        <f>COUNTIF(FY13:FY62,"X")</f>
        <v>0</v>
      </c>
      <c r="FZ12" s="13">
        <f>COUNTIF(FZ13:FZ62,"X")</f>
        <v>0</v>
      </c>
      <c r="GA12" s="13">
        <f>COUNTIF(GA13:GA62,"X")</f>
        <v>0</v>
      </c>
      <c r="GB12" s="13">
        <f>COUNTIF(GB13:GB62,"X")</f>
        <v>0</v>
      </c>
      <c r="GC12" s="13">
        <f>COUNTIF(GC13:GC62,"X")</f>
        <v>0</v>
      </c>
      <c r="GD12" s="13">
        <f>COUNTIF(GD13:GD62,"X")</f>
        <v>0</v>
      </c>
      <c r="GE12" s="13">
        <f>COUNTIF(GE13:GE62,"X")</f>
        <v>0</v>
      </c>
      <c r="GF12" s="13">
        <f>COUNTIF(GF13:GF62,"X")</f>
        <v>0</v>
      </c>
      <c r="GG12" s="13">
        <f>COUNTIF(GG13:GG62,"X")</f>
        <v>0</v>
      </c>
      <c r="GH12" s="13">
        <f>COUNTIF(GH13:GH62,"X")</f>
        <v>0</v>
      </c>
      <c r="GI12" s="13">
        <f>COUNTIF(GI13:GI62,"X")</f>
        <v>0</v>
      </c>
      <c r="GJ12" s="13">
        <f>COUNTIF(GJ13:GJ62,"X")</f>
        <v>0</v>
      </c>
      <c r="GK12" s="13">
        <f>COUNTIF(GK13:GK62,"X")</f>
        <v>0</v>
      </c>
      <c r="GL12" s="13">
        <f>COUNTIF(GL13:GL62,"X")</f>
        <v>0</v>
      </c>
      <c r="GM12" s="13">
        <f>COUNTIF(GM13:GM62,"X")</f>
        <v>0</v>
      </c>
      <c r="GN12" s="13">
        <f>COUNTIF(GN13:GN62,"X")</f>
        <v>0</v>
      </c>
      <c r="GO12" s="13">
        <f>COUNTIF(GO13:GO62,"X")</f>
        <v>0</v>
      </c>
      <c r="GP12" s="13">
        <f>COUNTIF(GP13:GP62,"X")</f>
        <v>0</v>
      </c>
      <c r="GQ12" s="13">
        <f>COUNTIF(GQ13:GQ62,"X")</f>
        <v>0</v>
      </c>
      <c r="GR12" s="13">
        <f>COUNTIF(GR13:GR62,"X")</f>
        <v>0</v>
      </c>
      <c r="GS12" s="13">
        <f>COUNTIF(GS13:GS62,"X")</f>
        <v>0</v>
      </c>
      <c r="GT12" s="13">
        <f>COUNTIF(GT13:GT62,"X")</f>
        <v>0</v>
      </c>
      <c r="GU12" s="13">
        <f>COUNTIF(GU13:GU62,"X")</f>
        <v>0</v>
      </c>
      <c r="GV12" s="13">
        <f>COUNTIF(GV13:GV62,"X")</f>
        <v>0</v>
      </c>
      <c r="GW12" s="13">
        <f>COUNTIF(GW13:GW62,"X")</f>
        <v>0</v>
      </c>
      <c r="GX12" s="13">
        <f>COUNTIF(GX13:GX62,"X")</f>
        <v>0</v>
      </c>
      <c r="GY12" s="13">
        <f>COUNTIF(GY13:GY62,"X")</f>
        <v>0</v>
      </c>
      <c r="GZ12" s="13">
        <f>COUNTIF(GZ13:GZ62,"X")</f>
        <v>0</v>
      </c>
      <c r="HA12" s="13">
        <f>COUNTIF(HA13:HA62,"X")</f>
        <v>0</v>
      </c>
      <c r="HB12" s="13">
        <f>COUNTIF(HB13:HB62,"X")</f>
        <v>0</v>
      </c>
      <c r="HC12" s="13">
        <f>COUNTIF(HC13:HC62,"X")</f>
        <v>0</v>
      </c>
      <c r="HD12" s="13">
        <f>COUNTIF(HD13:HD62,"X")</f>
        <v>0</v>
      </c>
      <c r="HE12" s="13">
        <f>COUNTIF(HE13:HE62,"X")</f>
        <v>0</v>
      </c>
      <c r="HF12" s="13">
        <f>COUNTIF(HF13:HF62,"X")</f>
        <v>0</v>
      </c>
      <c r="HG12" s="13">
        <f>COUNTIF(HG13:HG62,"X")</f>
        <v>0</v>
      </c>
      <c r="HH12" s="13">
        <f>COUNTIF(HH13:HH62,"X")</f>
        <v>0</v>
      </c>
      <c r="HI12" s="13">
        <f>COUNTIF(HI13:HI62,"X")</f>
        <v>0</v>
      </c>
      <c r="HJ12" s="13">
        <f>COUNTIF(HJ13:HJ62,"X")</f>
        <v>0</v>
      </c>
      <c r="HK12" s="13">
        <f>COUNTIF(HK13:HK62,"X")</f>
        <v>0</v>
      </c>
      <c r="HL12" s="13">
        <f>COUNTIF(HL13:HL62,"X")</f>
        <v>0</v>
      </c>
      <c r="HM12" s="13">
        <f>COUNTIF(HM13:HM62,"X")</f>
        <v>0</v>
      </c>
      <c r="HN12" s="13">
        <f>COUNTIF(HN13:HN62,"X")</f>
        <v>0</v>
      </c>
      <c r="HO12" s="13">
        <f>COUNTIF(HO13:HO62,"X")</f>
        <v>0</v>
      </c>
      <c r="HP12" s="13">
        <f>COUNTIF(HP13:HP62,"X")</f>
        <v>0</v>
      </c>
      <c r="HQ12" s="13">
        <f>COUNTIF(HQ13:HQ62,"X")</f>
        <v>0</v>
      </c>
      <c r="HR12" s="13">
        <f>COUNTIF(HR13:HR62,"X")</f>
        <v>0</v>
      </c>
      <c r="HS12" s="13">
        <f>COUNTIF(HS13:HS62,"X")</f>
        <v>0</v>
      </c>
      <c r="HT12" s="13">
        <f>COUNTIF(HT13:HT62,"X")</f>
        <v>0</v>
      </c>
      <c r="HU12" s="13">
        <f>COUNTIF(HU13:HU62,"X")</f>
        <v>0</v>
      </c>
      <c r="HV12" s="13">
        <f>COUNTIF(HV13:HV62,"X")</f>
        <v>0</v>
      </c>
      <c r="HW12" s="13">
        <f>COUNTIF(HW13:HW62,"X")</f>
        <v>0</v>
      </c>
      <c r="HX12" s="13">
        <f>COUNTIF(HX13:HX62,"X")</f>
        <v>0</v>
      </c>
      <c r="HY12" s="13">
        <f>COUNTIF(HY13:HY62,"X")</f>
        <v>0</v>
      </c>
      <c r="HZ12" s="13">
        <f>COUNTIF(HZ13:HZ62,"X")</f>
        <v>0</v>
      </c>
      <c r="IA12" s="13">
        <f>COUNTIF(IA13:IA62,"X")</f>
        <v>0</v>
      </c>
      <c r="IB12" s="13">
        <f>COUNTIF(IB13:IB62,"X")</f>
        <v>0</v>
      </c>
      <c r="IC12" s="13">
        <f>COUNTIF(IC13:IC62,"X")</f>
        <v>0</v>
      </c>
      <c r="ID12" s="13">
        <f>COUNTIF(ID13:ID62,"X")</f>
        <v>0</v>
      </c>
      <c r="IE12" s="13">
        <f>COUNTIF(IE13:IE62,"X")</f>
        <v>0</v>
      </c>
      <c r="IF12" s="13">
        <f>COUNTIF(IF13:IF62,"X")</f>
        <v>0</v>
      </c>
      <c r="IG12" s="13">
        <f>COUNTIF(IG13:IG62,"X")</f>
        <v>0</v>
      </c>
      <c r="IH12" s="13">
        <f>COUNTIF(IH13:IH62,"X")</f>
        <v>0</v>
      </c>
      <c r="II12" s="13">
        <f>COUNTIF(II13:II62,"X")</f>
        <v>0</v>
      </c>
      <c r="IJ12" s="13">
        <f>COUNTIF(IJ13:IJ62,"X")</f>
        <v>0</v>
      </c>
      <c r="IK12" s="13">
        <f>COUNTIF(IK13:IK62,"X")</f>
        <v>0</v>
      </c>
      <c r="IL12" s="13">
        <f>COUNTIF(IL13:IL62,"X")</f>
        <v>0</v>
      </c>
      <c r="IM12" s="13">
        <f>COUNTIF(IM13:IM62,"X")</f>
        <v>0</v>
      </c>
      <c r="IN12" s="13">
        <f>COUNTIF(IN13:IN62,"X")</f>
        <v>0</v>
      </c>
      <c r="IO12" s="13">
        <f>COUNTIF(IO13:IO62,"X")</f>
        <v>0</v>
      </c>
      <c r="IP12" s="13">
        <f>COUNTIF(IP13:IP62,"X")</f>
        <v>0</v>
      </c>
      <c r="IQ12" s="13">
        <f>COUNTIF(IQ13:IQ62,"X")</f>
        <v>0</v>
      </c>
      <c r="IR12" s="13">
        <f>COUNTIF(IR13:IR62,"X")</f>
        <v>0</v>
      </c>
      <c r="IS12" s="13">
        <f>COUNTIF(IS13:IS62,"X")</f>
        <v>0</v>
      </c>
      <c r="IT12" s="13">
        <f>COUNTIF(IT13:IT62,"X")</f>
        <v>0</v>
      </c>
      <c r="IU12" s="13">
        <f>COUNTIF(IU13:IU62,"X")</f>
        <v>0</v>
      </c>
      <c r="IV12" s="13">
        <f>COUNTIF(IV13:IV62,"X")</f>
        <v>0</v>
      </c>
      <c r="IW12" s="13">
        <f>COUNTIF(IW13:IW62,"X")</f>
        <v>0</v>
      </c>
      <c r="IX12" s="13">
        <f>COUNTIF(IX13:IX62,"X")</f>
        <v>0</v>
      </c>
      <c r="IY12" s="13">
        <f>COUNTIF(IY13:IY62,"X")</f>
        <v>0</v>
      </c>
      <c r="IZ12" s="13">
        <f>COUNTIF(IZ13:IZ62,"X")</f>
        <v>0</v>
      </c>
      <c r="JA12" s="13">
        <f>COUNTIF(JA13:JA62,"X")</f>
        <v>0</v>
      </c>
      <c r="JB12" s="13">
        <f>COUNTIF(JB13:JB62,"X")</f>
        <v>0</v>
      </c>
      <c r="JC12" s="13">
        <f>COUNTIF(JC13:JC62,"X")</f>
        <v>0</v>
      </c>
      <c r="JD12" s="13">
        <f>COUNTIF(JD13:JD62,"X")</f>
        <v>0</v>
      </c>
      <c r="JE12" s="13">
        <f>COUNTIF(JE13:JE62,"X")</f>
        <v>0</v>
      </c>
      <c r="JF12" s="13">
        <f>COUNTIF(JF13:JF62,"X")</f>
        <v>0</v>
      </c>
      <c r="JG12" s="13">
        <f>COUNTIF(JG13:JG62,"X")</f>
        <v>0</v>
      </c>
      <c r="JH12" s="13">
        <f>COUNTIF(JH13:JH62,"X")</f>
        <v>0</v>
      </c>
      <c r="JI12" s="13">
        <f>COUNTIF(JI13:JI62,"X")</f>
        <v>0</v>
      </c>
      <c r="JJ12" s="13">
        <f>COUNTIF(JJ13:JJ62,"X")</f>
        <v>0</v>
      </c>
      <c r="JK12" s="13">
        <f>COUNTIF(JK13:JK62,"X")</f>
        <v>0</v>
      </c>
      <c r="JL12" s="13">
        <f>COUNTIF(JL13:JL62,"X")</f>
        <v>0</v>
      </c>
      <c r="JM12" s="13">
        <f>COUNTIF(JM13:JM62,"X")</f>
        <v>0</v>
      </c>
      <c r="JN12" s="13">
        <f>COUNTIF(JN13:JN62,"X")</f>
        <v>0</v>
      </c>
      <c r="JO12" s="13">
        <f>COUNTIF(JO13:JO62,"X")</f>
        <v>0</v>
      </c>
      <c r="JP12" s="13">
        <f>COUNTIF(JP13:JP62,"X")</f>
        <v>0</v>
      </c>
      <c r="JQ12" s="13">
        <f>COUNTIF(JQ13:JQ62,"X")</f>
        <v>0</v>
      </c>
      <c r="JR12" s="13">
        <f>COUNTIF(JR13:JR62,"X")</f>
        <v>0</v>
      </c>
      <c r="JS12" s="13">
        <f>COUNTIF(JS13:JS62,"X")</f>
        <v>0</v>
      </c>
      <c r="JT12" s="13">
        <f>COUNTIF(JT13:JT62,"X")</f>
        <v>0</v>
      </c>
      <c r="JU12" s="13">
        <f>COUNTIF(JU13:JU62,"X")</f>
        <v>0</v>
      </c>
      <c r="JV12" s="13">
        <f>COUNTIF(JV13:JV62,"X")</f>
        <v>0</v>
      </c>
      <c r="JW12" s="13">
        <f>COUNTIF(JW13:JW62,"X")</f>
        <v>0</v>
      </c>
      <c r="JX12" s="13">
        <f>COUNTIF(JX13:JX62,"X")</f>
        <v>0</v>
      </c>
      <c r="JY12" s="13">
        <f>COUNTIF(JY13:JY62,"X")</f>
        <v>0</v>
      </c>
      <c r="JZ12" s="13">
        <f>COUNTIF(JZ13:JZ62,"X")</f>
        <v>0</v>
      </c>
      <c r="KA12" s="13">
        <f>COUNTIF(KA13:KA62,"X")</f>
        <v>0</v>
      </c>
      <c r="KB12" s="13">
        <f>COUNTIF(KB13:KB62,"X")</f>
        <v>0</v>
      </c>
      <c r="KC12" s="13">
        <f>COUNTIF(KC13:KC62,"X")</f>
        <v>0</v>
      </c>
      <c r="KD12" s="13">
        <f>COUNTIF(KD13:KD62,"X")</f>
        <v>0</v>
      </c>
      <c r="KE12" s="13">
        <f>COUNTIF(KE13:KE62,"X")</f>
        <v>0</v>
      </c>
      <c r="KF12" s="13">
        <f>COUNTIF(KF13:KF62,"X")</f>
        <v>0</v>
      </c>
      <c r="KG12" s="13">
        <f>COUNTIF(KG13:KG62,"X")</f>
        <v>0</v>
      </c>
      <c r="KH12" s="13">
        <f>COUNTIF(KH13:KH62,"X")</f>
        <v>0</v>
      </c>
      <c r="KI12" s="13">
        <f>COUNTIF(KI13:KI62,"X")</f>
        <v>0</v>
      </c>
      <c r="KJ12" s="13">
        <f>COUNTIF(KJ13:KJ62,"X")</f>
        <v>0</v>
      </c>
      <c r="KK12" s="13">
        <f>COUNTIF(KK13:KK62,"X")</f>
        <v>0</v>
      </c>
      <c r="KL12" s="13">
        <f>COUNTIF(KL13:KL62,"X")</f>
        <v>0</v>
      </c>
      <c r="KM12" s="13">
        <f>COUNTIF(KM13:KM62,"X")</f>
        <v>0</v>
      </c>
      <c r="KN12" s="13">
        <f>COUNTIF(KN13:KN62,"X")</f>
        <v>0</v>
      </c>
      <c r="KO12" s="13">
        <f>COUNTIF(KO13:KO62,"X")</f>
        <v>0</v>
      </c>
      <c r="KP12" s="13">
        <f>COUNTIF(KP13:KP62,"X")</f>
        <v>0</v>
      </c>
      <c r="KQ12" s="13">
        <f>COUNTIF(KQ13:KQ62,"X")</f>
        <v>0</v>
      </c>
      <c r="KR12" s="13">
        <f>COUNTIF(KR13:KR62,"X")</f>
        <v>0</v>
      </c>
      <c r="KS12" s="13">
        <f>COUNTIF(KS13:KS62,"X")</f>
        <v>0</v>
      </c>
      <c r="KT12" s="13">
        <f>COUNTIF(KT13:KT62,"X")</f>
        <v>0</v>
      </c>
      <c r="KU12" s="13">
        <f>COUNTIF(KU13:KU62,"X")</f>
        <v>0</v>
      </c>
      <c r="KV12" s="13">
        <f>COUNTIF(KV13:KV62,"X")</f>
        <v>0</v>
      </c>
      <c r="KW12" s="13">
        <f>COUNTIF(KW13:KW62,"X")</f>
        <v>0</v>
      </c>
      <c r="KX12" s="13">
        <f>COUNTIF(KX13:KX62,"X")</f>
        <v>0</v>
      </c>
      <c r="KY12" s="13">
        <f>COUNTIF(KY13:KY62,"X")</f>
        <v>0</v>
      </c>
      <c r="KZ12" s="13">
        <f>COUNTIF(KZ13:KZ62,"X")</f>
        <v>0</v>
      </c>
      <c r="LA12" s="13">
        <f>COUNTIF(LA13:LA62,"X")</f>
        <v>0</v>
      </c>
      <c r="LB12" s="13">
        <f>COUNTIF(LB13:LB62,"X")</f>
        <v>0</v>
      </c>
      <c r="LC12" s="13">
        <f>COUNTIF(LC13:LC62,"X")</f>
        <v>0</v>
      </c>
      <c r="LD12" s="13">
        <f>COUNTIF(LD13:LD62,"X")</f>
        <v>0</v>
      </c>
      <c r="LE12" s="13">
        <f>COUNTIF(LE13:LE62,"X")</f>
        <v>0</v>
      </c>
      <c r="LF12" s="13">
        <f>COUNTIF(LF13:LF62,"X")</f>
        <v>0</v>
      </c>
      <c r="LG12" s="13">
        <f>COUNTIF(LG13:LG62,"X")</f>
        <v>0</v>
      </c>
      <c r="LH12" s="13">
        <f>COUNTIF(LH13:LH62,"X")</f>
        <v>0</v>
      </c>
      <c r="LI12" s="13">
        <f>COUNTIF(LI13:LI62,"X")</f>
        <v>0</v>
      </c>
      <c r="LJ12" s="13">
        <f>COUNTIF(LJ13:LJ62,"X")</f>
        <v>0</v>
      </c>
      <c r="LK12" s="13">
        <f>COUNTIF(LK13:LK62,"X")</f>
        <v>0</v>
      </c>
      <c r="LL12" s="13">
        <f>COUNTIF(LL13:LL62,"X")</f>
        <v>0</v>
      </c>
      <c r="LM12" s="13">
        <f>COUNTIF(LM13:LM62,"X")</f>
        <v>0</v>
      </c>
      <c r="LN12" s="13">
        <f>COUNTIF(LN13:LN62,"X")</f>
        <v>0</v>
      </c>
      <c r="LO12" s="13">
        <f>COUNTIF(LO13:LO62,"X")</f>
        <v>0</v>
      </c>
      <c r="LP12" s="13">
        <f>COUNTIF(LP13:LP62,"X")</f>
        <v>0</v>
      </c>
      <c r="LQ12" s="13">
        <f>COUNTIF(LQ13:LQ62,"X")</f>
        <v>0</v>
      </c>
      <c r="LR12" s="13">
        <f>COUNTIF(LR13:LR62,"X")</f>
        <v>0</v>
      </c>
      <c r="LS12" s="13">
        <f>COUNTIF(LS13:LS62,"X")</f>
        <v>0</v>
      </c>
      <c r="LT12" s="13">
        <f>COUNTIF(LT13:LT62,"X")</f>
        <v>0</v>
      </c>
      <c r="LU12" s="13">
        <f>COUNTIF(LU13:LU62,"X")</f>
        <v>0</v>
      </c>
      <c r="LV12" s="13">
        <f>COUNTIF(LV13:LV62,"X")</f>
        <v>0</v>
      </c>
      <c r="LW12" s="13">
        <f>COUNTIF(LW13:LW62,"X")</f>
        <v>0</v>
      </c>
      <c r="LX12" s="13">
        <f>COUNTIF(LX13:LX62,"X")</f>
        <v>0</v>
      </c>
      <c r="LY12" s="13">
        <f>COUNTIF(LY13:LY62,"X")</f>
        <v>0</v>
      </c>
      <c r="LZ12" s="13">
        <f>COUNTIF(LZ13:LZ62,"X")</f>
        <v>0</v>
      </c>
      <c r="MA12" s="13">
        <f>COUNTIF(MA13:MA62,"X")</f>
        <v>0</v>
      </c>
      <c r="MB12" s="13">
        <f>COUNTIF(MB13:MB62,"X")</f>
        <v>0</v>
      </c>
      <c r="MC12" s="13">
        <f>COUNTIF(MC13:MC62,"X")</f>
        <v>0</v>
      </c>
      <c r="MD12" s="13">
        <f>COUNTIF(MD13:MD62,"X")</f>
        <v>0</v>
      </c>
      <c r="ME12" s="13">
        <f>COUNTIF(ME13:ME62,"X")</f>
        <v>0</v>
      </c>
      <c r="MF12" s="13">
        <f>COUNTIF(MF13:MF62,"X")</f>
        <v>0</v>
      </c>
      <c r="MG12" s="13">
        <f>COUNTIF(MG13:MG62,"X")</f>
        <v>0</v>
      </c>
      <c r="MH12" s="13">
        <f>COUNTIF(MH13:MH62,"X")</f>
        <v>0</v>
      </c>
      <c r="MI12" s="13">
        <f>COUNTIF(MI13:MI62,"X")</f>
        <v>0</v>
      </c>
      <c r="MJ12" s="13">
        <f>COUNTIF(MJ13:MJ62,"X")</f>
        <v>0</v>
      </c>
      <c r="MK12" s="13">
        <f>COUNTIF(MK13:MK62,"X")</f>
        <v>0</v>
      </c>
      <c r="ML12" s="13">
        <f>COUNTIF(ML13:ML62,"X")</f>
        <v>0</v>
      </c>
      <c r="MM12" s="13">
        <f>COUNTIF(MM13:MM62,"X")</f>
        <v>0</v>
      </c>
      <c r="MN12" s="13">
        <f>COUNTIF(MN13:MN62,"X")</f>
        <v>0</v>
      </c>
      <c r="MO12" s="13">
        <f>COUNTIF(MO13:MO62,"X")</f>
        <v>0</v>
      </c>
      <c r="MP12" s="13">
        <f>COUNTIF(MP13:MP62,"X")</f>
        <v>0</v>
      </c>
      <c r="MQ12" s="13">
        <f>COUNTIF(MQ13:MQ62,"X")</f>
        <v>0</v>
      </c>
      <c r="MR12" s="13">
        <f>COUNTIF(MR13:MR62,"X")</f>
        <v>0</v>
      </c>
      <c r="MS12" s="13">
        <f>COUNTIF(MS13:MS62,"X")</f>
        <v>0</v>
      </c>
      <c r="MT12" s="13">
        <f>COUNTIF(MT13:MT62,"X")</f>
        <v>0</v>
      </c>
      <c r="MU12" s="13">
        <f>COUNTIF(MU13:MU62,"X")</f>
        <v>0</v>
      </c>
      <c r="MV12" s="13">
        <f>COUNTIF(MV13:MV62,"X")</f>
        <v>0</v>
      </c>
      <c r="MW12" s="13">
        <f>COUNTIF(MW13:MW62,"X")</f>
        <v>0</v>
      </c>
      <c r="MX12" s="13">
        <f>COUNTIF(MX13:MX62,"X")</f>
        <v>0</v>
      </c>
      <c r="MY12" s="13">
        <f>COUNTIF(MY13:MY62,"X")</f>
        <v>0</v>
      </c>
      <c r="MZ12" s="13">
        <f>COUNTIF(MZ13:MZ62,"X")</f>
        <v>0</v>
      </c>
      <c r="NA12" s="13">
        <f>COUNTIF(NA13:NA62,"X")</f>
        <v>0</v>
      </c>
      <c r="NB12" s="13">
        <f>COUNTIF(NB13:NB62,"X")</f>
        <v>0</v>
      </c>
      <c r="NC12" s="13">
        <f>COUNTIF(NC13:NC62,"X")</f>
        <v>0</v>
      </c>
      <c r="ND12" s="13">
        <f>COUNTIF(ND13:ND62,"X")</f>
        <v>0</v>
      </c>
      <c r="NE12" s="13">
        <f>COUNTIF(NE13:NE62,"X")</f>
        <v>0</v>
      </c>
      <c r="NF12" s="13">
        <f>COUNTIF(NF13:NF62,"X")</f>
        <v>0</v>
      </c>
      <c r="NG12" s="13">
        <f>COUNTIF(NG13:NG62,"X")</f>
        <v>0</v>
      </c>
      <c r="NH12" s="13">
        <f>COUNTIF(NH13:NH62,"X")</f>
        <v>0</v>
      </c>
      <c r="NI12" s="13">
        <f>COUNTIF(NI13:NI62,"X")</f>
        <v>0</v>
      </c>
      <c r="NJ12" s="13">
        <f>COUNTIF(NJ13:NJ62,"X")</f>
        <v>0</v>
      </c>
      <c r="NK12" s="13">
        <f>COUNTIF(NK13:NK62,"X")</f>
        <v>0</v>
      </c>
      <c r="NL12" s="13">
        <f>COUNTIF(NL13:NL62,"X")</f>
        <v>0</v>
      </c>
      <c r="NM12" s="13">
        <f>COUNTIF(NM13:NM62,"X")</f>
        <v>0</v>
      </c>
      <c r="NN12" s="13">
        <f>COUNTIF(NN13:NN62,"X")</f>
        <v>0</v>
      </c>
      <c r="NO12" s="13">
        <f>COUNTIF(NO13:NO62,"X")</f>
        <v>0</v>
      </c>
      <c r="NP12" s="13">
        <f>COUNTIF(NP13:NP62,"X")</f>
        <v>0</v>
      </c>
      <c r="NQ12" s="13">
        <f>COUNTIF(NQ13:NQ62,"X")</f>
        <v>0</v>
      </c>
      <c r="NR12" s="13">
        <f>COUNTIF(NR13:NR62,"X")</f>
        <v>0</v>
      </c>
      <c r="NS12" s="13">
        <f>COUNTIF(NS13:NS62,"X")</f>
        <v>0</v>
      </c>
      <c r="NT12" s="14">
        <f>SUM(F12:NS12)</f>
        <v>165</v>
      </c>
      <c r="NU12" s="113"/>
      <c r="NV12" s="30">
        <f>SUMIF(NW13:NW62,0,NV13:NV62)</f>
        <v>18.788773448773448</v>
      </c>
      <c r="NW12" s="40">
        <f>SUMIF(NW13:NW62,0,NV13:NV62)</f>
        <v>18.788773448773448</v>
      </c>
      <c r="NX12" s="16">
        <f>SUM(F12:AU12)</f>
        <v>165</v>
      </c>
      <c r="NY12" s="85"/>
      <c r="NZ12" s="30">
        <f>SUMIF(OA13:OA62,0,NZ13:NZ62)</f>
        <v>0</v>
      </c>
      <c r="OA12" s="30">
        <f>SUMIF(OA13:OA62,0,NZ13:NZ62)</f>
        <v>0</v>
      </c>
      <c r="OB12" s="14">
        <f>SUM(AV12:CK12)</f>
        <v>0</v>
      </c>
      <c r="OC12" s="93"/>
      <c r="OD12" s="30">
        <f>SUMIF(OE13:OE62,0,OD13:OD62)</f>
        <v>0</v>
      </c>
      <c r="OE12" s="40">
        <f>SUMIF(OE13:OE62,0,OD13:OD62)</f>
        <v>0</v>
      </c>
      <c r="OF12" s="16">
        <f>SUM(CL12:EA12)</f>
        <v>0</v>
      </c>
      <c r="OG12" s="85"/>
      <c r="OH12" s="30">
        <f>SUMIF(OI13:OI62,0,OH13:OH62)</f>
        <v>0</v>
      </c>
      <c r="OI12" s="40">
        <f>SUMIF(OI13:OI62,0,OH13:OH62)</f>
        <v>0</v>
      </c>
      <c r="OJ12" s="16">
        <f>SUM(EB12:FQ12)</f>
        <v>0</v>
      </c>
      <c r="OK12" s="101"/>
      <c r="OL12" s="30">
        <f>SUMIF(OM13:OM62,0,OL13:OL62)</f>
        <v>0</v>
      </c>
      <c r="OM12" s="40">
        <f>SUMIF(OM13:OM62,0,OL13:OL62)</f>
        <v>0</v>
      </c>
      <c r="ON12" s="16">
        <f>SUM(FR12:HG12)</f>
        <v>0</v>
      </c>
      <c r="OO12" s="101"/>
      <c r="OP12" s="30">
        <f>SUMIF(OQ13:OQ62,0,OP13:OP62)</f>
        <v>0</v>
      </c>
      <c r="OQ12" s="101"/>
      <c r="OR12" s="16">
        <f>SUM(HH12:IW12)</f>
        <v>0</v>
      </c>
      <c r="OS12" s="101"/>
      <c r="OT12" s="30">
        <f>SUMIF(OU13:OU62,0,OT13:OT62)</f>
        <v>0</v>
      </c>
      <c r="OU12" s="78"/>
      <c r="OV12" s="16">
        <f>SUM(IX12:KM12)</f>
        <v>0</v>
      </c>
      <c r="OW12" s="78"/>
      <c r="OX12" s="30">
        <f>SUMIF(OY13:OY62,0,OX13:OX62)</f>
        <v>0</v>
      </c>
      <c r="OY12" s="40">
        <f>SUMIF(OY13:OY62,0,OX13:OX62)</f>
        <v>0</v>
      </c>
      <c r="OZ12" s="16">
        <f>SUM(KN12:MC12)</f>
        <v>0</v>
      </c>
      <c r="PA12" s="101"/>
      <c r="PB12" s="30">
        <f>SUMIF(PC13:PC62,0,PB13:PB62)</f>
        <v>0</v>
      </c>
      <c r="PC12" s="40">
        <f>SUMIF(PC13:PC62,0,PB13:PB62)</f>
        <v>0</v>
      </c>
      <c r="PD12" s="16">
        <f>SUM(MD12:NS12)</f>
        <v>0</v>
      </c>
      <c r="PE12" s="101"/>
    </row>
    <row r="13" spans="1:421" ht="15.75" customHeight="1" outlineLevel="1" x14ac:dyDescent="0.25">
      <c r="C13" s="88" t="s">
        <v>44</v>
      </c>
      <c r="D13" s="90" t="s">
        <v>88</v>
      </c>
      <c r="E13" s="53" t="s">
        <v>8</v>
      </c>
      <c r="F13" s="33">
        <v>1</v>
      </c>
      <c r="G13" s="33"/>
      <c r="H13" s="33"/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/>
      <c r="O13" s="33"/>
      <c r="P13" s="69"/>
      <c r="Q13" s="33">
        <v>1</v>
      </c>
      <c r="R13" s="33">
        <v>1</v>
      </c>
      <c r="S13" s="33">
        <v>1</v>
      </c>
      <c r="T13" s="33">
        <v>1</v>
      </c>
      <c r="U13" s="33"/>
      <c r="V13" s="33"/>
      <c r="W13" s="69"/>
      <c r="X13" s="33">
        <v>1</v>
      </c>
      <c r="Y13" s="33">
        <v>1</v>
      </c>
      <c r="Z13" s="33">
        <v>1</v>
      </c>
      <c r="AA13" s="33">
        <v>1</v>
      </c>
      <c r="AB13" s="33"/>
      <c r="AC13" s="33"/>
      <c r="AD13" s="33">
        <v>1</v>
      </c>
      <c r="AE13" s="33">
        <v>1</v>
      </c>
      <c r="AF13" s="33">
        <v>1</v>
      </c>
      <c r="AG13" s="33">
        <v>1</v>
      </c>
      <c r="AH13" s="33">
        <v>1</v>
      </c>
      <c r="AI13" s="33"/>
      <c r="AJ13" s="33"/>
      <c r="AK13" s="33">
        <v>1</v>
      </c>
      <c r="AL13" s="33">
        <v>1</v>
      </c>
      <c r="AM13" s="33">
        <v>1</v>
      </c>
      <c r="AN13" s="33">
        <v>1</v>
      </c>
      <c r="AO13" s="33">
        <v>1</v>
      </c>
      <c r="AP13" s="33"/>
      <c r="AQ13" s="33"/>
      <c r="AR13" s="33">
        <v>1</v>
      </c>
      <c r="AS13" s="33">
        <v>1</v>
      </c>
      <c r="AT13" s="33">
        <v>1</v>
      </c>
      <c r="AU13" s="33">
        <v>1</v>
      </c>
      <c r="AV13" s="33">
        <v>1</v>
      </c>
      <c r="AW13" s="33"/>
      <c r="AX13" s="33"/>
      <c r="AY13" s="33">
        <v>1</v>
      </c>
      <c r="AZ13" s="33">
        <v>1</v>
      </c>
      <c r="BA13" s="33">
        <v>1</v>
      </c>
      <c r="BB13" s="33">
        <v>1</v>
      </c>
      <c r="BC13" s="33">
        <v>1</v>
      </c>
      <c r="BD13" s="33"/>
      <c r="BE13" s="33"/>
      <c r="BF13" s="33">
        <v>1</v>
      </c>
      <c r="BG13" s="33">
        <v>1</v>
      </c>
      <c r="BH13" s="33">
        <v>1</v>
      </c>
      <c r="BI13" s="33">
        <v>1</v>
      </c>
      <c r="BJ13" s="33">
        <v>1</v>
      </c>
      <c r="BK13" s="33"/>
      <c r="BL13" s="33"/>
      <c r="BM13" s="33">
        <v>1</v>
      </c>
      <c r="BN13" s="33">
        <v>1</v>
      </c>
      <c r="BO13" s="33">
        <v>1</v>
      </c>
      <c r="BP13" s="33">
        <v>1</v>
      </c>
      <c r="BQ13" s="33">
        <v>1</v>
      </c>
      <c r="BR13" s="33"/>
      <c r="BS13" s="33"/>
      <c r="BT13" s="33">
        <v>1</v>
      </c>
      <c r="BU13" s="33">
        <v>1</v>
      </c>
      <c r="BV13" s="33">
        <v>1</v>
      </c>
      <c r="BW13" s="33">
        <v>1</v>
      </c>
      <c r="BX13" s="33">
        <v>1</v>
      </c>
      <c r="BY13" s="33"/>
      <c r="BZ13" s="33"/>
      <c r="CA13" s="33">
        <v>1</v>
      </c>
      <c r="CB13" s="33">
        <v>1</v>
      </c>
      <c r="CC13" s="33">
        <v>1</v>
      </c>
      <c r="CD13" s="33">
        <v>1</v>
      </c>
      <c r="CE13" s="33">
        <v>1</v>
      </c>
      <c r="CF13" s="33"/>
      <c r="CG13" s="33"/>
      <c r="CH13" s="33">
        <v>1</v>
      </c>
      <c r="CI13" s="33">
        <v>1</v>
      </c>
      <c r="CJ13" s="33">
        <v>1</v>
      </c>
      <c r="CK13" s="33">
        <v>1</v>
      </c>
      <c r="CL13" s="33">
        <v>1</v>
      </c>
      <c r="CM13" s="33"/>
      <c r="CN13" s="33"/>
      <c r="CO13" s="33">
        <v>1</v>
      </c>
      <c r="CP13" s="33">
        <v>1</v>
      </c>
      <c r="CQ13" s="33">
        <v>1</v>
      </c>
      <c r="CR13" s="33">
        <v>1</v>
      </c>
      <c r="CS13" s="33">
        <v>1</v>
      </c>
      <c r="CT13" s="33"/>
      <c r="CU13" s="33"/>
      <c r="CV13" s="33">
        <v>1</v>
      </c>
      <c r="CW13" s="33">
        <v>1</v>
      </c>
      <c r="CX13" s="33">
        <v>1</v>
      </c>
      <c r="CY13" s="33">
        <v>1</v>
      </c>
      <c r="CZ13" s="33">
        <v>1</v>
      </c>
      <c r="DA13" s="33"/>
      <c r="DB13" s="33"/>
      <c r="DC13" s="33">
        <v>1</v>
      </c>
      <c r="DD13" s="33">
        <v>1</v>
      </c>
      <c r="DE13" s="33">
        <v>1</v>
      </c>
      <c r="DF13" s="33">
        <v>1</v>
      </c>
      <c r="DG13" s="33">
        <v>1</v>
      </c>
      <c r="DH13" s="33"/>
      <c r="DI13" s="33"/>
      <c r="DJ13" s="33">
        <v>1</v>
      </c>
      <c r="DK13" s="33">
        <v>1</v>
      </c>
      <c r="DL13" s="33">
        <v>1</v>
      </c>
      <c r="DM13" s="33">
        <v>1</v>
      </c>
      <c r="DN13" s="33">
        <v>1</v>
      </c>
      <c r="DO13" s="33"/>
      <c r="DP13" s="33"/>
      <c r="DQ13" s="33">
        <v>1</v>
      </c>
      <c r="DR13" s="33">
        <v>1</v>
      </c>
      <c r="DS13" s="33">
        <v>1</v>
      </c>
      <c r="DT13" s="33">
        <v>1</v>
      </c>
      <c r="DU13" s="33">
        <v>1</v>
      </c>
      <c r="DV13" s="33"/>
      <c r="DW13" s="33"/>
      <c r="DX13" s="33">
        <v>1</v>
      </c>
      <c r="DY13" s="33">
        <v>1</v>
      </c>
      <c r="DZ13" s="33">
        <v>1</v>
      </c>
      <c r="EA13" s="33">
        <v>1</v>
      </c>
      <c r="EB13" s="33">
        <v>1</v>
      </c>
      <c r="EC13" s="33"/>
      <c r="ED13" s="33"/>
      <c r="EE13" s="33">
        <v>1</v>
      </c>
      <c r="EF13" s="33">
        <v>1</v>
      </c>
      <c r="EG13" s="33">
        <v>1</v>
      </c>
      <c r="EH13" s="33">
        <v>1</v>
      </c>
      <c r="EI13" s="33">
        <v>1</v>
      </c>
      <c r="EJ13" s="33"/>
      <c r="EK13" s="33"/>
      <c r="EL13" s="33">
        <v>1</v>
      </c>
      <c r="EM13" s="33">
        <v>1</v>
      </c>
      <c r="EN13" s="33">
        <v>1</v>
      </c>
      <c r="EO13" s="33">
        <v>1</v>
      </c>
      <c r="EP13" s="33">
        <v>1</v>
      </c>
      <c r="EQ13" s="33"/>
      <c r="ER13" s="33"/>
      <c r="ES13" s="33">
        <v>1</v>
      </c>
      <c r="ET13" s="33">
        <v>1</v>
      </c>
      <c r="EU13" s="33">
        <v>1</v>
      </c>
      <c r="EV13" s="33">
        <v>1</v>
      </c>
      <c r="EW13" s="33">
        <v>1</v>
      </c>
      <c r="EX13" s="33"/>
      <c r="EY13" s="33"/>
      <c r="EZ13" s="33">
        <v>1</v>
      </c>
      <c r="FA13" s="33">
        <v>1</v>
      </c>
      <c r="FB13" s="33">
        <v>1</v>
      </c>
      <c r="FC13" s="33">
        <v>1</v>
      </c>
      <c r="FD13" s="33">
        <v>1</v>
      </c>
      <c r="FE13" s="33"/>
      <c r="FF13" s="33"/>
      <c r="FG13" s="33">
        <v>1</v>
      </c>
      <c r="FH13" s="33">
        <v>1</v>
      </c>
      <c r="FI13" s="33">
        <v>1</v>
      </c>
      <c r="FJ13" s="33">
        <v>1</v>
      </c>
      <c r="FK13" s="33">
        <v>1</v>
      </c>
      <c r="FL13" s="33"/>
      <c r="FM13" s="33"/>
      <c r="FN13" s="33">
        <v>1</v>
      </c>
      <c r="FO13" s="33">
        <v>1</v>
      </c>
      <c r="FP13" s="33">
        <v>1</v>
      </c>
      <c r="FQ13" s="33">
        <v>1</v>
      </c>
      <c r="FR13" s="33">
        <v>1</v>
      </c>
      <c r="FS13" s="33"/>
      <c r="FT13" s="33"/>
      <c r="FU13" s="33">
        <v>1</v>
      </c>
      <c r="FV13" s="33">
        <v>1</v>
      </c>
      <c r="FW13" s="33">
        <v>1</v>
      </c>
      <c r="FX13" s="33">
        <v>1</v>
      </c>
      <c r="FY13" s="33">
        <v>1</v>
      </c>
      <c r="FZ13" s="33"/>
      <c r="GA13" s="33"/>
      <c r="GB13" s="33">
        <v>1</v>
      </c>
      <c r="GC13" s="33">
        <v>1</v>
      </c>
      <c r="GD13" s="33">
        <v>1</v>
      </c>
      <c r="GE13" s="33">
        <v>1</v>
      </c>
      <c r="GF13" s="33">
        <v>1</v>
      </c>
      <c r="GG13" s="33"/>
      <c r="GH13" s="33"/>
      <c r="GI13" s="33">
        <v>1</v>
      </c>
      <c r="GJ13" s="33">
        <v>1</v>
      </c>
      <c r="GK13" s="33">
        <v>1</v>
      </c>
      <c r="GL13" s="33">
        <v>1</v>
      </c>
      <c r="GM13" s="33">
        <v>1</v>
      </c>
      <c r="GN13" s="33"/>
      <c r="GO13" s="33"/>
      <c r="GP13" s="33">
        <v>1</v>
      </c>
      <c r="GQ13" s="33">
        <v>1</v>
      </c>
      <c r="GR13" s="33">
        <v>1</v>
      </c>
      <c r="GS13" s="33">
        <v>1</v>
      </c>
      <c r="GT13" s="33">
        <v>1</v>
      </c>
      <c r="GU13" s="33"/>
      <c r="GV13" s="33"/>
      <c r="GW13" s="33">
        <v>1</v>
      </c>
      <c r="GX13" s="33">
        <v>1</v>
      </c>
      <c r="GY13" s="33">
        <v>1</v>
      </c>
      <c r="GZ13" s="33">
        <v>1</v>
      </c>
      <c r="HA13" s="33">
        <v>1</v>
      </c>
      <c r="HB13" s="33"/>
      <c r="HC13" s="33"/>
      <c r="HD13" s="33">
        <v>1</v>
      </c>
      <c r="HE13" s="33">
        <v>1</v>
      </c>
      <c r="HF13" s="33">
        <v>1</v>
      </c>
      <c r="HG13" s="33">
        <v>1</v>
      </c>
      <c r="HH13" s="33">
        <v>1</v>
      </c>
      <c r="HI13" s="33"/>
      <c r="HJ13" s="33"/>
      <c r="HK13" s="33">
        <v>1</v>
      </c>
      <c r="HL13" s="33">
        <v>1</v>
      </c>
      <c r="HM13" s="33">
        <v>1</v>
      </c>
      <c r="HN13" s="33">
        <v>1</v>
      </c>
      <c r="HO13" s="33">
        <v>1</v>
      </c>
      <c r="HP13" s="33"/>
      <c r="HQ13" s="33"/>
      <c r="HR13" s="33">
        <v>1</v>
      </c>
      <c r="HS13" s="33">
        <v>1</v>
      </c>
      <c r="HT13" s="33">
        <v>1</v>
      </c>
      <c r="HU13" s="33">
        <v>1</v>
      </c>
      <c r="HV13" s="33">
        <v>1</v>
      </c>
      <c r="HW13" s="33"/>
      <c r="HX13" s="33"/>
      <c r="HY13" s="33">
        <v>1</v>
      </c>
      <c r="HZ13" s="33">
        <v>1</v>
      </c>
      <c r="IA13" s="33">
        <v>1</v>
      </c>
      <c r="IB13" s="33">
        <v>1</v>
      </c>
      <c r="IC13" s="33">
        <v>1</v>
      </c>
      <c r="ID13" s="33"/>
      <c r="IE13" s="33"/>
      <c r="IF13" s="33">
        <v>1</v>
      </c>
      <c r="IG13" s="33">
        <v>1</v>
      </c>
      <c r="IH13" s="33">
        <v>1</v>
      </c>
      <c r="II13" s="33">
        <v>1</v>
      </c>
      <c r="IJ13" s="33">
        <v>1</v>
      </c>
      <c r="IK13" s="33"/>
      <c r="IL13" s="33"/>
      <c r="IM13" s="33">
        <v>1</v>
      </c>
      <c r="IN13" s="33">
        <v>1</v>
      </c>
      <c r="IO13" s="33">
        <v>1</v>
      </c>
      <c r="IP13" s="33">
        <v>1</v>
      </c>
      <c r="IQ13" s="33">
        <v>1</v>
      </c>
      <c r="IR13" s="33"/>
      <c r="IS13" s="33"/>
      <c r="IT13" s="33">
        <v>1</v>
      </c>
      <c r="IU13" s="33">
        <v>1</v>
      </c>
      <c r="IV13" s="33">
        <v>1</v>
      </c>
      <c r="IW13" s="33">
        <v>1</v>
      </c>
      <c r="IX13" s="33">
        <v>1</v>
      </c>
      <c r="IY13" s="33"/>
      <c r="IZ13" s="33"/>
      <c r="JA13" s="33">
        <v>1</v>
      </c>
      <c r="JB13" s="33">
        <v>1</v>
      </c>
      <c r="JC13" s="33">
        <v>1</v>
      </c>
      <c r="JD13" s="33">
        <v>1</v>
      </c>
      <c r="JE13" s="33">
        <v>1</v>
      </c>
      <c r="JF13" s="33"/>
      <c r="JG13" s="33"/>
      <c r="JH13" s="33">
        <v>1</v>
      </c>
      <c r="JI13" s="33">
        <v>1</v>
      </c>
      <c r="JJ13" s="33">
        <v>1</v>
      </c>
      <c r="JK13" s="33">
        <v>1</v>
      </c>
      <c r="JL13" s="33">
        <v>1</v>
      </c>
      <c r="JM13" s="33"/>
      <c r="JN13" s="33"/>
      <c r="JO13" s="33">
        <v>1</v>
      </c>
      <c r="JP13" s="33">
        <v>1</v>
      </c>
      <c r="JQ13" s="33">
        <v>1</v>
      </c>
      <c r="JR13" s="33">
        <v>1</v>
      </c>
      <c r="JS13" s="33">
        <v>1</v>
      </c>
      <c r="JT13" s="33"/>
      <c r="JU13" s="33"/>
      <c r="JV13" s="33">
        <v>1</v>
      </c>
      <c r="JW13" s="33">
        <v>1</v>
      </c>
      <c r="JX13" s="33">
        <v>1</v>
      </c>
      <c r="JY13" s="33">
        <v>1</v>
      </c>
      <c r="JZ13" s="33">
        <v>1</v>
      </c>
      <c r="KA13" s="33"/>
      <c r="KB13" s="33"/>
      <c r="KC13" s="33">
        <v>1</v>
      </c>
      <c r="KD13" s="33">
        <v>1</v>
      </c>
      <c r="KE13" s="33">
        <v>1</v>
      </c>
      <c r="KF13" s="33">
        <v>1</v>
      </c>
      <c r="KG13" s="33">
        <v>1</v>
      </c>
      <c r="KH13" s="33"/>
      <c r="KI13" s="33"/>
      <c r="KJ13" s="33">
        <v>1</v>
      </c>
      <c r="KK13" s="33">
        <v>1</v>
      </c>
      <c r="KL13" s="33">
        <v>1</v>
      </c>
      <c r="KM13" s="33">
        <v>1</v>
      </c>
      <c r="KN13" s="33">
        <v>1</v>
      </c>
      <c r="KO13" s="33"/>
      <c r="KP13" s="33"/>
      <c r="KQ13" s="33">
        <v>1</v>
      </c>
      <c r="KR13" s="33">
        <v>1</v>
      </c>
      <c r="KS13" s="33">
        <v>1</v>
      </c>
      <c r="KT13" s="33">
        <v>1</v>
      </c>
      <c r="KU13" s="33">
        <v>1</v>
      </c>
      <c r="KV13" s="33"/>
      <c r="KW13" s="33"/>
      <c r="KX13" s="33">
        <v>1</v>
      </c>
      <c r="KY13" s="33">
        <v>1</v>
      </c>
      <c r="KZ13" s="33">
        <v>1</v>
      </c>
      <c r="LA13" s="33">
        <v>1</v>
      </c>
      <c r="LB13" s="33">
        <v>1</v>
      </c>
      <c r="LC13" s="33"/>
      <c r="LD13" s="33"/>
      <c r="LE13" s="33">
        <v>1</v>
      </c>
      <c r="LF13" s="33">
        <v>1</v>
      </c>
      <c r="LG13" s="33">
        <v>1</v>
      </c>
      <c r="LH13" s="33">
        <v>1</v>
      </c>
      <c r="LI13" s="33">
        <v>1</v>
      </c>
      <c r="LJ13" s="33"/>
      <c r="LK13" s="33"/>
      <c r="LL13" s="33">
        <v>1</v>
      </c>
      <c r="LM13" s="33">
        <v>1</v>
      </c>
      <c r="LN13" s="33">
        <v>1</v>
      </c>
      <c r="LO13" s="33">
        <v>1</v>
      </c>
      <c r="LP13" s="33">
        <v>1</v>
      </c>
      <c r="LQ13" s="33"/>
      <c r="LR13" s="33"/>
      <c r="LS13" s="33">
        <v>1</v>
      </c>
      <c r="LT13" s="33">
        <v>1</v>
      </c>
      <c r="LU13" s="33">
        <v>1</v>
      </c>
      <c r="LV13" s="33">
        <v>1</v>
      </c>
      <c r="LW13" s="33">
        <v>1</v>
      </c>
      <c r="LX13" s="33"/>
      <c r="LY13" s="33"/>
      <c r="LZ13" s="33">
        <v>1</v>
      </c>
      <c r="MA13" s="33">
        <v>1</v>
      </c>
      <c r="MB13" s="33">
        <v>1</v>
      </c>
      <c r="MC13" s="33">
        <v>1</v>
      </c>
      <c r="MD13" s="33">
        <v>1</v>
      </c>
      <c r="ME13" s="33"/>
      <c r="MF13" s="33"/>
      <c r="MG13" s="33">
        <v>1</v>
      </c>
      <c r="MH13" s="33">
        <v>1</v>
      </c>
      <c r="MI13" s="33">
        <v>1</v>
      </c>
      <c r="MJ13" s="33">
        <v>1</v>
      </c>
      <c r="MK13" s="33">
        <v>1</v>
      </c>
      <c r="ML13" s="33"/>
      <c r="MM13" s="33"/>
      <c r="MN13" s="33">
        <v>1</v>
      </c>
      <c r="MO13" s="33">
        <v>1</v>
      </c>
      <c r="MP13" s="33">
        <v>1</v>
      </c>
      <c r="MQ13" s="33">
        <v>1</v>
      </c>
      <c r="MR13" s="33">
        <v>1</v>
      </c>
      <c r="MS13" s="33"/>
      <c r="MT13" s="33"/>
      <c r="MU13" s="33">
        <v>1</v>
      </c>
      <c r="MV13" s="33">
        <v>1</v>
      </c>
      <c r="MW13" s="33">
        <v>1</v>
      </c>
      <c r="MX13" s="33">
        <v>1</v>
      </c>
      <c r="MY13" s="33">
        <v>1</v>
      </c>
      <c r="MZ13" s="33"/>
      <c r="NA13" s="33"/>
      <c r="NB13" s="33">
        <v>1</v>
      </c>
      <c r="NC13" s="33">
        <v>1</v>
      </c>
      <c r="ND13" s="33">
        <v>1</v>
      </c>
      <c r="NE13" s="33">
        <v>1</v>
      </c>
      <c r="NF13" s="33">
        <v>1</v>
      </c>
      <c r="NG13" s="33"/>
      <c r="NH13" s="33"/>
      <c r="NI13" s="33">
        <v>1</v>
      </c>
      <c r="NJ13" s="33">
        <v>1</v>
      </c>
      <c r="NK13" s="33">
        <v>1</v>
      </c>
      <c r="NL13" s="33">
        <v>1</v>
      </c>
      <c r="NM13" s="33">
        <v>1</v>
      </c>
      <c r="NN13" s="33"/>
      <c r="NO13" s="33"/>
      <c r="NP13" s="33">
        <v>1</v>
      </c>
      <c r="NQ13" s="33">
        <v>1</v>
      </c>
      <c r="NR13" s="33">
        <v>1</v>
      </c>
      <c r="NS13" s="33">
        <v>1</v>
      </c>
      <c r="NT13" s="31">
        <f>COUNTIF(F13:NS13,"1")</f>
        <v>268</v>
      </c>
      <c r="NU13" s="80">
        <f>NT14/NT13</f>
        <v>9.7014925373134331E-2</v>
      </c>
      <c r="NV13" s="29" t="str">
        <f>+IF(NX13&gt;=1,"1",0)</f>
        <v>1</v>
      </c>
      <c r="NW13" s="38">
        <f>MOD(ROW(NW13),2)</f>
        <v>1</v>
      </c>
      <c r="NX13" s="35">
        <f>COUNTIF(F13:AU13,"1")</f>
        <v>28</v>
      </c>
      <c r="NY13" s="80">
        <f>NX14/NX13</f>
        <v>0.9285714285714286</v>
      </c>
      <c r="NZ13" s="29" t="str">
        <f>+IF(OB13&gt;=1,"1",0)</f>
        <v>1</v>
      </c>
      <c r="OA13" s="38">
        <f>MOD(ROW(OA13),2)</f>
        <v>1</v>
      </c>
      <c r="OB13" s="35">
        <f>COUNTIF(AV13:CK13,"1")</f>
        <v>30</v>
      </c>
      <c r="OC13" s="80">
        <f>OB14/OB13</f>
        <v>0</v>
      </c>
      <c r="OD13" s="29" t="str">
        <f>+IF(OF13&gt;=1,"1",0)</f>
        <v>1</v>
      </c>
      <c r="OE13" s="38">
        <f>MOD(ROW(OE13),2)</f>
        <v>1</v>
      </c>
      <c r="OF13" s="35">
        <f>COUNTIF(CL13:EA13,"1")</f>
        <v>30</v>
      </c>
      <c r="OG13" s="80">
        <f>OF14/OF13</f>
        <v>0</v>
      </c>
      <c r="OH13" s="29" t="str">
        <f>+IF(OJ13&gt;=1,"1",0)</f>
        <v>1</v>
      </c>
      <c r="OI13" s="38">
        <f>MOD(ROW(OI13),2)</f>
        <v>1</v>
      </c>
      <c r="OJ13" s="35">
        <f>COUNTIF(EB13:FQ13,"1")</f>
        <v>30</v>
      </c>
      <c r="OK13" s="79">
        <f>OJ14/OJ13</f>
        <v>0</v>
      </c>
      <c r="OL13" s="29" t="str">
        <f>+IF(ON13&gt;=1,"1",0)</f>
        <v>1</v>
      </c>
      <c r="OM13" s="38">
        <f>MOD(ROW(OM13),2)</f>
        <v>1</v>
      </c>
      <c r="ON13" s="35">
        <f>COUNTIF(FR13:HG13,"1")</f>
        <v>30</v>
      </c>
      <c r="OO13" s="79">
        <f>ON14/ON13</f>
        <v>0</v>
      </c>
      <c r="OP13" s="29" t="str">
        <f>+IF(OR13&gt;=1,"1",0)</f>
        <v>1</v>
      </c>
      <c r="OQ13" s="38">
        <f>MOD(ROW(OQ13),2)</f>
        <v>1</v>
      </c>
      <c r="OR13" s="35">
        <f>COUNTIF(HH13:IW13,"1")</f>
        <v>30</v>
      </c>
      <c r="OS13" s="79">
        <f>OR14/OR13</f>
        <v>0</v>
      </c>
      <c r="OT13" s="29" t="str">
        <f>+IF(OV13&gt;=1,"1",0)</f>
        <v>1</v>
      </c>
      <c r="OU13" s="38">
        <f>MOD(ROW(OU13),2)</f>
        <v>1</v>
      </c>
      <c r="OV13" s="35">
        <f>COUNTIF(IX13:KM13,"1")</f>
        <v>30</v>
      </c>
      <c r="OW13" s="79">
        <f>OV14/OV13</f>
        <v>0</v>
      </c>
      <c r="OX13" s="29" t="str">
        <f>+IF(OZ13&gt;=1,"1",0)</f>
        <v>1</v>
      </c>
      <c r="OY13" s="38">
        <f>MOD(ROW(OY13),2)</f>
        <v>1</v>
      </c>
      <c r="OZ13" s="35">
        <f>COUNTIF(KN13:MC13,"1")</f>
        <v>30</v>
      </c>
      <c r="PA13" s="79">
        <f>OZ14/OZ13</f>
        <v>0</v>
      </c>
      <c r="PB13" s="29" t="str">
        <f>+IF(PD13&gt;=1,"1",0)</f>
        <v>1</v>
      </c>
      <c r="PC13" s="38">
        <f>MOD(ROW(PC13),2)</f>
        <v>1</v>
      </c>
      <c r="PD13" s="35">
        <f>COUNTIF(MD13:NS13,"1")</f>
        <v>30</v>
      </c>
      <c r="PE13" s="79">
        <f>PD14/PD13</f>
        <v>0</v>
      </c>
    </row>
    <row r="14" spans="1:421" ht="15.75" customHeight="1" outlineLevel="1" thickBot="1" x14ac:dyDescent="0.3">
      <c r="C14" s="89"/>
      <c r="D14" s="91"/>
      <c r="E14" s="54" t="s">
        <v>9</v>
      </c>
      <c r="F14" s="34" t="s">
        <v>75</v>
      </c>
      <c r="G14" s="34"/>
      <c r="H14" s="34"/>
      <c r="I14" s="34" t="s">
        <v>75</v>
      </c>
      <c r="J14" s="34" t="s">
        <v>75</v>
      </c>
      <c r="K14" s="34"/>
      <c r="L14" s="34"/>
      <c r="M14" s="34" t="s">
        <v>75</v>
      </c>
      <c r="N14" s="34"/>
      <c r="O14" s="34"/>
      <c r="P14" s="70"/>
      <c r="Q14" s="34" t="s">
        <v>75</v>
      </c>
      <c r="R14" s="34" t="s">
        <v>75</v>
      </c>
      <c r="S14" s="34" t="s">
        <v>75</v>
      </c>
      <c r="T14" s="34" t="s">
        <v>75</v>
      </c>
      <c r="U14" s="34"/>
      <c r="V14" s="34"/>
      <c r="W14" s="70"/>
      <c r="X14" s="34" t="s">
        <v>75</v>
      </c>
      <c r="Y14" s="34" t="s">
        <v>75</v>
      </c>
      <c r="Z14" s="34" t="s">
        <v>75</v>
      </c>
      <c r="AA14" s="34" t="s">
        <v>75</v>
      </c>
      <c r="AB14" s="34"/>
      <c r="AC14" s="34"/>
      <c r="AD14" s="34" t="s">
        <v>75</v>
      </c>
      <c r="AE14" s="34" t="s">
        <v>75</v>
      </c>
      <c r="AF14" s="34" t="s">
        <v>75</v>
      </c>
      <c r="AG14" s="34" t="s">
        <v>75</v>
      </c>
      <c r="AH14" s="34" t="s">
        <v>75</v>
      </c>
      <c r="AI14" s="34"/>
      <c r="AJ14" s="34"/>
      <c r="AK14" s="34" t="s">
        <v>75</v>
      </c>
      <c r="AL14" s="34" t="s">
        <v>75</v>
      </c>
      <c r="AM14" s="34" t="s">
        <v>75</v>
      </c>
      <c r="AN14" s="34" t="s">
        <v>75</v>
      </c>
      <c r="AO14" s="34" t="s">
        <v>75</v>
      </c>
      <c r="AP14" s="34"/>
      <c r="AQ14" s="34"/>
      <c r="AR14" s="34" t="s">
        <v>116</v>
      </c>
      <c r="AS14" s="34" t="s">
        <v>116</v>
      </c>
      <c r="AT14" s="34" t="s">
        <v>116</v>
      </c>
      <c r="AU14" s="34" t="s">
        <v>116</v>
      </c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7">
        <f>COUNTIF(F14:NS14,"x")</f>
        <v>26</v>
      </c>
      <c r="NU14" s="81"/>
      <c r="NV14" s="32">
        <f>IF(NX14=0,"0",NX14/NX13)</f>
        <v>0.9285714285714286</v>
      </c>
      <c r="NW14" s="37">
        <f>MOD(ROW(NW14),2)</f>
        <v>0</v>
      </c>
      <c r="NX14" s="36">
        <f>COUNTIF(F14:AU14,"x")</f>
        <v>26</v>
      </c>
      <c r="NY14" s="81"/>
      <c r="NZ14" s="32" t="str">
        <f>IF(OB14=0,"0",OB14/OB13)</f>
        <v>0</v>
      </c>
      <c r="OA14" s="37">
        <f>MOD(ROW(OA14),2)</f>
        <v>0</v>
      </c>
      <c r="OB14" s="36">
        <f>COUNTIF(AV14:CK14,"x")</f>
        <v>0</v>
      </c>
      <c r="OC14" s="81"/>
      <c r="OD14" s="32" t="str">
        <f>IF(OF14=0,"0",OF14/OF13)</f>
        <v>0</v>
      </c>
      <c r="OE14" s="37">
        <f>MOD(ROW(OE14),2)</f>
        <v>0</v>
      </c>
      <c r="OF14" s="36">
        <f>COUNTIF(CL14:EA14,"x")</f>
        <v>0</v>
      </c>
      <c r="OG14" s="81"/>
      <c r="OH14" s="32" t="str">
        <f>IF(OJ14=0,"0",OJ14/OJ13)</f>
        <v>0</v>
      </c>
      <c r="OI14" s="37">
        <f>MOD(ROW(OI14),2)</f>
        <v>0</v>
      </c>
      <c r="OJ14" s="36">
        <f>COUNTIF(EB14:FQ14,"x")</f>
        <v>0</v>
      </c>
      <c r="OK14" s="74"/>
      <c r="OL14" s="32" t="str">
        <f>IF(ON14=0,"0",ON14/ON13)</f>
        <v>0</v>
      </c>
      <c r="OM14" s="37">
        <f>MOD(ROW(OM14),2)</f>
        <v>0</v>
      </c>
      <c r="ON14" s="36">
        <f>COUNTIF(FR14:HG14,"x")</f>
        <v>0</v>
      </c>
      <c r="OO14" s="74"/>
      <c r="OP14" s="32" t="str">
        <f>IF(OR14=0,"0",OR14/OR13)</f>
        <v>0</v>
      </c>
      <c r="OQ14" s="37">
        <f>MOD(ROW(OQ14),2)</f>
        <v>0</v>
      </c>
      <c r="OR14" s="36">
        <f>COUNTIF(HH14:IW14,"x")</f>
        <v>0</v>
      </c>
      <c r="OS14" s="74"/>
      <c r="OT14" s="32" t="str">
        <f>IF(OV14=0,"0",OV14/OV13)</f>
        <v>0</v>
      </c>
      <c r="OU14" s="37">
        <f>MOD(ROW(OU14),2)</f>
        <v>0</v>
      </c>
      <c r="OV14" s="36">
        <f>COUNTIF(IX14:KM14,"x")</f>
        <v>0</v>
      </c>
      <c r="OW14" s="74"/>
      <c r="OX14" s="32" t="str">
        <f>IF(OZ14=0,"0",OZ14/OZ13)</f>
        <v>0</v>
      </c>
      <c r="OY14" s="37">
        <f>MOD(ROW(OY14),2)</f>
        <v>0</v>
      </c>
      <c r="OZ14" s="36">
        <f>COUNTIF(KN14:MC14,"x")</f>
        <v>0</v>
      </c>
      <c r="PA14" s="74"/>
      <c r="PB14" s="32" t="str">
        <f>IF(PD14=0,"0",PD14/PD13)</f>
        <v>0</v>
      </c>
      <c r="PC14" s="37">
        <f>MOD(ROW(PC14),2)</f>
        <v>0</v>
      </c>
      <c r="PD14" s="36">
        <f>COUNTIF(MD14:NS14,"x")</f>
        <v>0</v>
      </c>
      <c r="PE14" s="74"/>
    </row>
    <row r="15" spans="1:421" ht="15.75" customHeight="1" outlineLevel="1" x14ac:dyDescent="0.25">
      <c r="C15" s="106" t="s">
        <v>45</v>
      </c>
      <c r="D15" s="90" t="s">
        <v>88</v>
      </c>
      <c r="E15" s="53" t="s">
        <v>8</v>
      </c>
      <c r="F15" s="33">
        <v>1</v>
      </c>
      <c r="G15" s="33"/>
      <c r="H15" s="33"/>
      <c r="I15" s="33">
        <v>1</v>
      </c>
      <c r="J15" s="33"/>
      <c r="K15" s="33"/>
      <c r="L15" s="33"/>
      <c r="M15" s="33"/>
      <c r="N15" s="33"/>
      <c r="O15" s="33"/>
      <c r="P15" s="69"/>
      <c r="Q15" s="33"/>
      <c r="R15" s="33"/>
      <c r="S15" s="33"/>
      <c r="T15" s="33"/>
      <c r="U15" s="33"/>
      <c r="V15" s="33"/>
      <c r="W15" s="69"/>
      <c r="X15" s="33"/>
      <c r="Y15" s="33"/>
      <c r="Z15" s="33"/>
      <c r="AA15" s="33"/>
      <c r="AB15" s="33"/>
      <c r="AC15" s="33"/>
      <c r="AD15" s="33"/>
      <c r="AE15" s="33"/>
      <c r="AF15" s="33"/>
      <c r="AG15" s="33">
        <v>1</v>
      </c>
      <c r="AH15" s="33">
        <v>1</v>
      </c>
      <c r="AI15" s="33"/>
      <c r="AJ15" s="33"/>
      <c r="AK15" s="33">
        <v>1</v>
      </c>
      <c r="AL15" s="33">
        <v>1</v>
      </c>
      <c r="AM15" s="33">
        <v>1</v>
      </c>
      <c r="AN15" s="33">
        <v>1</v>
      </c>
      <c r="AO15" s="33">
        <v>1</v>
      </c>
      <c r="AP15" s="33"/>
      <c r="AQ15" s="33"/>
      <c r="AR15" s="33">
        <v>1</v>
      </c>
      <c r="AS15" s="33">
        <v>1</v>
      </c>
      <c r="AT15" s="33">
        <v>1</v>
      </c>
      <c r="AU15" s="33">
        <v>1</v>
      </c>
      <c r="AV15" s="33">
        <v>1</v>
      </c>
      <c r="AW15" s="33"/>
      <c r="AX15" s="33"/>
      <c r="AY15" s="33">
        <v>1</v>
      </c>
      <c r="AZ15" s="33">
        <v>1</v>
      </c>
      <c r="BA15" s="33">
        <v>1</v>
      </c>
      <c r="BB15" s="33">
        <v>1</v>
      </c>
      <c r="BC15" s="33">
        <v>1</v>
      </c>
      <c r="BD15" s="33"/>
      <c r="BE15" s="33"/>
      <c r="BF15" s="33">
        <v>1</v>
      </c>
      <c r="BG15" s="33">
        <v>1</v>
      </c>
      <c r="BH15" s="33">
        <v>1</v>
      </c>
      <c r="BI15" s="33">
        <v>1</v>
      </c>
      <c r="BJ15" s="33">
        <v>1</v>
      </c>
      <c r="BK15" s="33"/>
      <c r="BL15" s="33"/>
      <c r="BM15" s="33">
        <v>1</v>
      </c>
      <c r="BN15" s="33">
        <v>1</v>
      </c>
      <c r="BO15" s="33">
        <v>1</v>
      </c>
      <c r="BP15" s="33">
        <v>1</v>
      </c>
      <c r="BQ15" s="33">
        <v>1</v>
      </c>
      <c r="BR15" s="33"/>
      <c r="BS15" s="33"/>
      <c r="BT15" s="33">
        <v>1</v>
      </c>
      <c r="BU15" s="33">
        <v>1</v>
      </c>
      <c r="BV15" s="33">
        <v>1</v>
      </c>
      <c r="BW15" s="33">
        <v>1</v>
      </c>
      <c r="BX15" s="33">
        <v>1</v>
      </c>
      <c r="BY15" s="33"/>
      <c r="BZ15" s="33"/>
      <c r="CA15" s="33">
        <v>1</v>
      </c>
      <c r="CB15" s="33">
        <v>1</v>
      </c>
      <c r="CC15" s="33">
        <v>1</v>
      </c>
      <c r="CD15" s="33">
        <v>1</v>
      </c>
      <c r="CE15" s="33">
        <v>1</v>
      </c>
      <c r="CF15" s="33"/>
      <c r="CG15" s="33"/>
      <c r="CH15" s="33">
        <v>1</v>
      </c>
      <c r="CI15" s="33">
        <v>1</v>
      </c>
      <c r="CJ15" s="33">
        <v>1</v>
      </c>
      <c r="CK15" s="33">
        <v>1</v>
      </c>
      <c r="CL15" s="33">
        <v>1</v>
      </c>
      <c r="CM15" s="33"/>
      <c r="CN15" s="33"/>
      <c r="CO15" s="33">
        <v>1</v>
      </c>
      <c r="CP15" s="33">
        <v>1</v>
      </c>
      <c r="CQ15" s="33">
        <v>1</v>
      </c>
      <c r="CR15" s="33">
        <v>1</v>
      </c>
      <c r="CS15" s="33">
        <v>1</v>
      </c>
      <c r="CT15" s="33"/>
      <c r="CU15" s="33"/>
      <c r="CV15" s="33">
        <v>1</v>
      </c>
      <c r="CW15" s="33">
        <v>1</v>
      </c>
      <c r="CX15" s="33">
        <v>1</v>
      </c>
      <c r="CY15" s="33">
        <v>1</v>
      </c>
      <c r="CZ15" s="33">
        <v>1</v>
      </c>
      <c r="DA15" s="33"/>
      <c r="DB15" s="33"/>
      <c r="DC15" s="33">
        <v>1</v>
      </c>
      <c r="DD15" s="33">
        <v>1</v>
      </c>
      <c r="DE15" s="33">
        <v>1</v>
      </c>
      <c r="DF15" s="33">
        <v>1</v>
      </c>
      <c r="DG15" s="33">
        <v>1</v>
      </c>
      <c r="DH15" s="33"/>
      <c r="DI15" s="33"/>
      <c r="DJ15" s="33">
        <v>1</v>
      </c>
      <c r="DK15" s="33">
        <v>1</v>
      </c>
      <c r="DL15" s="33">
        <v>1</v>
      </c>
      <c r="DM15" s="33">
        <v>1</v>
      </c>
      <c r="DN15" s="33">
        <v>1</v>
      </c>
      <c r="DO15" s="33"/>
      <c r="DP15" s="33"/>
      <c r="DQ15" s="33">
        <v>1</v>
      </c>
      <c r="DR15" s="33">
        <v>1</v>
      </c>
      <c r="DS15" s="33">
        <v>1</v>
      </c>
      <c r="DT15" s="33">
        <v>1</v>
      </c>
      <c r="DU15" s="33">
        <v>1</v>
      </c>
      <c r="DV15" s="33"/>
      <c r="DW15" s="33"/>
      <c r="DX15" s="33">
        <v>1</v>
      </c>
      <c r="DY15" s="33">
        <v>1</v>
      </c>
      <c r="DZ15" s="33">
        <v>1</v>
      </c>
      <c r="EA15" s="33">
        <v>1</v>
      </c>
      <c r="EB15" s="33">
        <v>1</v>
      </c>
      <c r="EC15" s="33"/>
      <c r="ED15" s="33"/>
      <c r="EE15" s="33">
        <v>1</v>
      </c>
      <c r="EF15" s="33">
        <v>1</v>
      </c>
      <c r="EG15" s="33">
        <v>1</v>
      </c>
      <c r="EH15" s="33">
        <v>1</v>
      </c>
      <c r="EI15" s="33">
        <v>1</v>
      </c>
      <c r="EJ15" s="33"/>
      <c r="EK15" s="33"/>
      <c r="EL15" s="33">
        <v>1</v>
      </c>
      <c r="EM15" s="33">
        <v>1</v>
      </c>
      <c r="EN15" s="33">
        <v>1</v>
      </c>
      <c r="EO15" s="33">
        <v>1</v>
      </c>
      <c r="EP15" s="33">
        <v>1</v>
      </c>
      <c r="EQ15" s="33"/>
      <c r="ER15" s="33"/>
      <c r="ES15" s="33">
        <v>1</v>
      </c>
      <c r="ET15" s="33">
        <v>1</v>
      </c>
      <c r="EU15" s="33">
        <v>1</v>
      </c>
      <c r="EV15" s="33">
        <v>1</v>
      </c>
      <c r="EW15" s="33">
        <v>1</v>
      </c>
      <c r="EX15" s="33"/>
      <c r="EY15" s="33"/>
      <c r="EZ15" s="33">
        <v>1</v>
      </c>
      <c r="FA15" s="33">
        <v>1</v>
      </c>
      <c r="FB15" s="33">
        <v>1</v>
      </c>
      <c r="FC15" s="33">
        <v>1</v>
      </c>
      <c r="FD15" s="33">
        <v>1</v>
      </c>
      <c r="FE15" s="33"/>
      <c r="FF15" s="33"/>
      <c r="FG15" s="33">
        <v>1</v>
      </c>
      <c r="FH15" s="33">
        <v>1</v>
      </c>
      <c r="FI15" s="33">
        <v>1</v>
      </c>
      <c r="FJ15" s="33">
        <v>1</v>
      </c>
      <c r="FK15" s="33">
        <v>1</v>
      </c>
      <c r="FL15" s="33"/>
      <c r="FM15" s="33"/>
      <c r="FN15" s="33">
        <v>1</v>
      </c>
      <c r="FO15" s="33">
        <v>1</v>
      </c>
      <c r="FP15" s="33">
        <v>1</v>
      </c>
      <c r="FQ15" s="33">
        <v>1</v>
      </c>
      <c r="FR15" s="33">
        <v>1</v>
      </c>
      <c r="FS15" s="33"/>
      <c r="FT15" s="33"/>
      <c r="FU15" s="33">
        <v>1</v>
      </c>
      <c r="FV15" s="33">
        <v>1</v>
      </c>
      <c r="FW15" s="33">
        <v>1</v>
      </c>
      <c r="FX15" s="33">
        <v>1</v>
      </c>
      <c r="FY15" s="33">
        <v>1</v>
      </c>
      <c r="FZ15" s="33"/>
      <c r="GA15" s="33"/>
      <c r="GB15" s="33">
        <v>1</v>
      </c>
      <c r="GC15" s="33">
        <v>1</v>
      </c>
      <c r="GD15" s="33">
        <v>1</v>
      </c>
      <c r="GE15" s="33">
        <v>1</v>
      </c>
      <c r="GF15" s="33">
        <v>1</v>
      </c>
      <c r="GG15" s="33"/>
      <c r="GH15" s="33"/>
      <c r="GI15" s="33">
        <v>1</v>
      </c>
      <c r="GJ15" s="33">
        <v>1</v>
      </c>
      <c r="GK15" s="33">
        <v>1</v>
      </c>
      <c r="GL15" s="33">
        <v>1</v>
      </c>
      <c r="GM15" s="33">
        <v>1</v>
      </c>
      <c r="GN15" s="33"/>
      <c r="GO15" s="33"/>
      <c r="GP15" s="33">
        <v>1</v>
      </c>
      <c r="GQ15" s="33">
        <v>1</v>
      </c>
      <c r="GR15" s="33">
        <v>1</v>
      </c>
      <c r="GS15" s="33">
        <v>1</v>
      </c>
      <c r="GT15" s="33">
        <v>1</v>
      </c>
      <c r="GU15" s="33"/>
      <c r="GV15" s="33"/>
      <c r="GW15" s="33">
        <v>1</v>
      </c>
      <c r="GX15" s="33">
        <v>1</v>
      </c>
      <c r="GY15" s="33">
        <v>1</v>
      </c>
      <c r="GZ15" s="33">
        <v>1</v>
      </c>
      <c r="HA15" s="33">
        <v>1</v>
      </c>
      <c r="HB15" s="33"/>
      <c r="HC15" s="33"/>
      <c r="HD15" s="33">
        <v>1</v>
      </c>
      <c r="HE15" s="33">
        <v>1</v>
      </c>
      <c r="HF15" s="33">
        <v>1</v>
      </c>
      <c r="HG15" s="33">
        <v>1</v>
      </c>
      <c r="HH15" s="33">
        <v>1</v>
      </c>
      <c r="HI15" s="33"/>
      <c r="HJ15" s="33"/>
      <c r="HK15" s="33">
        <v>1</v>
      </c>
      <c r="HL15" s="33">
        <v>1</v>
      </c>
      <c r="HM15" s="33">
        <v>1</v>
      </c>
      <c r="HN15" s="33">
        <v>1</v>
      </c>
      <c r="HO15" s="33">
        <v>1</v>
      </c>
      <c r="HP15" s="33"/>
      <c r="HQ15" s="33"/>
      <c r="HR15" s="33">
        <v>1</v>
      </c>
      <c r="HS15" s="33">
        <v>1</v>
      </c>
      <c r="HT15" s="33">
        <v>1</v>
      </c>
      <c r="HU15" s="33">
        <v>1</v>
      </c>
      <c r="HV15" s="33">
        <v>1</v>
      </c>
      <c r="HW15" s="33"/>
      <c r="HX15" s="33"/>
      <c r="HY15" s="33">
        <v>1</v>
      </c>
      <c r="HZ15" s="33">
        <v>1</v>
      </c>
      <c r="IA15" s="33">
        <v>1</v>
      </c>
      <c r="IB15" s="33">
        <v>1</v>
      </c>
      <c r="IC15" s="33">
        <v>1</v>
      </c>
      <c r="ID15" s="33"/>
      <c r="IE15" s="33"/>
      <c r="IF15" s="33">
        <v>1</v>
      </c>
      <c r="IG15" s="33">
        <v>1</v>
      </c>
      <c r="IH15" s="33">
        <v>1</v>
      </c>
      <c r="II15" s="33">
        <v>1</v>
      </c>
      <c r="IJ15" s="33">
        <v>1</v>
      </c>
      <c r="IK15" s="33"/>
      <c r="IL15" s="33"/>
      <c r="IM15" s="33">
        <v>1</v>
      </c>
      <c r="IN15" s="33">
        <v>1</v>
      </c>
      <c r="IO15" s="33">
        <v>1</v>
      </c>
      <c r="IP15" s="33">
        <v>1</v>
      </c>
      <c r="IQ15" s="33">
        <v>1</v>
      </c>
      <c r="IR15" s="33"/>
      <c r="IS15" s="33"/>
      <c r="IT15" s="33">
        <v>1</v>
      </c>
      <c r="IU15" s="33">
        <v>1</v>
      </c>
      <c r="IV15" s="33">
        <v>1</v>
      </c>
      <c r="IW15" s="33">
        <v>1</v>
      </c>
      <c r="IX15" s="33">
        <v>1</v>
      </c>
      <c r="IY15" s="33"/>
      <c r="IZ15" s="33"/>
      <c r="JA15" s="33">
        <v>1</v>
      </c>
      <c r="JB15" s="33">
        <v>1</v>
      </c>
      <c r="JC15" s="33">
        <v>1</v>
      </c>
      <c r="JD15" s="33">
        <v>1</v>
      </c>
      <c r="JE15" s="33">
        <v>1</v>
      </c>
      <c r="JF15" s="33"/>
      <c r="JG15" s="33"/>
      <c r="JH15" s="33">
        <v>1</v>
      </c>
      <c r="JI15" s="33">
        <v>1</v>
      </c>
      <c r="JJ15" s="33">
        <v>1</v>
      </c>
      <c r="JK15" s="33">
        <v>1</v>
      </c>
      <c r="JL15" s="33">
        <v>1</v>
      </c>
      <c r="JM15" s="33"/>
      <c r="JN15" s="33"/>
      <c r="JO15" s="33">
        <v>1</v>
      </c>
      <c r="JP15" s="33">
        <v>1</v>
      </c>
      <c r="JQ15" s="33">
        <v>1</v>
      </c>
      <c r="JR15" s="33">
        <v>1</v>
      </c>
      <c r="JS15" s="33">
        <v>1</v>
      </c>
      <c r="JT15" s="33"/>
      <c r="JU15" s="33"/>
      <c r="JV15" s="33">
        <v>1</v>
      </c>
      <c r="JW15" s="33">
        <v>1</v>
      </c>
      <c r="JX15" s="33">
        <v>1</v>
      </c>
      <c r="JY15" s="33">
        <v>1</v>
      </c>
      <c r="JZ15" s="33">
        <v>1</v>
      </c>
      <c r="KA15" s="33"/>
      <c r="KB15" s="33"/>
      <c r="KC15" s="33">
        <v>1</v>
      </c>
      <c r="KD15" s="33">
        <v>1</v>
      </c>
      <c r="KE15" s="33">
        <v>1</v>
      </c>
      <c r="KF15" s="33">
        <v>1</v>
      </c>
      <c r="KG15" s="33">
        <v>1</v>
      </c>
      <c r="KH15" s="33"/>
      <c r="KI15" s="33"/>
      <c r="KJ15" s="33">
        <v>1</v>
      </c>
      <c r="KK15" s="33">
        <v>1</v>
      </c>
      <c r="KL15" s="33">
        <v>1</v>
      </c>
      <c r="KM15" s="33">
        <v>1</v>
      </c>
      <c r="KN15" s="33">
        <v>1</v>
      </c>
      <c r="KO15" s="33"/>
      <c r="KP15" s="33"/>
      <c r="KQ15" s="33">
        <v>1</v>
      </c>
      <c r="KR15" s="33">
        <v>1</v>
      </c>
      <c r="KS15" s="33">
        <v>1</v>
      </c>
      <c r="KT15" s="33">
        <v>1</v>
      </c>
      <c r="KU15" s="33">
        <v>1</v>
      </c>
      <c r="KV15" s="33"/>
      <c r="KW15" s="33"/>
      <c r="KX15" s="33">
        <v>1</v>
      </c>
      <c r="KY15" s="33">
        <v>1</v>
      </c>
      <c r="KZ15" s="33">
        <v>1</v>
      </c>
      <c r="LA15" s="33">
        <v>1</v>
      </c>
      <c r="LB15" s="33">
        <v>1</v>
      </c>
      <c r="LC15" s="33"/>
      <c r="LD15" s="33"/>
      <c r="LE15" s="33">
        <v>1</v>
      </c>
      <c r="LF15" s="33">
        <v>1</v>
      </c>
      <c r="LG15" s="33">
        <v>1</v>
      </c>
      <c r="LH15" s="33">
        <v>1</v>
      </c>
      <c r="LI15" s="33">
        <v>1</v>
      </c>
      <c r="LJ15" s="33"/>
      <c r="LK15" s="33"/>
      <c r="LL15" s="33">
        <v>1</v>
      </c>
      <c r="LM15" s="33">
        <v>1</v>
      </c>
      <c r="LN15" s="33">
        <v>1</v>
      </c>
      <c r="LO15" s="33">
        <v>1</v>
      </c>
      <c r="LP15" s="33">
        <v>1</v>
      </c>
      <c r="LQ15" s="33"/>
      <c r="LR15" s="33"/>
      <c r="LS15" s="33">
        <v>1</v>
      </c>
      <c r="LT15" s="33">
        <v>1</v>
      </c>
      <c r="LU15" s="33">
        <v>1</v>
      </c>
      <c r="LV15" s="33">
        <v>1</v>
      </c>
      <c r="LW15" s="33">
        <v>1</v>
      </c>
      <c r="LX15" s="33"/>
      <c r="LY15" s="33"/>
      <c r="LZ15" s="33">
        <v>1</v>
      </c>
      <c r="MA15" s="33">
        <v>1</v>
      </c>
      <c r="MB15" s="33">
        <v>1</v>
      </c>
      <c r="MC15" s="33">
        <v>1</v>
      </c>
      <c r="MD15" s="33">
        <v>1</v>
      </c>
      <c r="ME15" s="33"/>
      <c r="MF15" s="33"/>
      <c r="MG15" s="33">
        <v>1</v>
      </c>
      <c r="MH15" s="33">
        <v>1</v>
      </c>
      <c r="MI15" s="33">
        <v>1</v>
      </c>
      <c r="MJ15" s="33">
        <v>1</v>
      </c>
      <c r="MK15" s="33">
        <v>1</v>
      </c>
      <c r="ML15" s="33"/>
      <c r="MM15" s="33"/>
      <c r="MN15" s="33">
        <v>1</v>
      </c>
      <c r="MO15" s="33">
        <v>1</v>
      </c>
      <c r="MP15" s="33">
        <v>1</v>
      </c>
      <c r="MQ15" s="33">
        <v>1</v>
      </c>
      <c r="MR15" s="33">
        <v>1</v>
      </c>
      <c r="MS15" s="33"/>
      <c r="MT15" s="33"/>
      <c r="MU15" s="33">
        <v>1</v>
      </c>
      <c r="MV15" s="33">
        <v>1</v>
      </c>
      <c r="MW15" s="33">
        <v>1</v>
      </c>
      <c r="MX15" s="33">
        <v>1</v>
      </c>
      <c r="MY15" s="33">
        <v>1</v>
      </c>
      <c r="MZ15" s="33"/>
      <c r="NA15" s="33"/>
      <c r="NB15" s="33">
        <v>1</v>
      </c>
      <c r="NC15" s="33">
        <v>1</v>
      </c>
      <c r="ND15" s="33">
        <v>1</v>
      </c>
      <c r="NE15" s="33">
        <v>1</v>
      </c>
      <c r="NF15" s="33">
        <v>1</v>
      </c>
      <c r="NG15" s="33"/>
      <c r="NH15" s="33"/>
      <c r="NI15" s="33">
        <v>1</v>
      </c>
      <c r="NJ15" s="33">
        <v>1</v>
      </c>
      <c r="NK15" s="33">
        <v>1</v>
      </c>
      <c r="NL15" s="33">
        <v>1</v>
      </c>
      <c r="NM15" s="33">
        <v>1</v>
      </c>
      <c r="NN15" s="33"/>
      <c r="NO15" s="33"/>
      <c r="NP15" s="33">
        <v>1</v>
      </c>
      <c r="NQ15" s="33">
        <v>1</v>
      </c>
      <c r="NR15" s="33">
        <v>1</v>
      </c>
      <c r="NS15" s="33">
        <v>1</v>
      </c>
      <c r="NT15" s="31">
        <f>COUNTIF(F15:NS15,"1")</f>
        <v>253</v>
      </c>
      <c r="NU15" s="80">
        <f>NT16/NT15</f>
        <v>5.1383399209486168E-2</v>
      </c>
      <c r="NV15" s="29" t="str">
        <f>+IF(NX15&gt;=1,"1",0)</f>
        <v>1</v>
      </c>
      <c r="NW15" s="38">
        <f t="shared" ref="NW15:NW62" si="18">MOD(ROW(NW15),2)</f>
        <v>1</v>
      </c>
      <c r="NX15" s="35">
        <f>COUNTIF(F15:AU15,"1")</f>
        <v>13</v>
      </c>
      <c r="NY15" s="80">
        <f>NX16/NX15</f>
        <v>1</v>
      </c>
      <c r="NZ15" s="29" t="str">
        <f>+IF(OB15&gt;=1,"1",0)</f>
        <v>1</v>
      </c>
      <c r="OA15" s="38">
        <f t="shared" ref="OA15:OA62" si="19">MOD(ROW(OA15),2)</f>
        <v>1</v>
      </c>
      <c r="OB15" s="35">
        <f>COUNTIF(AV15:CK15,"1")</f>
        <v>30</v>
      </c>
      <c r="OC15" s="80">
        <f>OB16/OB15</f>
        <v>0</v>
      </c>
      <c r="OD15" s="29" t="str">
        <f>+IF(OF15&gt;=1,"1",0)</f>
        <v>1</v>
      </c>
      <c r="OE15" s="38">
        <f t="shared" ref="OE15:OE62" si="20">MOD(ROW(OE15),2)</f>
        <v>1</v>
      </c>
      <c r="OF15" s="35">
        <f>COUNTIF(CL15:EA15,"1")</f>
        <v>30</v>
      </c>
      <c r="OG15" s="80">
        <f>OF16/OF15</f>
        <v>0</v>
      </c>
      <c r="OH15" s="29" t="str">
        <f>+IF(OJ15&gt;=1,"1",0)</f>
        <v>1</v>
      </c>
      <c r="OI15" s="38">
        <f t="shared" ref="OI15:OI62" si="21">MOD(ROW(OI15),2)</f>
        <v>1</v>
      </c>
      <c r="OJ15" s="35">
        <f>COUNTIF(EB15:FQ15,"1")</f>
        <v>30</v>
      </c>
      <c r="OK15" s="79">
        <f>OJ16/OJ15</f>
        <v>0</v>
      </c>
      <c r="OL15" s="29" t="str">
        <f>+IF(ON15&gt;=1,"1",0)</f>
        <v>1</v>
      </c>
      <c r="OM15" s="38">
        <f t="shared" ref="OM15:OM62" si="22">MOD(ROW(OM15),2)</f>
        <v>1</v>
      </c>
      <c r="ON15" s="35">
        <f>COUNTIF(FR15:HG15,"1")</f>
        <v>30</v>
      </c>
      <c r="OO15" s="79">
        <f>ON16/ON15</f>
        <v>0</v>
      </c>
      <c r="OP15" s="29" t="str">
        <f>+IF(OR15&gt;=1,"1",0)</f>
        <v>1</v>
      </c>
      <c r="OQ15" s="38">
        <f t="shared" ref="OQ15:OQ62" si="23">MOD(ROW(OQ15),2)</f>
        <v>1</v>
      </c>
      <c r="OR15" s="35">
        <f>COUNTIF(HH15:IW15,"1")</f>
        <v>30</v>
      </c>
      <c r="OS15" s="79">
        <f>OR16/OR15</f>
        <v>0</v>
      </c>
      <c r="OT15" s="29" t="str">
        <f>+IF(OV15&gt;=1,"1",0)</f>
        <v>1</v>
      </c>
      <c r="OU15" s="38">
        <f t="shared" ref="OU15:OU62" si="24">MOD(ROW(OU15),2)</f>
        <v>1</v>
      </c>
      <c r="OV15" s="35">
        <f>COUNTIF(IX15:KM15,"1")</f>
        <v>30</v>
      </c>
      <c r="OW15" s="79">
        <f>OV16/OV15</f>
        <v>0</v>
      </c>
      <c r="OX15" s="29" t="str">
        <f>+IF(OZ15&gt;=1,"1",0)</f>
        <v>1</v>
      </c>
      <c r="OY15" s="38">
        <f t="shared" ref="OY15:OY62" si="25">MOD(ROW(OY15),2)</f>
        <v>1</v>
      </c>
      <c r="OZ15" s="35">
        <f>COUNTIF(KN15:MC15,"1")</f>
        <v>30</v>
      </c>
      <c r="PA15" s="79">
        <f>OZ16/OZ15</f>
        <v>0</v>
      </c>
      <c r="PB15" s="29" t="str">
        <f>+IF(PD15&gt;=1,"1",0)</f>
        <v>1</v>
      </c>
      <c r="PC15" s="38">
        <f t="shared" ref="PC15:PC62" si="26">MOD(ROW(PC15),2)</f>
        <v>1</v>
      </c>
      <c r="PD15" s="35">
        <f>COUNTIF(MD15:NS15,"1")</f>
        <v>30</v>
      </c>
      <c r="PE15" s="79">
        <f>PD16/PD15</f>
        <v>0</v>
      </c>
    </row>
    <row r="16" spans="1:421" ht="15.75" customHeight="1" outlineLevel="1" thickBot="1" x14ac:dyDescent="0.3">
      <c r="C16" s="107"/>
      <c r="D16" s="91"/>
      <c r="E16" s="54" t="s">
        <v>9</v>
      </c>
      <c r="F16" s="34" t="s">
        <v>75</v>
      </c>
      <c r="G16" s="34"/>
      <c r="H16" s="34"/>
      <c r="I16" s="34" t="s">
        <v>75</v>
      </c>
      <c r="J16" s="34"/>
      <c r="K16" s="34"/>
      <c r="L16" s="34"/>
      <c r="M16" s="34"/>
      <c r="N16" s="34"/>
      <c r="O16" s="34"/>
      <c r="P16" s="70"/>
      <c r="Q16" s="34"/>
      <c r="R16" s="34"/>
      <c r="S16" s="34"/>
      <c r="T16" s="34"/>
      <c r="U16" s="34"/>
      <c r="V16" s="34"/>
      <c r="W16" s="70"/>
      <c r="X16" s="34"/>
      <c r="Y16" s="34"/>
      <c r="Z16" s="34"/>
      <c r="AA16" s="34"/>
      <c r="AB16" s="34"/>
      <c r="AC16" s="34"/>
      <c r="AD16" s="34"/>
      <c r="AE16" s="34"/>
      <c r="AF16" s="34"/>
      <c r="AG16" s="34" t="s">
        <v>75</v>
      </c>
      <c r="AH16" s="34" t="s">
        <v>75</v>
      </c>
      <c r="AI16" s="34"/>
      <c r="AJ16" s="34"/>
      <c r="AK16" s="34" t="s">
        <v>75</v>
      </c>
      <c r="AL16" s="34" t="s">
        <v>75</v>
      </c>
      <c r="AM16" s="34" t="s">
        <v>75</v>
      </c>
      <c r="AN16" s="34" t="s">
        <v>75</v>
      </c>
      <c r="AO16" s="34" t="s">
        <v>75</v>
      </c>
      <c r="AP16" s="34"/>
      <c r="AQ16" s="34"/>
      <c r="AR16" s="34" t="s">
        <v>116</v>
      </c>
      <c r="AS16" s="34" t="s">
        <v>116</v>
      </c>
      <c r="AT16" s="34" t="s">
        <v>116</v>
      </c>
      <c r="AU16" s="34" t="s">
        <v>116</v>
      </c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7">
        <f>COUNTIF(F16:NS16,"x")</f>
        <v>13</v>
      </c>
      <c r="NU16" s="81"/>
      <c r="NV16" s="32">
        <f>IF(NX16=0,"0",NX16/NX15)</f>
        <v>1</v>
      </c>
      <c r="NW16" s="37">
        <f t="shared" si="18"/>
        <v>0</v>
      </c>
      <c r="NX16" s="36">
        <f>COUNTIF(F16:AU16,"x")</f>
        <v>13</v>
      </c>
      <c r="NY16" s="81"/>
      <c r="NZ16" s="32" t="str">
        <f>IF(OB16=0,"0",OB16/OB15)</f>
        <v>0</v>
      </c>
      <c r="OA16" s="37">
        <f t="shared" si="19"/>
        <v>0</v>
      </c>
      <c r="OB16" s="36">
        <f>COUNTIF(AV16:CK16,"x")</f>
        <v>0</v>
      </c>
      <c r="OC16" s="81"/>
      <c r="OD16" s="32" t="str">
        <f>IF(OF16=0,"0",OF16/OF15)</f>
        <v>0</v>
      </c>
      <c r="OE16" s="37">
        <f t="shared" si="20"/>
        <v>0</v>
      </c>
      <c r="OF16" s="36">
        <f>COUNTIF(CL16:EA16,"x")</f>
        <v>0</v>
      </c>
      <c r="OG16" s="81"/>
      <c r="OH16" s="32" t="str">
        <f>IF(OJ16=0,"0",OJ16/OJ15)</f>
        <v>0</v>
      </c>
      <c r="OI16" s="37">
        <f t="shared" si="21"/>
        <v>0</v>
      </c>
      <c r="OJ16" s="36">
        <f>COUNTIF(EB16:FQ16,"x")</f>
        <v>0</v>
      </c>
      <c r="OK16" s="74"/>
      <c r="OL16" s="32" t="str">
        <f>IF(ON16=0,"0",ON16/ON15)</f>
        <v>0</v>
      </c>
      <c r="OM16" s="37">
        <f t="shared" si="22"/>
        <v>0</v>
      </c>
      <c r="ON16" s="36">
        <f>COUNTIF(FR16:HG16,"x")</f>
        <v>0</v>
      </c>
      <c r="OO16" s="74"/>
      <c r="OP16" s="32" t="str">
        <f>IF(OR16=0,"0",OR16/OR15)</f>
        <v>0</v>
      </c>
      <c r="OQ16" s="37">
        <f t="shared" si="23"/>
        <v>0</v>
      </c>
      <c r="OR16" s="36">
        <f>COUNTIF(HH16:IW16,"x")</f>
        <v>0</v>
      </c>
      <c r="OS16" s="74"/>
      <c r="OT16" s="32" t="str">
        <f>IF(OV16=0,"0",OV16/OV15)</f>
        <v>0</v>
      </c>
      <c r="OU16" s="37">
        <f t="shared" si="24"/>
        <v>0</v>
      </c>
      <c r="OV16" s="36">
        <f>COUNTIF(IX16:KM16,"x")</f>
        <v>0</v>
      </c>
      <c r="OW16" s="74"/>
      <c r="OX16" s="32" t="str">
        <f>IF(OZ16=0,"0",OZ16/OZ15)</f>
        <v>0</v>
      </c>
      <c r="OY16" s="37">
        <f t="shared" si="25"/>
        <v>0</v>
      </c>
      <c r="OZ16" s="36">
        <f>COUNTIF(KN16:MC16,"x")</f>
        <v>0</v>
      </c>
      <c r="PA16" s="74"/>
      <c r="PB16" s="32" t="str">
        <f>IF(PD16=0,"0",PD16/PD15)</f>
        <v>0</v>
      </c>
      <c r="PC16" s="37">
        <f t="shared" si="26"/>
        <v>0</v>
      </c>
      <c r="PD16" s="36">
        <f>COUNTIF(MD16:NS16,"x")</f>
        <v>0</v>
      </c>
      <c r="PE16" s="74"/>
    </row>
    <row r="17" spans="3:421" ht="15.75" customHeight="1" outlineLevel="1" x14ac:dyDescent="0.25">
      <c r="C17" s="88" t="s">
        <v>87</v>
      </c>
      <c r="D17" s="90" t="s">
        <v>88</v>
      </c>
      <c r="E17" s="53" t="s">
        <v>8</v>
      </c>
      <c r="F17" s="33">
        <v>1</v>
      </c>
      <c r="G17" s="33"/>
      <c r="H17" s="33"/>
      <c r="I17" s="33" t="s">
        <v>120</v>
      </c>
      <c r="J17" s="33" t="s">
        <v>74</v>
      </c>
      <c r="K17" s="33" t="s">
        <v>74</v>
      </c>
      <c r="L17" s="33" t="s">
        <v>74</v>
      </c>
      <c r="M17" s="33" t="s">
        <v>74</v>
      </c>
      <c r="N17" s="33"/>
      <c r="O17" s="33"/>
      <c r="P17" s="69"/>
      <c r="Q17" s="33"/>
      <c r="R17" s="33"/>
      <c r="S17" s="33"/>
      <c r="T17" s="33"/>
      <c r="U17" s="33"/>
      <c r="V17" s="33"/>
      <c r="W17" s="69"/>
      <c r="X17" s="33"/>
      <c r="Y17" s="33"/>
      <c r="Z17" s="33"/>
      <c r="AA17" s="33"/>
      <c r="AB17" s="33"/>
      <c r="AC17" s="33"/>
      <c r="AD17" s="33">
        <v>1</v>
      </c>
      <c r="AE17" s="33">
        <v>1</v>
      </c>
      <c r="AF17" s="33">
        <v>1</v>
      </c>
      <c r="AG17" s="33">
        <v>1</v>
      </c>
      <c r="AH17" s="33">
        <v>1</v>
      </c>
      <c r="AI17" s="33"/>
      <c r="AJ17" s="33"/>
      <c r="AK17" s="33">
        <v>1</v>
      </c>
      <c r="AL17" s="33">
        <v>1</v>
      </c>
      <c r="AM17" s="33">
        <v>1</v>
      </c>
      <c r="AN17" s="33">
        <v>1</v>
      </c>
      <c r="AO17" s="33">
        <v>1</v>
      </c>
      <c r="AP17" s="33"/>
      <c r="AQ17" s="33"/>
      <c r="AR17" s="33">
        <v>1</v>
      </c>
      <c r="AS17" s="33">
        <v>1</v>
      </c>
      <c r="AT17" s="33">
        <v>1</v>
      </c>
      <c r="AU17" s="33">
        <v>1</v>
      </c>
      <c r="AV17" s="33">
        <v>1</v>
      </c>
      <c r="AW17" s="33"/>
      <c r="AX17" s="33"/>
      <c r="AY17" s="33">
        <v>1</v>
      </c>
      <c r="AZ17" s="33">
        <v>1</v>
      </c>
      <c r="BA17" s="33">
        <v>1</v>
      </c>
      <c r="BB17" s="33">
        <v>1</v>
      </c>
      <c r="BC17" s="33">
        <v>1</v>
      </c>
      <c r="BD17" s="33"/>
      <c r="BE17" s="33"/>
      <c r="BF17" s="33">
        <v>1</v>
      </c>
      <c r="BG17" s="33">
        <v>1</v>
      </c>
      <c r="BH17" s="33">
        <v>1</v>
      </c>
      <c r="BI17" s="33">
        <v>1</v>
      </c>
      <c r="BJ17" s="33">
        <v>1</v>
      </c>
      <c r="BK17" s="33"/>
      <c r="BL17" s="33"/>
      <c r="BM17" s="33">
        <v>1</v>
      </c>
      <c r="BN17" s="33">
        <v>1</v>
      </c>
      <c r="BO17" s="33">
        <v>1</v>
      </c>
      <c r="BP17" s="33">
        <v>1</v>
      </c>
      <c r="BQ17" s="33">
        <v>1</v>
      </c>
      <c r="BR17" s="33"/>
      <c r="BS17" s="33"/>
      <c r="BT17" s="33">
        <v>1</v>
      </c>
      <c r="BU17" s="33">
        <v>1</v>
      </c>
      <c r="BV17" s="33">
        <v>1</v>
      </c>
      <c r="BW17" s="33">
        <v>1</v>
      </c>
      <c r="BX17" s="33">
        <v>1</v>
      </c>
      <c r="BY17" s="33"/>
      <c r="BZ17" s="33"/>
      <c r="CA17" s="33">
        <v>1</v>
      </c>
      <c r="CB17" s="33">
        <v>1</v>
      </c>
      <c r="CC17" s="33">
        <v>1</v>
      </c>
      <c r="CD17" s="33">
        <v>1</v>
      </c>
      <c r="CE17" s="33">
        <v>1</v>
      </c>
      <c r="CF17" s="33"/>
      <c r="CG17" s="33"/>
      <c r="CH17" s="33">
        <v>1</v>
      </c>
      <c r="CI17" s="33">
        <v>1</v>
      </c>
      <c r="CJ17" s="33">
        <v>1</v>
      </c>
      <c r="CK17" s="33">
        <v>1</v>
      </c>
      <c r="CL17" s="33">
        <v>1</v>
      </c>
      <c r="CM17" s="33"/>
      <c r="CN17" s="33"/>
      <c r="CO17" s="33">
        <v>1</v>
      </c>
      <c r="CP17" s="33">
        <v>1</v>
      </c>
      <c r="CQ17" s="33">
        <v>1</v>
      </c>
      <c r="CR17" s="33">
        <v>1</v>
      </c>
      <c r="CS17" s="33">
        <v>1</v>
      </c>
      <c r="CT17" s="33"/>
      <c r="CU17" s="33"/>
      <c r="CV17" s="33">
        <v>1</v>
      </c>
      <c r="CW17" s="33">
        <v>1</v>
      </c>
      <c r="CX17" s="33">
        <v>1</v>
      </c>
      <c r="CY17" s="33">
        <v>1</v>
      </c>
      <c r="CZ17" s="33">
        <v>1</v>
      </c>
      <c r="DA17" s="33"/>
      <c r="DB17" s="33"/>
      <c r="DC17" s="33">
        <v>1</v>
      </c>
      <c r="DD17" s="33">
        <v>1</v>
      </c>
      <c r="DE17" s="33">
        <v>1</v>
      </c>
      <c r="DF17" s="33">
        <v>1</v>
      </c>
      <c r="DG17" s="33">
        <v>1</v>
      </c>
      <c r="DH17" s="33"/>
      <c r="DI17" s="33"/>
      <c r="DJ17" s="33">
        <v>1</v>
      </c>
      <c r="DK17" s="33">
        <v>1</v>
      </c>
      <c r="DL17" s="33">
        <v>1</v>
      </c>
      <c r="DM17" s="33">
        <v>1</v>
      </c>
      <c r="DN17" s="33">
        <v>1</v>
      </c>
      <c r="DO17" s="33"/>
      <c r="DP17" s="33"/>
      <c r="DQ17" s="33">
        <v>1</v>
      </c>
      <c r="DR17" s="33">
        <v>1</v>
      </c>
      <c r="DS17" s="33">
        <v>1</v>
      </c>
      <c r="DT17" s="33">
        <v>1</v>
      </c>
      <c r="DU17" s="33">
        <v>1</v>
      </c>
      <c r="DV17" s="33"/>
      <c r="DW17" s="33"/>
      <c r="DX17" s="33">
        <v>1</v>
      </c>
      <c r="DY17" s="33">
        <v>1</v>
      </c>
      <c r="DZ17" s="33">
        <v>1</v>
      </c>
      <c r="EA17" s="33">
        <v>1</v>
      </c>
      <c r="EB17" s="33">
        <v>1</v>
      </c>
      <c r="EC17" s="33"/>
      <c r="ED17" s="33"/>
      <c r="EE17" s="33">
        <v>1</v>
      </c>
      <c r="EF17" s="33">
        <v>1</v>
      </c>
      <c r="EG17" s="33">
        <v>1</v>
      </c>
      <c r="EH17" s="33">
        <v>1</v>
      </c>
      <c r="EI17" s="33">
        <v>1</v>
      </c>
      <c r="EJ17" s="33"/>
      <c r="EK17" s="33"/>
      <c r="EL17" s="33">
        <v>1</v>
      </c>
      <c r="EM17" s="33">
        <v>1</v>
      </c>
      <c r="EN17" s="33">
        <v>1</v>
      </c>
      <c r="EO17" s="33">
        <v>1</v>
      </c>
      <c r="EP17" s="33">
        <v>1</v>
      </c>
      <c r="EQ17" s="33"/>
      <c r="ER17" s="33"/>
      <c r="ES17" s="33">
        <v>1</v>
      </c>
      <c r="ET17" s="33">
        <v>1</v>
      </c>
      <c r="EU17" s="33">
        <v>1</v>
      </c>
      <c r="EV17" s="33">
        <v>1</v>
      </c>
      <c r="EW17" s="33">
        <v>1</v>
      </c>
      <c r="EX17" s="33"/>
      <c r="EY17" s="33"/>
      <c r="EZ17" s="33">
        <v>1</v>
      </c>
      <c r="FA17" s="33">
        <v>1</v>
      </c>
      <c r="FB17" s="33">
        <v>1</v>
      </c>
      <c r="FC17" s="33">
        <v>1</v>
      </c>
      <c r="FD17" s="33">
        <v>1</v>
      </c>
      <c r="FE17" s="33"/>
      <c r="FF17" s="33"/>
      <c r="FG17" s="33">
        <v>1</v>
      </c>
      <c r="FH17" s="33">
        <v>1</v>
      </c>
      <c r="FI17" s="33">
        <v>1</v>
      </c>
      <c r="FJ17" s="33">
        <v>1</v>
      </c>
      <c r="FK17" s="33">
        <v>1</v>
      </c>
      <c r="FL17" s="33"/>
      <c r="FM17" s="33"/>
      <c r="FN17" s="33">
        <v>1</v>
      </c>
      <c r="FO17" s="33">
        <v>1</v>
      </c>
      <c r="FP17" s="33">
        <v>1</v>
      </c>
      <c r="FQ17" s="33">
        <v>1</v>
      </c>
      <c r="FR17" s="33">
        <v>1</v>
      </c>
      <c r="FS17" s="33"/>
      <c r="FT17" s="33"/>
      <c r="FU17" s="33">
        <v>1</v>
      </c>
      <c r="FV17" s="33">
        <v>1</v>
      </c>
      <c r="FW17" s="33">
        <v>1</v>
      </c>
      <c r="FX17" s="33">
        <v>1</v>
      </c>
      <c r="FY17" s="33">
        <v>1</v>
      </c>
      <c r="FZ17" s="33"/>
      <c r="GA17" s="33"/>
      <c r="GB17" s="33">
        <v>1</v>
      </c>
      <c r="GC17" s="33">
        <v>1</v>
      </c>
      <c r="GD17" s="33">
        <v>1</v>
      </c>
      <c r="GE17" s="33">
        <v>1</v>
      </c>
      <c r="GF17" s="33">
        <v>1</v>
      </c>
      <c r="GG17" s="33"/>
      <c r="GH17" s="33"/>
      <c r="GI17" s="33">
        <v>1</v>
      </c>
      <c r="GJ17" s="33">
        <v>1</v>
      </c>
      <c r="GK17" s="33">
        <v>1</v>
      </c>
      <c r="GL17" s="33">
        <v>1</v>
      </c>
      <c r="GM17" s="33">
        <v>1</v>
      </c>
      <c r="GN17" s="33"/>
      <c r="GO17" s="33"/>
      <c r="GP17" s="33">
        <v>1</v>
      </c>
      <c r="GQ17" s="33">
        <v>1</v>
      </c>
      <c r="GR17" s="33">
        <v>1</v>
      </c>
      <c r="GS17" s="33">
        <v>1</v>
      </c>
      <c r="GT17" s="33">
        <v>1</v>
      </c>
      <c r="GU17" s="33"/>
      <c r="GV17" s="33"/>
      <c r="GW17" s="33">
        <v>1</v>
      </c>
      <c r="GX17" s="33">
        <v>1</v>
      </c>
      <c r="GY17" s="33">
        <v>1</v>
      </c>
      <c r="GZ17" s="33">
        <v>1</v>
      </c>
      <c r="HA17" s="33">
        <v>1</v>
      </c>
      <c r="HB17" s="33"/>
      <c r="HC17" s="33"/>
      <c r="HD17" s="33">
        <v>1</v>
      </c>
      <c r="HE17" s="33">
        <v>1</v>
      </c>
      <c r="HF17" s="33">
        <v>1</v>
      </c>
      <c r="HG17" s="33">
        <v>1</v>
      </c>
      <c r="HH17" s="33">
        <v>1</v>
      </c>
      <c r="HI17" s="33"/>
      <c r="HJ17" s="33"/>
      <c r="HK17" s="33">
        <v>1</v>
      </c>
      <c r="HL17" s="33">
        <v>1</v>
      </c>
      <c r="HM17" s="33">
        <v>1</v>
      </c>
      <c r="HN17" s="33">
        <v>1</v>
      </c>
      <c r="HO17" s="33">
        <v>1</v>
      </c>
      <c r="HP17" s="33"/>
      <c r="HQ17" s="33"/>
      <c r="HR17" s="33">
        <v>1</v>
      </c>
      <c r="HS17" s="33">
        <v>1</v>
      </c>
      <c r="HT17" s="33">
        <v>1</v>
      </c>
      <c r="HU17" s="33">
        <v>1</v>
      </c>
      <c r="HV17" s="33">
        <v>1</v>
      </c>
      <c r="HW17" s="33"/>
      <c r="HX17" s="33"/>
      <c r="HY17" s="33">
        <v>1</v>
      </c>
      <c r="HZ17" s="33">
        <v>1</v>
      </c>
      <c r="IA17" s="33">
        <v>1</v>
      </c>
      <c r="IB17" s="33">
        <v>1</v>
      </c>
      <c r="IC17" s="33">
        <v>1</v>
      </c>
      <c r="ID17" s="33"/>
      <c r="IE17" s="33"/>
      <c r="IF17" s="33">
        <v>1</v>
      </c>
      <c r="IG17" s="33">
        <v>1</v>
      </c>
      <c r="IH17" s="33">
        <v>1</v>
      </c>
      <c r="II17" s="33">
        <v>1</v>
      </c>
      <c r="IJ17" s="33">
        <v>1</v>
      </c>
      <c r="IK17" s="33"/>
      <c r="IL17" s="33"/>
      <c r="IM17" s="33">
        <v>1</v>
      </c>
      <c r="IN17" s="33">
        <v>1</v>
      </c>
      <c r="IO17" s="33">
        <v>1</v>
      </c>
      <c r="IP17" s="33">
        <v>1</v>
      </c>
      <c r="IQ17" s="33">
        <v>1</v>
      </c>
      <c r="IR17" s="33"/>
      <c r="IS17" s="33"/>
      <c r="IT17" s="33">
        <v>1</v>
      </c>
      <c r="IU17" s="33">
        <v>1</v>
      </c>
      <c r="IV17" s="33">
        <v>1</v>
      </c>
      <c r="IW17" s="33">
        <v>1</v>
      </c>
      <c r="IX17" s="33">
        <v>1</v>
      </c>
      <c r="IY17" s="33"/>
      <c r="IZ17" s="33"/>
      <c r="JA17" s="33">
        <v>1</v>
      </c>
      <c r="JB17" s="33">
        <v>1</v>
      </c>
      <c r="JC17" s="33">
        <v>1</v>
      </c>
      <c r="JD17" s="33">
        <v>1</v>
      </c>
      <c r="JE17" s="33">
        <v>1</v>
      </c>
      <c r="JF17" s="33"/>
      <c r="JG17" s="33"/>
      <c r="JH17" s="33">
        <v>1</v>
      </c>
      <c r="JI17" s="33">
        <v>1</v>
      </c>
      <c r="JJ17" s="33">
        <v>1</v>
      </c>
      <c r="JK17" s="33">
        <v>1</v>
      </c>
      <c r="JL17" s="33">
        <v>1</v>
      </c>
      <c r="JM17" s="33"/>
      <c r="JN17" s="33"/>
      <c r="JO17" s="33">
        <v>1</v>
      </c>
      <c r="JP17" s="33">
        <v>1</v>
      </c>
      <c r="JQ17" s="33">
        <v>1</v>
      </c>
      <c r="JR17" s="33">
        <v>1</v>
      </c>
      <c r="JS17" s="33">
        <v>1</v>
      </c>
      <c r="JT17" s="33"/>
      <c r="JU17" s="33"/>
      <c r="JV17" s="33">
        <v>1</v>
      </c>
      <c r="JW17" s="33">
        <v>1</v>
      </c>
      <c r="JX17" s="33">
        <v>1</v>
      </c>
      <c r="JY17" s="33">
        <v>1</v>
      </c>
      <c r="JZ17" s="33">
        <v>1</v>
      </c>
      <c r="KA17" s="33"/>
      <c r="KB17" s="33"/>
      <c r="KC17" s="33">
        <v>1</v>
      </c>
      <c r="KD17" s="33">
        <v>1</v>
      </c>
      <c r="KE17" s="33">
        <v>1</v>
      </c>
      <c r="KF17" s="33">
        <v>1</v>
      </c>
      <c r="KG17" s="33">
        <v>1</v>
      </c>
      <c r="KH17" s="33"/>
      <c r="KI17" s="33"/>
      <c r="KJ17" s="33">
        <v>1</v>
      </c>
      <c r="KK17" s="33">
        <v>1</v>
      </c>
      <c r="KL17" s="33">
        <v>1</v>
      </c>
      <c r="KM17" s="33">
        <v>1</v>
      </c>
      <c r="KN17" s="33">
        <v>1</v>
      </c>
      <c r="KO17" s="33"/>
      <c r="KP17" s="33"/>
      <c r="KQ17" s="33">
        <v>1</v>
      </c>
      <c r="KR17" s="33">
        <v>1</v>
      </c>
      <c r="KS17" s="33">
        <v>1</v>
      </c>
      <c r="KT17" s="33">
        <v>1</v>
      </c>
      <c r="KU17" s="33">
        <v>1</v>
      </c>
      <c r="KV17" s="33"/>
      <c r="KW17" s="33"/>
      <c r="KX17" s="33">
        <v>1</v>
      </c>
      <c r="KY17" s="33">
        <v>1</v>
      </c>
      <c r="KZ17" s="33">
        <v>1</v>
      </c>
      <c r="LA17" s="33">
        <v>1</v>
      </c>
      <c r="LB17" s="33">
        <v>1</v>
      </c>
      <c r="LC17" s="33"/>
      <c r="LD17" s="33"/>
      <c r="LE17" s="33">
        <v>1</v>
      </c>
      <c r="LF17" s="33">
        <v>1</v>
      </c>
      <c r="LG17" s="33">
        <v>1</v>
      </c>
      <c r="LH17" s="33">
        <v>1</v>
      </c>
      <c r="LI17" s="33">
        <v>1</v>
      </c>
      <c r="LJ17" s="33"/>
      <c r="LK17" s="33"/>
      <c r="LL17" s="33">
        <v>1</v>
      </c>
      <c r="LM17" s="33">
        <v>1</v>
      </c>
      <c r="LN17" s="33">
        <v>1</v>
      </c>
      <c r="LO17" s="33">
        <v>1</v>
      </c>
      <c r="LP17" s="33">
        <v>1</v>
      </c>
      <c r="LQ17" s="33"/>
      <c r="LR17" s="33"/>
      <c r="LS17" s="33">
        <v>1</v>
      </c>
      <c r="LT17" s="33">
        <v>1</v>
      </c>
      <c r="LU17" s="33">
        <v>1</v>
      </c>
      <c r="LV17" s="33">
        <v>1</v>
      </c>
      <c r="LW17" s="33">
        <v>1</v>
      </c>
      <c r="LX17" s="33"/>
      <c r="LY17" s="33"/>
      <c r="LZ17" s="33">
        <v>1</v>
      </c>
      <c r="MA17" s="33">
        <v>1</v>
      </c>
      <c r="MB17" s="33">
        <v>1</v>
      </c>
      <c r="MC17" s="33">
        <v>1</v>
      </c>
      <c r="MD17" s="33">
        <v>1</v>
      </c>
      <c r="ME17" s="33"/>
      <c r="MF17" s="33"/>
      <c r="MG17" s="33">
        <v>1</v>
      </c>
      <c r="MH17" s="33">
        <v>1</v>
      </c>
      <c r="MI17" s="33">
        <v>1</v>
      </c>
      <c r="MJ17" s="33">
        <v>1</v>
      </c>
      <c r="MK17" s="33">
        <v>1</v>
      </c>
      <c r="ML17" s="33"/>
      <c r="MM17" s="33"/>
      <c r="MN17" s="33">
        <v>1</v>
      </c>
      <c r="MO17" s="33">
        <v>1</v>
      </c>
      <c r="MP17" s="33">
        <v>1</v>
      </c>
      <c r="MQ17" s="33">
        <v>1</v>
      </c>
      <c r="MR17" s="33">
        <v>1</v>
      </c>
      <c r="MS17" s="33"/>
      <c r="MT17" s="33"/>
      <c r="MU17" s="33">
        <v>1</v>
      </c>
      <c r="MV17" s="33">
        <v>1</v>
      </c>
      <c r="MW17" s="33">
        <v>1</v>
      </c>
      <c r="MX17" s="33">
        <v>1</v>
      </c>
      <c r="MY17" s="33">
        <v>1</v>
      </c>
      <c r="MZ17" s="33"/>
      <c r="NA17" s="33"/>
      <c r="NB17" s="33">
        <v>1</v>
      </c>
      <c r="NC17" s="33">
        <v>1</v>
      </c>
      <c r="ND17" s="33">
        <v>1</v>
      </c>
      <c r="NE17" s="33">
        <v>1</v>
      </c>
      <c r="NF17" s="33">
        <v>1</v>
      </c>
      <c r="NG17" s="33"/>
      <c r="NH17" s="33"/>
      <c r="NI17" s="33">
        <v>1</v>
      </c>
      <c r="NJ17" s="33">
        <v>1</v>
      </c>
      <c r="NK17" s="33">
        <v>1</v>
      </c>
      <c r="NL17" s="33">
        <v>1</v>
      </c>
      <c r="NM17" s="33">
        <v>1</v>
      </c>
      <c r="NN17" s="33"/>
      <c r="NO17" s="33"/>
      <c r="NP17" s="33">
        <v>1</v>
      </c>
      <c r="NQ17" s="33">
        <v>1</v>
      </c>
      <c r="NR17" s="33">
        <v>1</v>
      </c>
      <c r="NS17" s="33">
        <v>1</v>
      </c>
      <c r="NT17" s="31">
        <f>COUNTIF(F17:NS17,"1")</f>
        <v>255</v>
      </c>
      <c r="NU17" s="80">
        <f>NT18/NT17</f>
        <v>4.3137254901960784E-2</v>
      </c>
      <c r="NV17" s="29" t="str">
        <f>+IF(NX17&gt;=1,"1",0)</f>
        <v>1</v>
      </c>
      <c r="NW17" s="38">
        <f t="shared" si="18"/>
        <v>1</v>
      </c>
      <c r="NX17" s="35">
        <f>COUNTIF(F17:AU17,"1")</f>
        <v>15</v>
      </c>
      <c r="NY17" s="80">
        <f>NX18/NX17</f>
        <v>0.73333333333333328</v>
      </c>
      <c r="NZ17" s="29" t="str">
        <f>+IF(OB17&gt;=1,"1",0)</f>
        <v>1</v>
      </c>
      <c r="OA17" s="38">
        <f t="shared" si="19"/>
        <v>1</v>
      </c>
      <c r="OB17" s="35">
        <f>COUNTIF(AV17:CK17,"1")</f>
        <v>30</v>
      </c>
      <c r="OC17" s="80">
        <f>OB18/OB17</f>
        <v>0</v>
      </c>
      <c r="OD17" s="29" t="str">
        <f>+IF(OF17&gt;=1,"1",0)</f>
        <v>1</v>
      </c>
      <c r="OE17" s="38">
        <f t="shared" si="20"/>
        <v>1</v>
      </c>
      <c r="OF17" s="35">
        <f>COUNTIF(CL17:EA17,"1")</f>
        <v>30</v>
      </c>
      <c r="OG17" s="80">
        <f>OF18/OF17</f>
        <v>0</v>
      </c>
      <c r="OH17" s="29" t="str">
        <f>+IF(OJ17&gt;=1,"1",0)</f>
        <v>1</v>
      </c>
      <c r="OI17" s="38">
        <f t="shared" si="21"/>
        <v>1</v>
      </c>
      <c r="OJ17" s="35">
        <f>COUNTIF(EB17:FQ17,"1")</f>
        <v>30</v>
      </c>
      <c r="OK17" s="79">
        <f>OJ18/OJ17</f>
        <v>0</v>
      </c>
      <c r="OL17" s="29" t="str">
        <f>+IF(ON17&gt;=1,"1",0)</f>
        <v>1</v>
      </c>
      <c r="OM17" s="38">
        <f t="shared" si="22"/>
        <v>1</v>
      </c>
      <c r="ON17" s="35">
        <f>COUNTIF(FR17:HG17,"1")</f>
        <v>30</v>
      </c>
      <c r="OO17" s="79">
        <f>ON18/ON17</f>
        <v>0</v>
      </c>
      <c r="OP17" s="29" t="str">
        <f>+IF(OR17&gt;=1,"1",0)</f>
        <v>1</v>
      </c>
      <c r="OQ17" s="38">
        <f t="shared" si="23"/>
        <v>1</v>
      </c>
      <c r="OR17" s="35">
        <f>COUNTIF(HH17:IW17,"1")</f>
        <v>30</v>
      </c>
      <c r="OS17" s="79">
        <f>OR18/OR17</f>
        <v>0</v>
      </c>
      <c r="OT17" s="29" t="str">
        <f>+IF(OV17&gt;=1,"1",0)</f>
        <v>1</v>
      </c>
      <c r="OU17" s="38">
        <f t="shared" si="24"/>
        <v>1</v>
      </c>
      <c r="OV17" s="35">
        <f>COUNTIF(IX17:KM17,"1")</f>
        <v>30</v>
      </c>
      <c r="OW17" s="79">
        <f>OV18/OV17</f>
        <v>0</v>
      </c>
      <c r="OX17" s="29" t="str">
        <f>+IF(OZ17&gt;=1,"1",0)</f>
        <v>1</v>
      </c>
      <c r="OY17" s="38">
        <f t="shared" si="25"/>
        <v>1</v>
      </c>
      <c r="OZ17" s="35">
        <f>COUNTIF(KN17:MC17,"1")</f>
        <v>30</v>
      </c>
      <c r="PA17" s="79">
        <f>OZ18/OZ17</f>
        <v>0</v>
      </c>
      <c r="PB17" s="29" t="str">
        <f>+IF(PD17&gt;=1,"1",0)</f>
        <v>1</v>
      </c>
      <c r="PC17" s="38">
        <f t="shared" si="26"/>
        <v>1</v>
      </c>
      <c r="PD17" s="35">
        <f>COUNTIF(MD17:NS17,"1")</f>
        <v>30</v>
      </c>
      <c r="PE17" s="79">
        <f>PD18/PD17</f>
        <v>0</v>
      </c>
    </row>
    <row r="18" spans="3:421" ht="15.75" customHeight="1" outlineLevel="1" thickBot="1" x14ac:dyDescent="0.3">
      <c r="C18" s="89"/>
      <c r="D18" s="91"/>
      <c r="E18" s="54" t="s">
        <v>9</v>
      </c>
      <c r="F18" s="34" t="s">
        <v>75</v>
      </c>
      <c r="G18" s="34"/>
      <c r="H18" s="34"/>
      <c r="I18" s="34"/>
      <c r="J18" s="34"/>
      <c r="K18" s="34"/>
      <c r="L18" s="34"/>
      <c r="M18" s="34"/>
      <c r="N18" s="34"/>
      <c r="O18" s="34"/>
      <c r="P18" s="70"/>
      <c r="Q18" s="34"/>
      <c r="R18" s="34"/>
      <c r="S18" s="34"/>
      <c r="T18" s="34"/>
      <c r="U18" s="34"/>
      <c r="V18" s="34"/>
      <c r="W18" s="70"/>
      <c r="X18" s="34"/>
      <c r="Y18" s="34"/>
      <c r="Z18" s="34"/>
      <c r="AA18" s="34"/>
      <c r="AB18" s="34"/>
      <c r="AC18" s="34"/>
      <c r="AD18" s="34" t="s">
        <v>75</v>
      </c>
      <c r="AE18" s="34" t="s">
        <v>75</v>
      </c>
      <c r="AF18" s="34" t="s">
        <v>75</v>
      </c>
      <c r="AG18" s="34" t="s">
        <v>75</v>
      </c>
      <c r="AH18" s="34" t="s">
        <v>75</v>
      </c>
      <c r="AI18" s="34"/>
      <c r="AJ18" s="34"/>
      <c r="AK18" s="34" t="s">
        <v>75</v>
      </c>
      <c r="AL18" s="34" t="s">
        <v>75</v>
      </c>
      <c r="AM18" s="34" t="s">
        <v>75</v>
      </c>
      <c r="AN18" s="34" t="s">
        <v>75</v>
      </c>
      <c r="AO18" s="34" t="s">
        <v>75</v>
      </c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4"/>
      <c r="NQ18" s="34"/>
      <c r="NR18" s="34"/>
      <c r="NS18" s="34"/>
      <c r="NT18" s="7">
        <f>COUNTIF(F18:NS18,"x")</f>
        <v>11</v>
      </c>
      <c r="NU18" s="81"/>
      <c r="NV18" s="32">
        <f>IF(NX18=0,"0",NX18/NX17)</f>
        <v>0.73333333333333328</v>
      </c>
      <c r="NW18" s="37">
        <f t="shared" si="18"/>
        <v>0</v>
      </c>
      <c r="NX18" s="36">
        <f>COUNTIF(F18:AU18,"x")</f>
        <v>11</v>
      </c>
      <c r="NY18" s="81"/>
      <c r="NZ18" s="32" t="str">
        <f>IF(OB18=0,"0",OB18/OB17)</f>
        <v>0</v>
      </c>
      <c r="OA18" s="37">
        <f t="shared" si="19"/>
        <v>0</v>
      </c>
      <c r="OB18" s="36">
        <f>COUNTIF(AV18:CK18,"x")</f>
        <v>0</v>
      </c>
      <c r="OC18" s="81"/>
      <c r="OD18" s="32" t="str">
        <f>IF(OF18=0,"0",OF18/OF17)</f>
        <v>0</v>
      </c>
      <c r="OE18" s="37">
        <f t="shared" si="20"/>
        <v>0</v>
      </c>
      <c r="OF18" s="36">
        <f>COUNTIF(CL18:EA18,"x")</f>
        <v>0</v>
      </c>
      <c r="OG18" s="81"/>
      <c r="OH18" s="32" t="str">
        <f>IF(OJ18=0,"0",OJ18/OJ17)</f>
        <v>0</v>
      </c>
      <c r="OI18" s="37">
        <f t="shared" si="21"/>
        <v>0</v>
      </c>
      <c r="OJ18" s="36">
        <f>COUNTIF(EB18:FQ18,"x")</f>
        <v>0</v>
      </c>
      <c r="OK18" s="74"/>
      <c r="OL18" s="32" t="str">
        <f>IF(ON18=0,"0",ON18/ON17)</f>
        <v>0</v>
      </c>
      <c r="OM18" s="37">
        <f t="shared" si="22"/>
        <v>0</v>
      </c>
      <c r="ON18" s="36">
        <f>COUNTIF(FR18:HG18,"x")</f>
        <v>0</v>
      </c>
      <c r="OO18" s="74"/>
      <c r="OP18" s="32" t="str">
        <f>IF(OR18=0,"0",OR18/OR17)</f>
        <v>0</v>
      </c>
      <c r="OQ18" s="37">
        <f t="shared" si="23"/>
        <v>0</v>
      </c>
      <c r="OR18" s="36">
        <f>COUNTIF(HH18:IW18,"x")</f>
        <v>0</v>
      </c>
      <c r="OS18" s="74"/>
      <c r="OT18" s="32" t="str">
        <f>IF(OV18=0,"0",OV18/OV17)</f>
        <v>0</v>
      </c>
      <c r="OU18" s="37">
        <f t="shared" si="24"/>
        <v>0</v>
      </c>
      <c r="OV18" s="36">
        <f>COUNTIF(IX18:KM18,"x")</f>
        <v>0</v>
      </c>
      <c r="OW18" s="74"/>
      <c r="OX18" s="32" t="str">
        <f>IF(OZ18=0,"0",OZ18/OZ17)</f>
        <v>0</v>
      </c>
      <c r="OY18" s="37">
        <f t="shared" si="25"/>
        <v>0</v>
      </c>
      <c r="OZ18" s="36">
        <f>COUNTIF(KN18:MC18,"x")</f>
        <v>0</v>
      </c>
      <c r="PA18" s="74"/>
      <c r="PB18" s="32" t="str">
        <f>IF(PD18=0,"0",PD18/PD17)</f>
        <v>0</v>
      </c>
      <c r="PC18" s="37">
        <f t="shared" si="26"/>
        <v>0</v>
      </c>
      <c r="PD18" s="36">
        <f>COUNTIF(MD18:NS18,"x")</f>
        <v>0</v>
      </c>
      <c r="PE18" s="74"/>
    </row>
    <row r="19" spans="3:421" ht="15.75" customHeight="1" outlineLevel="1" x14ac:dyDescent="0.25">
      <c r="C19" s="88" t="s">
        <v>48</v>
      </c>
      <c r="D19" s="90" t="s">
        <v>88</v>
      </c>
      <c r="E19" s="53" t="s">
        <v>8</v>
      </c>
      <c r="F19" s="33">
        <v>1</v>
      </c>
      <c r="G19" s="33"/>
      <c r="H19" s="33"/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/>
      <c r="O19" s="33"/>
      <c r="P19" s="69"/>
      <c r="Q19" s="33">
        <v>1</v>
      </c>
      <c r="R19" s="33">
        <v>1</v>
      </c>
      <c r="S19" s="33">
        <v>1</v>
      </c>
      <c r="T19" s="33">
        <v>1</v>
      </c>
      <c r="U19" s="33"/>
      <c r="V19" s="33"/>
      <c r="W19" s="69"/>
      <c r="X19" s="33">
        <v>1</v>
      </c>
      <c r="Y19" s="33">
        <v>1</v>
      </c>
      <c r="Z19" s="33">
        <v>1</v>
      </c>
      <c r="AA19" s="33">
        <v>1</v>
      </c>
      <c r="AB19" s="33"/>
      <c r="AC19" s="33"/>
      <c r="AD19" s="33" t="s">
        <v>74</v>
      </c>
      <c r="AE19" s="33" t="s">
        <v>74</v>
      </c>
      <c r="AF19" s="33">
        <v>1</v>
      </c>
      <c r="AG19" s="33">
        <v>1</v>
      </c>
      <c r="AH19" s="33" t="s">
        <v>74</v>
      </c>
      <c r="AI19" s="33"/>
      <c r="AJ19" s="33"/>
      <c r="AK19" s="33">
        <v>1</v>
      </c>
      <c r="AL19" s="33">
        <v>1</v>
      </c>
      <c r="AM19" s="33">
        <v>1</v>
      </c>
      <c r="AN19" s="33">
        <v>1</v>
      </c>
      <c r="AO19" s="33">
        <v>1</v>
      </c>
      <c r="AP19" s="33"/>
      <c r="AQ19" s="33"/>
      <c r="AR19" s="33">
        <v>1</v>
      </c>
      <c r="AS19" s="33">
        <v>1</v>
      </c>
      <c r="AT19" s="33">
        <v>1</v>
      </c>
      <c r="AU19" s="33">
        <v>1</v>
      </c>
      <c r="AV19" s="33">
        <v>1</v>
      </c>
      <c r="AW19" s="33"/>
      <c r="AX19" s="33"/>
      <c r="AY19" s="33">
        <v>1</v>
      </c>
      <c r="AZ19" s="33">
        <v>1</v>
      </c>
      <c r="BA19" s="33">
        <v>1</v>
      </c>
      <c r="BB19" s="33">
        <v>1</v>
      </c>
      <c r="BC19" s="33">
        <v>1</v>
      </c>
      <c r="BD19" s="33"/>
      <c r="BE19" s="33"/>
      <c r="BF19" s="33">
        <v>1</v>
      </c>
      <c r="BG19" s="33">
        <v>1</v>
      </c>
      <c r="BH19" s="33">
        <v>1</v>
      </c>
      <c r="BI19" s="33">
        <v>1</v>
      </c>
      <c r="BJ19" s="33">
        <v>1</v>
      </c>
      <c r="BK19" s="33"/>
      <c r="BL19" s="33"/>
      <c r="BM19" s="33">
        <v>1</v>
      </c>
      <c r="BN19" s="33">
        <v>1</v>
      </c>
      <c r="BO19" s="33">
        <v>1</v>
      </c>
      <c r="BP19" s="33">
        <v>1</v>
      </c>
      <c r="BQ19" s="33">
        <v>1</v>
      </c>
      <c r="BR19" s="33"/>
      <c r="BS19" s="33"/>
      <c r="BT19" s="33">
        <v>1</v>
      </c>
      <c r="BU19" s="33">
        <v>1</v>
      </c>
      <c r="BV19" s="33">
        <v>1</v>
      </c>
      <c r="BW19" s="33">
        <v>1</v>
      </c>
      <c r="BX19" s="33">
        <v>1</v>
      </c>
      <c r="BY19" s="33"/>
      <c r="BZ19" s="33"/>
      <c r="CA19" s="33">
        <v>1</v>
      </c>
      <c r="CB19" s="33">
        <v>1</v>
      </c>
      <c r="CC19" s="33">
        <v>1</v>
      </c>
      <c r="CD19" s="33">
        <v>1</v>
      </c>
      <c r="CE19" s="33">
        <v>1</v>
      </c>
      <c r="CF19" s="33"/>
      <c r="CG19" s="33"/>
      <c r="CH19" s="33">
        <v>1</v>
      </c>
      <c r="CI19" s="33">
        <v>1</v>
      </c>
      <c r="CJ19" s="33">
        <v>1</v>
      </c>
      <c r="CK19" s="33">
        <v>1</v>
      </c>
      <c r="CL19" s="33">
        <v>1</v>
      </c>
      <c r="CM19" s="33"/>
      <c r="CN19" s="33"/>
      <c r="CO19" s="33">
        <v>1</v>
      </c>
      <c r="CP19" s="33">
        <v>1</v>
      </c>
      <c r="CQ19" s="33">
        <v>1</v>
      </c>
      <c r="CR19" s="33">
        <v>1</v>
      </c>
      <c r="CS19" s="33">
        <v>1</v>
      </c>
      <c r="CT19" s="33"/>
      <c r="CU19" s="33"/>
      <c r="CV19" s="33">
        <v>1</v>
      </c>
      <c r="CW19" s="33">
        <v>1</v>
      </c>
      <c r="CX19" s="33">
        <v>1</v>
      </c>
      <c r="CY19" s="33">
        <v>1</v>
      </c>
      <c r="CZ19" s="33">
        <v>1</v>
      </c>
      <c r="DA19" s="33"/>
      <c r="DB19" s="33"/>
      <c r="DC19" s="33">
        <v>1</v>
      </c>
      <c r="DD19" s="33">
        <v>1</v>
      </c>
      <c r="DE19" s="33">
        <v>1</v>
      </c>
      <c r="DF19" s="33">
        <v>1</v>
      </c>
      <c r="DG19" s="33">
        <v>1</v>
      </c>
      <c r="DH19" s="33"/>
      <c r="DI19" s="33"/>
      <c r="DJ19" s="33">
        <v>1</v>
      </c>
      <c r="DK19" s="33">
        <v>1</v>
      </c>
      <c r="DL19" s="33">
        <v>1</v>
      </c>
      <c r="DM19" s="33">
        <v>1</v>
      </c>
      <c r="DN19" s="33">
        <v>1</v>
      </c>
      <c r="DO19" s="33"/>
      <c r="DP19" s="33"/>
      <c r="DQ19" s="33">
        <v>1</v>
      </c>
      <c r="DR19" s="33">
        <v>1</v>
      </c>
      <c r="DS19" s="33">
        <v>1</v>
      </c>
      <c r="DT19" s="33">
        <v>1</v>
      </c>
      <c r="DU19" s="33">
        <v>1</v>
      </c>
      <c r="DV19" s="33"/>
      <c r="DW19" s="33"/>
      <c r="DX19" s="33">
        <v>1</v>
      </c>
      <c r="DY19" s="33">
        <v>1</v>
      </c>
      <c r="DZ19" s="33">
        <v>1</v>
      </c>
      <c r="EA19" s="33">
        <v>1</v>
      </c>
      <c r="EB19" s="33">
        <v>1</v>
      </c>
      <c r="EC19" s="33"/>
      <c r="ED19" s="33"/>
      <c r="EE19" s="33">
        <v>1</v>
      </c>
      <c r="EF19" s="33">
        <v>1</v>
      </c>
      <c r="EG19" s="33">
        <v>1</v>
      </c>
      <c r="EH19" s="33">
        <v>1</v>
      </c>
      <c r="EI19" s="33">
        <v>1</v>
      </c>
      <c r="EJ19" s="33"/>
      <c r="EK19" s="33"/>
      <c r="EL19" s="33">
        <v>1</v>
      </c>
      <c r="EM19" s="33">
        <v>1</v>
      </c>
      <c r="EN19" s="33">
        <v>1</v>
      </c>
      <c r="EO19" s="33">
        <v>1</v>
      </c>
      <c r="EP19" s="33">
        <v>1</v>
      </c>
      <c r="EQ19" s="33"/>
      <c r="ER19" s="33"/>
      <c r="ES19" s="33">
        <v>1</v>
      </c>
      <c r="ET19" s="33">
        <v>1</v>
      </c>
      <c r="EU19" s="33">
        <v>1</v>
      </c>
      <c r="EV19" s="33">
        <v>1</v>
      </c>
      <c r="EW19" s="33">
        <v>1</v>
      </c>
      <c r="EX19" s="33"/>
      <c r="EY19" s="33"/>
      <c r="EZ19" s="33">
        <v>1</v>
      </c>
      <c r="FA19" s="33">
        <v>1</v>
      </c>
      <c r="FB19" s="33">
        <v>1</v>
      </c>
      <c r="FC19" s="33">
        <v>1</v>
      </c>
      <c r="FD19" s="33">
        <v>1</v>
      </c>
      <c r="FE19" s="33"/>
      <c r="FF19" s="33"/>
      <c r="FG19" s="33">
        <v>1</v>
      </c>
      <c r="FH19" s="33">
        <v>1</v>
      </c>
      <c r="FI19" s="33">
        <v>1</v>
      </c>
      <c r="FJ19" s="33">
        <v>1</v>
      </c>
      <c r="FK19" s="33">
        <v>1</v>
      </c>
      <c r="FL19" s="33"/>
      <c r="FM19" s="33"/>
      <c r="FN19" s="33">
        <v>1</v>
      </c>
      <c r="FO19" s="33">
        <v>1</v>
      </c>
      <c r="FP19" s="33">
        <v>1</v>
      </c>
      <c r="FQ19" s="33">
        <v>1</v>
      </c>
      <c r="FR19" s="33">
        <v>1</v>
      </c>
      <c r="FS19" s="33"/>
      <c r="FT19" s="33"/>
      <c r="FU19" s="33">
        <v>1</v>
      </c>
      <c r="FV19" s="33">
        <v>1</v>
      </c>
      <c r="FW19" s="33">
        <v>1</v>
      </c>
      <c r="FX19" s="33">
        <v>1</v>
      </c>
      <c r="FY19" s="33">
        <v>1</v>
      </c>
      <c r="FZ19" s="33"/>
      <c r="GA19" s="33"/>
      <c r="GB19" s="33">
        <v>1</v>
      </c>
      <c r="GC19" s="33">
        <v>1</v>
      </c>
      <c r="GD19" s="33">
        <v>1</v>
      </c>
      <c r="GE19" s="33">
        <v>1</v>
      </c>
      <c r="GF19" s="33">
        <v>1</v>
      </c>
      <c r="GG19" s="33"/>
      <c r="GH19" s="33"/>
      <c r="GI19" s="33">
        <v>1</v>
      </c>
      <c r="GJ19" s="33">
        <v>1</v>
      </c>
      <c r="GK19" s="33">
        <v>1</v>
      </c>
      <c r="GL19" s="33">
        <v>1</v>
      </c>
      <c r="GM19" s="33">
        <v>1</v>
      </c>
      <c r="GN19" s="33"/>
      <c r="GO19" s="33"/>
      <c r="GP19" s="33">
        <v>1</v>
      </c>
      <c r="GQ19" s="33">
        <v>1</v>
      </c>
      <c r="GR19" s="33">
        <v>1</v>
      </c>
      <c r="GS19" s="33">
        <v>1</v>
      </c>
      <c r="GT19" s="33">
        <v>1</v>
      </c>
      <c r="GU19" s="33"/>
      <c r="GV19" s="33"/>
      <c r="GW19" s="33">
        <v>1</v>
      </c>
      <c r="GX19" s="33">
        <v>1</v>
      </c>
      <c r="GY19" s="33">
        <v>1</v>
      </c>
      <c r="GZ19" s="33">
        <v>1</v>
      </c>
      <c r="HA19" s="33">
        <v>1</v>
      </c>
      <c r="HB19" s="33"/>
      <c r="HC19" s="33"/>
      <c r="HD19" s="33">
        <v>1</v>
      </c>
      <c r="HE19" s="33">
        <v>1</v>
      </c>
      <c r="HF19" s="33">
        <v>1</v>
      </c>
      <c r="HG19" s="33">
        <v>1</v>
      </c>
      <c r="HH19" s="33">
        <v>1</v>
      </c>
      <c r="HI19" s="33"/>
      <c r="HJ19" s="33"/>
      <c r="HK19" s="33">
        <v>1</v>
      </c>
      <c r="HL19" s="33">
        <v>1</v>
      </c>
      <c r="HM19" s="33">
        <v>1</v>
      </c>
      <c r="HN19" s="33">
        <v>1</v>
      </c>
      <c r="HO19" s="33">
        <v>1</v>
      </c>
      <c r="HP19" s="33"/>
      <c r="HQ19" s="33"/>
      <c r="HR19" s="33">
        <v>1</v>
      </c>
      <c r="HS19" s="33">
        <v>1</v>
      </c>
      <c r="HT19" s="33">
        <v>1</v>
      </c>
      <c r="HU19" s="33">
        <v>1</v>
      </c>
      <c r="HV19" s="33">
        <v>1</v>
      </c>
      <c r="HW19" s="33"/>
      <c r="HX19" s="33"/>
      <c r="HY19" s="33">
        <v>1</v>
      </c>
      <c r="HZ19" s="33">
        <v>1</v>
      </c>
      <c r="IA19" s="33">
        <v>1</v>
      </c>
      <c r="IB19" s="33">
        <v>1</v>
      </c>
      <c r="IC19" s="33">
        <v>1</v>
      </c>
      <c r="ID19" s="33"/>
      <c r="IE19" s="33"/>
      <c r="IF19" s="33">
        <v>1</v>
      </c>
      <c r="IG19" s="33">
        <v>1</v>
      </c>
      <c r="IH19" s="33">
        <v>1</v>
      </c>
      <c r="II19" s="33">
        <v>1</v>
      </c>
      <c r="IJ19" s="33">
        <v>1</v>
      </c>
      <c r="IK19" s="33"/>
      <c r="IL19" s="33"/>
      <c r="IM19" s="33">
        <v>1</v>
      </c>
      <c r="IN19" s="33">
        <v>1</v>
      </c>
      <c r="IO19" s="33">
        <v>1</v>
      </c>
      <c r="IP19" s="33">
        <v>1</v>
      </c>
      <c r="IQ19" s="33">
        <v>1</v>
      </c>
      <c r="IR19" s="33"/>
      <c r="IS19" s="33"/>
      <c r="IT19" s="33">
        <v>1</v>
      </c>
      <c r="IU19" s="33">
        <v>1</v>
      </c>
      <c r="IV19" s="33">
        <v>1</v>
      </c>
      <c r="IW19" s="33">
        <v>1</v>
      </c>
      <c r="IX19" s="33">
        <v>1</v>
      </c>
      <c r="IY19" s="33"/>
      <c r="IZ19" s="33"/>
      <c r="JA19" s="33">
        <v>1</v>
      </c>
      <c r="JB19" s="33">
        <v>1</v>
      </c>
      <c r="JC19" s="33">
        <v>1</v>
      </c>
      <c r="JD19" s="33">
        <v>1</v>
      </c>
      <c r="JE19" s="33">
        <v>1</v>
      </c>
      <c r="JF19" s="33"/>
      <c r="JG19" s="33"/>
      <c r="JH19" s="33">
        <v>1</v>
      </c>
      <c r="JI19" s="33">
        <v>1</v>
      </c>
      <c r="JJ19" s="33">
        <v>1</v>
      </c>
      <c r="JK19" s="33">
        <v>1</v>
      </c>
      <c r="JL19" s="33">
        <v>1</v>
      </c>
      <c r="JM19" s="33"/>
      <c r="JN19" s="33"/>
      <c r="JO19" s="33">
        <v>1</v>
      </c>
      <c r="JP19" s="33">
        <v>1</v>
      </c>
      <c r="JQ19" s="33">
        <v>1</v>
      </c>
      <c r="JR19" s="33">
        <v>1</v>
      </c>
      <c r="JS19" s="33">
        <v>1</v>
      </c>
      <c r="JT19" s="33"/>
      <c r="JU19" s="33"/>
      <c r="JV19" s="33">
        <v>1</v>
      </c>
      <c r="JW19" s="33">
        <v>1</v>
      </c>
      <c r="JX19" s="33">
        <v>1</v>
      </c>
      <c r="JY19" s="33">
        <v>1</v>
      </c>
      <c r="JZ19" s="33">
        <v>1</v>
      </c>
      <c r="KA19" s="33"/>
      <c r="KB19" s="33"/>
      <c r="KC19" s="33">
        <v>1</v>
      </c>
      <c r="KD19" s="33">
        <v>1</v>
      </c>
      <c r="KE19" s="33">
        <v>1</v>
      </c>
      <c r="KF19" s="33">
        <v>1</v>
      </c>
      <c r="KG19" s="33">
        <v>1</v>
      </c>
      <c r="KH19" s="33"/>
      <c r="KI19" s="33"/>
      <c r="KJ19" s="33">
        <v>1</v>
      </c>
      <c r="KK19" s="33">
        <v>1</v>
      </c>
      <c r="KL19" s="33">
        <v>1</v>
      </c>
      <c r="KM19" s="33">
        <v>1</v>
      </c>
      <c r="KN19" s="33">
        <v>1</v>
      </c>
      <c r="KO19" s="33"/>
      <c r="KP19" s="33"/>
      <c r="KQ19" s="33">
        <v>1</v>
      </c>
      <c r="KR19" s="33">
        <v>1</v>
      </c>
      <c r="KS19" s="33">
        <v>1</v>
      </c>
      <c r="KT19" s="33">
        <v>1</v>
      </c>
      <c r="KU19" s="33">
        <v>1</v>
      </c>
      <c r="KV19" s="33"/>
      <c r="KW19" s="33"/>
      <c r="KX19" s="33">
        <v>1</v>
      </c>
      <c r="KY19" s="33">
        <v>1</v>
      </c>
      <c r="KZ19" s="33">
        <v>1</v>
      </c>
      <c r="LA19" s="33">
        <v>1</v>
      </c>
      <c r="LB19" s="33">
        <v>1</v>
      </c>
      <c r="LC19" s="33"/>
      <c r="LD19" s="33"/>
      <c r="LE19" s="33">
        <v>1</v>
      </c>
      <c r="LF19" s="33">
        <v>1</v>
      </c>
      <c r="LG19" s="33">
        <v>1</v>
      </c>
      <c r="LH19" s="33">
        <v>1</v>
      </c>
      <c r="LI19" s="33">
        <v>1</v>
      </c>
      <c r="LJ19" s="33"/>
      <c r="LK19" s="33"/>
      <c r="LL19" s="33">
        <v>1</v>
      </c>
      <c r="LM19" s="33">
        <v>1</v>
      </c>
      <c r="LN19" s="33">
        <v>1</v>
      </c>
      <c r="LO19" s="33">
        <v>1</v>
      </c>
      <c r="LP19" s="33">
        <v>1</v>
      </c>
      <c r="LQ19" s="33"/>
      <c r="LR19" s="33"/>
      <c r="LS19" s="33">
        <v>1</v>
      </c>
      <c r="LT19" s="33">
        <v>1</v>
      </c>
      <c r="LU19" s="33">
        <v>1</v>
      </c>
      <c r="LV19" s="33">
        <v>1</v>
      </c>
      <c r="LW19" s="33">
        <v>1</v>
      </c>
      <c r="LX19" s="33"/>
      <c r="LY19" s="33"/>
      <c r="LZ19" s="33">
        <v>1</v>
      </c>
      <c r="MA19" s="33">
        <v>1</v>
      </c>
      <c r="MB19" s="33">
        <v>1</v>
      </c>
      <c r="MC19" s="33">
        <v>1</v>
      </c>
      <c r="MD19" s="33">
        <v>1</v>
      </c>
      <c r="ME19" s="33"/>
      <c r="MF19" s="33"/>
      <c r="MG19" s="33">
        <v>1</v>
      </c>
      <c r="MH19" s="33">
        <v>1</v>
      </c>
      <c r="MI19" s="33">
        <v>1</v>
      </c>
      <c r="MJ19" s="33">
        <v>1</v>
      </c>
      <c r="MK19" s="33">
        <v>1</v>
      </c>
      <c r="ML19" s="33"/>
      <c r="MM19" s="33"/>
      <c r="MN19" s="33">
        <v>1</v>
      </c>
      <c r="MO19" s="33">
        <v>1</v>
      </c>
      <c r="MP19" s="33">
        <v>1</v>
      </c>
      <c r="MQ19" s="33">
        <v>1</v>
      </c>
      <c r="MR19" s="33">
        <v>1</v>
      </c>
      <c r="MS19" s="33"/>
      <c r="MT19" s="33"/>
      <c r="MU19" s="33">
        <v>1</v>
      </c>
      <c r="MV19" s="33">
        <v>1</v>
      </c>
      <c r="MW19" s="33">
        <v>1</v>
      </c>
      <c r="MX19" s="33">
        <v>1</v>
      </c>
      <c r="MY19" s="33">
        <v>1</v>
      </c>
      <c r="MZ19" s="33"/>
      <c r="NA19" s="33"/>
      <c r="NB19" s="33">
        <v>1</v>
      </c>
      <c r="NC19" s="33">
        <v>1</v>
      </c>
      <c r="ND19" s="33">
        <v>1</v>
      </c>
      <c r="NE19" s="33">
        <v>1</v>
      </c>
      <c r="NF19" s="33">
        <v>1</v>
      </c>
      <c r="NG19" s="33"/>
      <c r="NH19" s="33"/>
      <c r="NI19" s="33">
        <v>1</v>
      </c>
      <c r="NJ19" s="33">
        <v>1</v>
      </c>
      <c r="NK19" s="33">
        <v>1</v>
      </c>
      <c r="NL19" s="33">
        <v>1</v>
      </c>
      <c r="NM19" s="33">
        <v>1</v>
      </c>
      <c r="NN19" s="33"/>
      <c r="NO19" s="33"/>
      <c r="NP19" s="33">
        <v>1</v>
      </c>
      <c r="NQ19" s="33">
        <v>1</v>
      </c>
      <c r="NR19" s="33">
        <v>1</v>
      </c>
      <c r="NS19" s="33">
        <v>1</v>
      </c>
      <c r="NT19" s="31">
        <f>COUNTIF(F19:NS19,"1")</f>
        <v>265</v>
      </c>
      <c r="NU19" s="80">
        <f>NT20/NT19</f>
        <v>9.8113207547169817E-2</v>
      </c>
      <c r="NV19" s="29" t="str">
        <f>+IF(NX19&gt;=1,"1",0)</f>
        <v>1</v>
      </c>
      <c r="NW19" s="38">
        <f>MOD(ROW(NW19),2)</f>
        <v>1</v>
      </c>
      <c r="NX19" s="35">
        <f>COUNTIF(F19:AU19,"1")</f>
        <v>25</v>
      </c>
      <c r="NY19" s="80">
        <f>NX20/NX19</f>
        <v>1.04</v>
      </c>
      <c r="NZ19" s="29" t="str">
        <f>+IF(OB19&gt;=1,"1",0)</f>
        <v>1</v>
      </c>
      <c r="OA19" s="38">
        <f>MOD(ROW(OA19),2)</f>
        <v>1</v>
      </c>
      <c r="OB19" s="35">
        <f>COUNTIF(AV19:CK19,"1")</f>
        <v>30</v>
      </c>
      <c r="OC19" s="80">
        <f>OB20/OB19</f>
        <v>0</v>
      </c>
      <c r="OD19" s="29" t="str">
        <f>+IF(OF19&gt;=1,"1",0)</f>
        <v>1</v>
      </c>
      <c r="OE19" s="38">
        <f>MOD(ROW(OE19),2)</f>
        <v>1</v>
      </c>
      <c r="OF19" s="35">
        <f>COUNTIF(CL19:EA19,"1")</f>
        <v>30</v>
      </c>
      <c r="OG19" s="80">
        <f>OF20/OF19</f>
        <v>0</v>
      </c>
      <c r="OH19" s="29" t="str">
        <f>+IF(OJ19&gt;=1,"1",0)</f>
        <v>1</v>
      </c>
      <c r="OI19" s="38">
        <f>MOD(ROW(OI19),2)</f>
        <v>1</v>
      </c>
      <c r="OJ19" s="35">
        <f>COUNTIF(EB19:FQ19,"1")</f>
        <v>30</v>
      </c>
      <c r="OK19" s="79">
        <f>OJ20/OJ19</f>
        <v>0</v>
      </c>
      <c r="OL19" s="29" t="str">
        <f>+IF(ON19&gt;=1,"1",0)</f>
        <v>1</v>
      </c>
      <c r="OM19" s="38">
        <f>MOD(ROW(OM19),2)</f>
        <v>1</v>
      </c>
      <c r="ON19" s="35">
        <f>COUNTIF(FR19:HG19,"1")</f>
        <v>30</v>
      </c>
      <c r="OO19" s="79">
        <f>ON20/ON19</f>
        <v>0</v>
      </c>
      <c r="OP19" s="29" t="str">
        <f>+IF(OR19&gt;=1,"1",0)</f>
        <v>1</v>
      </c>
      <c r="OQ19" s="38">
        <f>MOD(ROW(OQ19),2)</f>
        <v>1</v>
      </c>
      <c r="OR19" s="35">
        <f>COUNTIF(HH19:IW19,"1")</f>
        <v>30</v>
      </c>
      <c r="OS19" s="79">
        <f>OR20/OR19</f>
        <v>0</v>
      </c>
      <c r="OT19" s="29" t="str">
        <f>+IF(OV19&gt;=1,"1",0)</f>
        <v>1</v>
      </c>
      <c r="OU19" s="38">
        <f>MOD(ROW(OU19),2)</f>
        <v>1</v>
      </c>
      <c r="OV19" s="35">
        <f>COUNTIF(IX19:KM19,"1")</f>
        <v>30</v>
      </c>
      <c r="OW19" s="79">
        <f>OV20/OV19</f>
        <v>0</v>
      </c>
      <c r="OX19" s="29" t="str">
        <f>+IF(OZ19&gt;=1,"1",0)</f>
        <v>1</v>
      </c>
      <c r="OY19" s="38">
        <f>MOD(ROW(OY19),2)</f>
        <v>1</v>
      </c>
      <c r="OZ19" s="35">
        <f>COUNTIF(KN19:MC19,"1")</f>
        <v>30</v>
      </c>
      <c r="PA19" s="79">
        <f>OZ20/OZ19</f>
        <v>0</v>
      </c>
      <c r="PB19" s="29" t="str">
        <f>+IF(PD19&gt;=1,"1",0)</f>
        <v>1</v>
      </c>
      <c r="PC19" s="38">
        <f>MOD(ROW(PC19),2)</f>
        <v>1</v>
      </c>
      <c r="PD19" s="35">
        <f>COUNTIF(MD19:NS19,"1")</f>
        <v>30</v>
      </c>
      <c r="PE19" s="79">
        <f>PD20/PD19</f>
        <v>0</v>
      </c>
    </row>
    <row r="20" spans="3:421" ht="15.75" customHeight="1" outlineLevel="1" thickBot="1" x14ac:dyDescent="0.3">
      <c r="C20" s="89"/>
      <c r="D20" s="91"/>
      <c r="E20" s="54" t="s">
        <v>9</v>
      </c>
      <c r="F20" s="34" t="s">
        <v>75</v>
      </c>
      <c r="G20" s="34"/>
      <c r="H20" s="34"/>
      <c r="I20" s="34" t="s">
        <v>75</v>
      </c>
      <c r="J20" s="34" t="s">
        <v>75</v>
      </c>
      <c r="K20" s="34" t="s">
        <v>75</v>
      </c>
      <c r="L20" s="34" t="s">
        <v>75</v>
      </c>
      <c r="M20" s="34" t="s">
        <v>75</v>
      </c>
      <c r="N20" s="34"/>
      <c r="O20" s="34"/>
      <c r="P20" s="70"/>
      <c r="Q20" s="34" t="s">
        <v>75</v>
      </c>
      <c r="R20" s="34" t="s">
        <v>75</v>
      </c>
      <c r="S20" s="34" t="s">
        <v>75</v>
      </c>
      <c r="T20" s="34" t="s">
        <v>75</v>
      </c>
      <c r="U20" s="34"/>
      <c r="V20" s="34"/>
      <c r="W20" s="70"/>
      <c r="X20" s="34" t="s">
        <v>75</v>
      </c>
      <c r="Y20" s="34" t="s">
        <v>75</v>
      </c>
      <c r="Z20" s="34" t="s">
        <v>75</v>
      </c>
      <c r="AA20" s="34" t="s">
        <v>75</v>
      </c>
      <c r="AB20" s="34" t="s">
        <v>75</v>
      </c>
      <c r="AC20" s="34"/>
      <c r="AD20" s="34"/>
      <c r="AE20" s="34"/>
      <c r="AF20" s="34" t="s">
        <v>75</v>
      </c>
      <c r="AG20" s="34" t="s">
        <v>75</v>
      </c>
      <c r="AH20" s="34"/>
      <c r="AI20" s="34"/>
      <c r="AJ20" s="34"/>
      <c r="AK20" s="34" t="s">
        <v>75</v>
      </c>
      <c r="AL20" s="34" t="s">
        <v>75</v>
      </c>
      <c r="AM20" s="34" t="s">
        <v>75</v>
      </c>
      <c r="AN20" s="34" t="s">
        <v>75</v>
      </c>
      <c r="AO20" s="34" t="s">
        <v>75</v>
      </c>
      <c r="AP20" s="34"/>
      <c r="AQ20" s="34"/>
      <c r="AR20" s="34" t="s">
        <v>116</v>
      </c>
      <c r="AS20" s="34" t="s">
        <v>116</v>
      </c>
      <c r="AT20" s="34" t="s">
        <v>116</v>
      </c>
      <c r="AU20" s="34" t="s">
        <v>116</v>
      </c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7">
        <f>COUNTIF(F20:NS20,"x")</f>
        <v>26</v>
      </c>
      <c r="NU20" s="81"/>
      <c r="NV20" s="32">
        <f>IF(NX20=0,"0",NX20/NX19)</f>
        <v>1.04</v>
      </c>
      <c r="NW20" s="37">
        <f>MOD(ROW(NW20),2)</f>
        <v>0</v>
      </c>
      <c r="NX20" s="36">
        <f>COUNTIF(F20:AU20,"x")</f>
        <v>26</v>
      </c>
      <c r="NY20" s="81"/>
      <c r="NZ20" s="32" t="str">
        <f>IF(OB20=0,"0",OB20/OB19)</f>
        <v>0</v>
      </c>
      <c r="OA20" s="37">
        <f>MOD(ROW(OA20),2)</f>
        <v>0</v>
      </c>
      <c r="OB20" s="36">
        <f>COUNTIF(AV20:CK20,"x")</f>
        <v>0</v>
      </c>
      <c r="OC20" s="81"/>
      <c r="OD20" s="32" t="str">
        <f>IF(OF20=0,"0",OF20/OF19)</f>
        <v>0</v>
      </c>
      <c r="OE20" s="37">
        <f>MOD(ROW(OE20),2)</f>
        <v>0</v>
      </c>
      <c r="OF20" s="36">
        <f>COUNTIF(CL20:EA20,"x")</f>
        <v>0</v>
      </c>
      <c r="OG20" s="81"/>
      <c r="OH20" s="32" t="str">
        <f>IF(OJ20=0,"0",OJ20/OJ19)</f>
        <v>0</v>
      </c>
      <c r="OI20" s="37">
        <f>MOD(ROW(OI20),2)</f>
        <v>0</v>
      </c>
      <c r="OJ20" s="36">
        <f>COUNTIF(EB20:FQ20,"x")</f>
        <v>0</v>
      </c>
      <c r="OK20" s="74"/>
      <c r="OL20" s="32" t="str">
        <f>IF(ON20=0,"0",ON20/ON19)</f>
        <v>0</v>
      </c>
      <c r="OM20" s="37">
        <f>MOD(ROW(OM20),2)</f>
        <v>0</v>
      </c>
      <c r="ON20" s="36">
        <f>COUNTIF(FR20:HG20,"x")</f>
        <v>0</v>
      </c>
      <c r="OO20" s="74"/>
      <c r="OP20" s="32" t="str">
        <f>IF(OR20=0,"0",OR20/OR19)</f>
        <v>0</v>
      </c>
      <c r="OQ20" s="37">
        <f>MOD(ROW(OQ20),2)</f>
        <v>0</v>
      </c>
      <c r="OR20" s="36">
        <f>COUNTIF(HH20:IW20,"x")</f>
        <v>0</v>
      </c>
      <c r="OS20" s="74"/>
      <c r="OT20" s="32" t="str">
        <f>IF(OV20=0,"0",OV20/OV19)</f>
        <v>0</v>
      </c>
      <c r="OU20" s="37">
        <f>MOD(ROW(OU20),2)</f>
        <v>0</v>
      </c>
      <c r="OV20" s="36">
        <f>COUNTIF(IX20:KM20,"x")</f>
        <v>0</v>
      </c>
      <c r="OW20" s="74"/>
      <c r="OX20" s="32" t="str">
        <f>IF(OZ20=0,"0",OZ20/OZ19)</f>
        <v>0</v>
      </c>
      <c r="OY20" s="37">
        <f>MOD(ROW(OY20),2)</f>
        <v>0</v>
      </c>
      <c r="OZ20" s="36">
        <f>COUNTIF(KN20:MC20,"x")</f>
        <v>0</v>
      </c>
      <c r="PA20" s="74"/>
      <c r="PB20" s="32" t="str">
        <f>IF(PD20=0,"0",PD20/PD19)</f>
        <v>0</v>
      </c>
      <c r="PC20" s="37">
        <f>MOD(ROW(PC20),2)</f>
        <v>0</v>
      </c>
      <c r="PD20" s="36">
        <f>COUNTIF(MD20:NS20,"x")</f>
        <v>0</v>
      </c>
      <c r="PE20" s="74"/>
    </row>
    <row r="21" spans="3:421" ht="15.75" customHeight="1" outlineLevel="1" x14ac:dyDescent="0.25">
      <c r="C21" s="88" t="s">
        <v>50</v>
      </c>
      <c r="D21" s="90" t="s">
        <v>89</v>
      </c>
      <c r="E21" s="53" t="s">
        <v>8</v>
      </c>
      <c r="F21" s="33">
        <v>1</v>
      </c>
      <c r="G21" s="33"/>
      <c r="H21" s="33"/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/>
      <c r="O21" s="33"/>
      <c r="P21" s="69"/>
      <c r="Q21" s="33">
        <v>1</v>
      </c>
      <c r="R21" s="33"/>
      <c r="S21" s="33">
        <v>1</v>
      </c>
      <c r="T21" s="33"/>
      <c r="U21" s="33"/>
      <c r="V21" s="33"/>
      <c r="W21" s="69"/>
      <c r="X21" s="33">
        <v>1</v>
      </c>
      <c r="Y21" s="33"/>
      <c r="Z21" s="33">
        <v>1</v>
      </c>
      <c r="AA21" s="33"/>
      <c r="AB21" s="33"/>
      <c r="AC21" s="33"/>
      <c r="AD21" s="33"/>
      <c r="AE21" s="33">
        <v>1</v>
      </c>
      <c r="AF21" s="33"/>
      <c r="AG21" s="33">
        <v>1</v>
      </c>
      <c r="AH21" s="33"/>
      <c r="AI21" s="33"/>
      <c r="AJ21" s="33"/>
      <c r="AK21" s="33"/>
      <c r="AL21" s="33">
        <v>1</v>
      </c>
      <c r="AM21" s="33"/>
      <c r="AN21" s="33">
        <v>1</v>
      </c>
      <c r="AO21" s="33"/>
      <c r="AP21" s="33"/>
      <c r="AQ21" s="33"/>
      <c r="AR21" s="33"/>
      <c r="AS21" s="33">
        <v>1</v>
      </c>
      <c r="AT21" s="33">
        <v>1</v>
      </c>
      <c r="AU21" s="33">
        <v>1</v>
      </c>
      <c r="AV21" s="33"/>
      <c r="AW21" s="33"/>
      <c r="AX21" s="33"/>
      <c r="AY21" s="33"/>
      <c r="AZ21" s="33">
        <v>1</v>
      </c>
      <c r="BA21" s="33"/>
      <c r="BB21" s="33">
        <v>1</v>
      </c>
      <c r="BC21" s="33"/>
      <c r="BD21" s="33"/>
      <c r="BE21" s="33"/>
      <c r="BF21" s="33"/>
      <c r="BG21" s="33">
        <v>1</v>
      </c>
      <c r="BH21" s="33"/>
      <c r="BI21" s="33">
        <v>1</v>
      </c>
      <c r="BJ21" s="33"/>
      <c r="BK21" s="33"/>
      <c r="BL21" s="33"/>
      <c r="BM21" s="33"/>
      <c r="BN21" s="33">
        <v>1</v>
      </c>
      <c r="BO21" s="33"/>
      <c r="BP21" s="33">
        <v>1</v>
      </c>
      <c r="BQ21" s="33"/>
      <c r="BR21" s="33"/>
      <c r="BS21" s="33"/>
      <c r="BT21" s="33"/>
      <c r="BU21" s="33">
        <v>1</v>
      </c>
      <c r="BV21" s="33"/>
      <c r="BW21" s="33">
        <v>1</v>
      </c>
      <c r="BX21" s="33"/>
      <c r="BY21" s="33"/>
      <c r="BZ21" s="33"/>
      <c r="CA21" s="33"/>
      <c r="CB21" s="33">
        <v>1</v>
      </c>
      <c r="CC21" s="33"/>
      <c r="CD21" s="33">
        <v>1</v>
      </c>
      <c r="CE21" s="33"/>
      <c r="CF21" s="33"/>
      <c r="CG21" s="33"/>
      <c r="CH21" s="33"/>
      <c r="CI21" s="33">
        <v>1</v>
      </c>
      <c r="CJ21" s="33"/>
      <c r="CK21" s="33">
        <v>1</v>
      </c>
      <c r="CL21" s="33"/>
      <c r="CM21" s="33"/>
      <c r="CN21" s="33"/>
      <c r="CO21" s="33"/>
      <c r="CP21" s="33">
        <v>1</v>
      </c>
      <c r="CQ21" s="33"/>
      <c r="CR21" s="33">
        <v>1</v>
      </c>
      <c r="CS21" s="33"/>
      <c r="CT21" s="33"/>
      <c r="CU21" s="33"/>
      <c r="CV21" s="33"/>
      <c r="CW21" s="33">
        <v>1</v>
      </c>
      <c r="CX21" s="33"/>
      <c r="CY21" s="33">
        <v>1</v>
      </c>
      <c r="CZ21" s="33"/>
      <c r="DA21" s="33"/>
      <c r="DB21" s="33"/>
      <c r="DC21" s="33"/>
      <c r="DD21" s="33">
        <v>1</v>
      </c>
      <c r="DE21" s="33"/>
      <c r="DF21" s="33">
        <v>1</v>
      </c>
      <c r="DG21" s="33"/>
      <c r="DH21" s="33"/>
      <c r="DI21" s="33"/>
      <c r="DJ21" s="33"/>
      <c r="DK21" s="33">
        <v>1</v>
      </c>
      <c r="DL21" s="33"/>
      <c r="DM21" s="33">
        <v>1</v>
      </c>
      <c r="DN21" s="33"/>
      <c r="DO21" s="33"/>
      <c r="DP21" s="33"/>
      <c r="DQ21" s="33"/>
      <c r="DR21" s="33">
        <v>1</v>
      </c>
      <c r="DS21" s="33"/>
      <c r="DT21" s="33">
        <v>1</v>
      </c>
      <c r="DU21" s="33"/>
      <c r="DV21" s="33"/>
      <c r="DW21" s="33"/>
      <c r="DX21" s="33"/>
      <c r="DY21" s="33">
        <v>1</v>
      </c>
      <c r="DZ21" s="33"/>
      <c r="EA21" s="33">
        <v>1</v>
      </c>
      <c r="EB21" s="33"/>
      <c r="EC21" s="33"/>
      <c r="ED21" s="33"/>
      <c r="EE21" s="33"/>
      <c r="EF21" s="33">
        <v>1</v>
      </c>
      <c r="EG21" s="33"/>
      <c r="EH21" s="33">
        <v>1</v>
      </c>
      <c r="EI21" s="33"/>
      <c r="EJ21" s="33"/>
      <c r="EK21" s="33"/>
      <c r="EL21" s="33"/>
      <c r="EM21" s="33">
        <v>1</v>
      </c>
      <c r="EN21" s="33"/>
      <c r="EO21" s="33">
        <v>1</v>
      </c>
      <c r="EP21" s="33"/>
      <c r="EQ21" s="33"/>
      <c r="ER21" s="33"/>
      <c r="ES21" s="33"/>
      <c r="ET21" s="33">
        <v>1</v>
      </c>
      <c r="EU21" s="33"/>
      <c r="EV21" s="33">
        <v>1</v>
      </c>
      <c r="EW21" s="33"/>
      <c r="EX21" s="33"/>
      <c r="EY21" s="33"/>
      <c r="EZ21" s="33"/>
      <c r="FA21" s="33">
        <v>1</v>
      </c>
      <c r="FB21" s="33"/>
      <c r="FC21" s="33">
        <v>1</v>
      </c>
      <c r="FD21" s="33"/>
      <c r="FE21" s="33"/>
      <c r="FF21" s="33"/>
      <c r="FG21" s="33"/>
      <c r="FH21" s="33">
        <v>1</v>
      </c>
      <c r="FI21" s="33"/>
      <c r="FJ21" s="33">
        <v>1</v>
      </c>
      <c r="FK21" s="33"/>
      <c r="FL21" s="33"/>
      <c r="FM21" s="33"/>
      <c r="FN21" s="33"/>
      <c r="FO21" s="33">
        <v>1</v>
      </c>
      <c r="FP21" s="33"/>
      <c r="FQ21" s="33">
        <v>1</v>
      </c>
      <c r="FR21" s="33"/>
      <c r="FS21" s="33"/>
      <c r="FT21" s="33"/>
      <c r="FU21" s="33"/>
      <c r="FV21" s="33">
        <v>1</v>
      </c>
      <c r="FW21" s="33"/>
      <c r="FX21" s="33">
        <v>1</v>
      </c>
      <c r="FY21" s="33"/>
      <c r="FZ21" s="33"/>
      <c r="GA21" s="33"/>
      <c r="GB21" s="33"/>
      <c r="GC21" s="33">
        <v>1</v>
      </c>
      <c r="GD21" s="33"/>
      <c r="GE21" s="33">
        <v>1</v>
      </c>
      <c r="GF21" s="33"/>
      <c r="GG21" s="33"/>
      <c r="GH21" s="33"/>
      <c r="GI21" s="33"/>
      <c r="GJ21" s="33">
        <v>1</v>
      </c>
      <c r="GK21" s="33"/>
      <c r="GL21" s="33">
        <v>1</v>
      </c>
      <c r="GM21" s="33"/>
      <c r="GN21" s="33"/>
      <c r="GO21" s="33"/>
      <c r="GP21" s="33"/>
      <c r="GQ21" s="33">
        <v>1</v>
      </c>
      <c r="GR21" s="33"/>
      <c r="GS21" s="33">
        <v>1</v>
      </c>
      <c r="GT21" s="33"/>
      <c r="GU21" s="33"/>
      <c r="GV21" s="33"/>
      <c r="GW21" s="33"/>
      <c r="GX21" s="33">
        <v>1</v>
      </c>
      <c r="GY21" s="33"/>
      <c r="GZ21" s="33">
        <v>1</v>
      </c>
      <c r="HA21" s="33"/>
      <c r="HB21" s="33"/>
      <c r="HC21" s="33"/>
      <c r="HD21" s="33"/>
      <c r="HE21" s="33">
        <v>1</v>
      </c>
      <c r="HF21" s="33"/>
      <c r="HG21" s="33">
        <v>1</v>
      </c>
      <c r="HH21" s="33"/>
      <c r="HI21" s="33"/>
      <c r="HJ21" s="33"/>
      <c r="HK21" s="33"/>
      <c r="HL21" s="33">
        <v>1</v>
      </c>
      <c r="HM21" s="33"/>
      <c r="HN21" s="33">
        <v>1</v>
      </c>
      <c r="HO21" s="33"/>
      <c r="HP21" s="33"/>
      <c r="HQ21" s="33"/>
      <c r="HR21" s="33"/>
      <c r="HS21" s="33">
        <v>1</v>
      </c>
      <c r="HT21" s="33"/>
      <c r="HU21" s="33">
        <v>1</v>
      </c>
      <c r="HV21" s="33"/>
      <c r="HW21" s="33"/>
      <c r="HX21" s="33"/>
      <c r="HY21" s="33"/>
      <c r="HZ21" s="33">
        <v>1</v>
      </c>
      <c r="IA21" s="33"/>
      <c r="IB21" s="33">
        <v>1</v>
      </c>
      <c r="IC21" s="33"/>
      <c r="ID21" s="33"/>
      <c r="IE21" s="33"/>
      <c r="IF21" s="33"/>
      <c r="IG21" s="33">
        <v>1</v>
      </c>
      <c r="IH21" s="33"/>
      <c r="II21" s="33">
        <v>1</v>
      </c>
      <c r="IJ21" s="33"/>
      <c r="IK21" s="33"/>
      <c r="IL21" s="33"/>
      <c r="IM21" s="33"/>
      <c r="IN21" s="33">
        <v>1</v>
      </c>
      <c r="IO21" s="33"/>
      <c r="IP21" s="33">
        <v>1</v>
      </c>
      <c r="IQ21" s="33"/>
      <c r="IR21" s="33"/>
      <c r="IS21" s="33"/>
      <c r="IT21" s="33"/>
      <c r="IU21" s="33">
        <v>1</v>
      </c>
      <c r="IV21" s="33"/>
      <c r="IW21" s="33">
        <v>1</v>
      </c>
      <c r="IX21" s="33"/>
      <c r="IY21" s="33"/>
      <c r="IZ21" s="33"/>
      <c r="JA21" s="33"/>
      <c r="JB21" s="33">
        <v>1</v>
      </c>
      <c r="JC21" s="33"/>
      <c r="JD21" s="33">
        <v>1</v>
      </c>
      <c r="JE21" s="33"/>
      <c r="JF21" s="33"/>
      <c r="JG21" s="33"/>
      <c r="JH21" s="33"/>
      <c r="JI21" s="33">
        <v>1</v>
      </c>
      <c r="JJ21" s="33"/>
      <c r="JK21" s="33">
        <v>1</v>
      </c>
      <c r="JL21" s="33"/>
      <c r="JM21" s="33"/>
      <c r="JN21" s="33"/>
      <c r="JO21" s="33"/>
      <c r="JP21" s="33">
        <v>1</v>
      </c>
      <c r="JQ21" s="33"/>
      <c r="JR21" s="33">
        <v>1</v>
      </c>
      <c r="JS21" s="33"/>
      <c r="JT21" s="33"/>
      <c r="JU21" s="33"/>
      <c r="JV21" s="33"/>
      <c r="JW21" s="33">
        <v>1</v>
      </c>
      <c r="JX21" s="33"/>
      <c r="JY21" s="33">
        <v>1</v>
      </c>
      <c r="JZ21" s="33"/>
      <c r="KA21" s="33"/>
      <c r="KB21" s="33"/>
      <c r="KC21" s="33"/>
      <c r="KD21" s="33">
        <v>1</v>
      </c>
      <c r="KE21" s="33"/>
      <c r="KF21" s="33">
        <v>1</v>
      </c>
      <c r="KG21" s="33"/>
      <c r="KH21" s="33"/>
      <c r="KI21" s="33"/>
      <c r="KJ21" s="33"/>
      <c r="KK21" s="33">
        <v>1</v>
      </c>
      <c r="KL21" s="33"/>
      <c r="KM21" s="33">
        <v>1</v>
      </c>
      <c r="KN21" s="33"/>
      <c r="KO21" s="33"/>
      <c r="KP21" s="33"/>
      <c r="KQ21" s="33"/>
      <c r="KR21" s="33">
        <v>1</v>
      </c>
      <c r="KS21" s="33"/>
      <c r="KT21" s="33">
        <v>1</v>
      </c>
      <c r="KU21" s="33"/>
      <c r="KV21" s="33"/>
      <c r="KW21" s="33"/>
      <c r="KX21" s="33"/>
      <c r="KY21" s="33">
        <v>1</v>
      </c>
      <c r="KZ21" s="33"/>
      <c r="LA21" s="33">
        <v>1</v>
      </c>
      <c r="LB21" s="33"/>
      <c r="LC21" s="33"/>
      <c r="LD21" s="33"/>
      <c r="LE21" s="33"/>
      <c r="LF21" s="33">
        <v>1</v>
      </c>
      <c r="LG21" s="33"/>
      <c r="LH21" s="33">
        <v>1</v>
      </c>
      <c r="LI21" s="33"/>
      <c r="LJ21" s="33"/>
      <c r="LK21" s="33"/>
      <c r="LL21" s="33"/>
      <c r="LM21" s="33">
        <v>1</v>
      </c>
      <c r="LN21" s="33"/>
      <c r="LO21" s="33">
        <v>1</v>
      </c>
      <c r="LP21" s="33"/>
      <c r="LQ21" s="33"/>
      <c r="LR21" s="33"/>
      <c r="LS21" s="33"/>
      <c r="LT21" s="33">
        <v>1</v>
      </c>
      <c r="LU21" s="33"/>
      <c r="LV21" s="33">
        <v>1</v>
      </c>
      <c r="LW21" s="33"/>
      <c r="LX21" s="33"/>
      <c r="LY21" s="33"/>
      <c r="LZ21" s="33"/>
      <c r="MA21" s="33">
        <v>1</v>
      </c>
      <c r="MB21" s="33"/>
      <c r="MC21" s="33">
        <v>1</v>
      </c>
      <c r="MD21" s="33"/>
      <c r="ME21" s="33"/>
      <c r="MF21" s="33"/>
      <c r="MG21" s="33"/>
      <c r="MH21" s="33">
        <v>1</v>
      </c>
      <c r="MI21" s="33"/>
      <c r="MJ21" s="33">
        <v>1</v>
      </c>
      <c r="MK21" s="33"/>
      <c r="ML21" s="33"/>
      <c r="MM21" s="33"/>
      <c r="MN21" s="33"/>
      <c r="MO21" s="33">
        <v>1</v>
      </c>
      <c r="MP21" s="33"/>
      <c r="MQ21" s="33">
        <v>1</v>
      </c>
      <c r="MR21" s="33"/>
      <c r="MS21" s="33"/>
      <c r="MT21" s="33"/>
      <c r="MU21" s="33"/>
      <c r="MV21" s="33">
        <v>1</v>
      </c>
      <c r="MW21" s="33"/>
      <c r="MX21" s="33">
        <v>1</v>
      </c>
      <c r="MY21" s="33"/>
      <c r="MZ21" s="33"/>
      <c r="NA21" s="33"/>
      <c r="NB21" s="33"/>
      <c r="NC21" s="33">
        <v>1</v>
      </c>
      <c r="ND21" s="33"/>
      <c r="NE21" s="33">
        <v>1</v>
      </c>
      <c r="NF21" s="33"/>
      <c r="NG21" s="33"/>
      <c r="NH21" s="33"/>
      <c r="NI21" s="33"/>
      <c r="NJ21" s="33">
        <v>1</v>
      </c>
      <c r="NK21" s="33"/>
      <c r="NL21" s="33">
        <v>1</v>
      </c>
      <c r="NM21" s="33"/>
      <c r="NN21" s="33"/>
      <c r="NO21" s="33"/>
      <c r="NP21" s="33"/>
      <c r="NQ21" s="33">
        <v>1</v>
      </c>
      <c r="NR21" s="33"/>
      <c r="NS21" s="33">
        <v>1</v>
      </c>
      <c r="NT21" s="31">
        <f>COUNTIF(F21:NS21,"1")</f>
        <v>113</v>
      </c>
      <c r="NU21" s="80">
        <f>NT22/NT21</f>
        <v>0.15044247787610621</v>
      </c>
      <c r="NV21" s="29" t="str">
        <f>+IF(NX21&gt;=1,"1",0)</f>
        <v>1</v>
      </c>
      <c r="NW21" s="38">
        <f>MOD(ROW(NW21),2)</f>
        <v>1</v>
      </c>
      <c r="NX21" s="35">
        <f>COUNTIF(F21:AU21,"1")</f>
        <v>17</v>
      </c>
      <c r="NY21" s="80">
        <f>NX22/NX21</f>
        <v>1</v>
      </c>
      <c r="NZ21" s="29" t="str">
        <f>+IF(OB21&gt;=1,"1",0)</f>
        <v>1</v>
      </c>
      <c r="OA21" s="38">
        <f>MOD(ROW(OA21),2)</f>
        <v>1</v>
      </c>
      <c r="OB21" s="35">
        <f>COUNTIF(AV21:CK21,"1")</f>
        <v>12</v>
      </c>
      <c r="OC21" s="80">
        <f>OB22/OB21</f>
        <v>0</v>
      </c>
      <c r="OD21" s="29" t="str">
        <f>+IF(OF21&gt;=1,"1",0)</f>
        <v>1</v>
      </c>
      <c r="OE21" s="38">
        <f>MOD(ROW(OE21),2)</f>
        <v>1</v>
      </c>
      <c r="OF21" s="35">
        <f>COUNTIF(CL21:EA21,"1")</f>
        <v>12</v>
      </c>
      <c r="OG21" s="80">
        <f>OF22/OF21</f>
        <v>0</v>
      </c>
      <c r="OH21" s="29" t="str">
        <f>+IF(OJ21&gt;=1,"1",0)</f>
        <v>1</v>
      </c>
      <c r="OI21" s="38">
        <f>MOD(ROW(OI21),2)</f>
        <v>1</v>
      </c>
      <c r="OJ21" s="35">
        <f>COUNTIF(EB21:FQ21,"1")</f>
        <v>12</v>
      </c>
      <c r="OK21" s="79">
        <f>OJ22/OJ21</f>
        <v>0</v>
      </c>
      <c r="OL21" s="29" t="str">
        <f>+IF(ON21&gt;=1,"1",0)</f>
        <v>1</v>
      </c>
      <c r="OM21" s="38">
        <f>MOD(ROW(OM21),2)</f>
        <v>1</v>
      </c>
      <c r="ON21" s="35">
        <f>COUNTIF(FR21:HG21,"1")</f>
        <v>12</v>
      </c>
      <c r="OO21" s="79">
        <f>ON22/ON21</f>
        <v>0</v>
      </c>
      <c r="OP21" s="29" t="str">
        <f>+IF(OR21&gt;=1,"1",0)</f>
        <v>1</v>
      </c>
      <c r="OQ21" s="38">
        <f>MOD(ROW(OQ21),2)</f>
        <v>1</v>
      </c>
      <c r="OR21" s="35">
        <f>COUNTIF(HH21:IW21,"1")</f>
        <v>12</v>
      </c>
      <c r="OS21" s="79">
        <f>OR22/OR21</f>
        <v>0</v>
      </c>
      <c r="OT21" s="29" t="str">
        <f>+IF(OV21&gt;=1,"1",0)</f>
        <v>1</v>
      </c>
      <c r="OU21" s="38">
        <f>MOD(ROW(OU21),2)</f>
        <v>1</v>
      </c>
      <c r="OV21" s="35">
        <f>COUNTIF(IX21:KM21,"1")</f>
        <v>12</v>
      </c>
      <c r="OW21" s="79">
        <f>OV22/OV21</f>
        <v>0</v>
      </c>
      <c r="OX21" s="29" t="str">
        <f>+IF(OZ21&gt;=1,"1",0)</f>
        <v>1</v>
      </c>
      <c r="OY21" s="38">
        <f>MOD(ROW(OY21),2)</f>
        <v>1</v>
      </c>
      <c r="OZ21" s="35">
        <f>COUNTIF(KN21:MC21,"1")</f>
        <v>12</v>
      </c>
      <c r="PA21" s="79">
        <f>OZ22/OZ21</f>
        <v>0</v>
      </c>
      <c r="PB21" s="29" t="str">
        <f>+IF(PD21&gt;=1,"1",0)</f>
        <v>1</v>
      </c>
      <c r="PC21" s="38">
        <f>MOD(ROW(PC21),2)</f>
        <v>1</v>
      </c>
      <c r="PD21" s="35">
        <f>COUNTIF(MD21:NS21,"1")</f>
        <v>12</v>
      </c>
      <c r="PE21" s="79">
        <f>PD22/PD21</f>
        <v>0</v>
      </c>
    </row>
    <row r="22" spans="3:421" ht="15.75" customHeight="1" outlineLevel="1" thickBot="1" x14ac:dyDescent="0.3">
      <c r="C22" s="89"/>
      <c r="D22" s="91"/>
      <c r="E22" s="54" t="s">
        <v>9</v>
      </c>
      <c r="F22" s="34" t="s">
        <v>75</v>
      </c>
      <c r="G22" s="34"/>
      <c r="H22" s="34"/>
      <c r="I22" s="34" t="s">
        <v>75</v>
      </c>
      <c r="J22" s="34" t="s">
        <v>75</v>
      </c>
      <c r="K22" s="34" t="s">
        <v>75</v>
      </c>
      <c r="L22" s="34" t="s">
        <v>75</v>
      </c>
      <c r="M22" s="34" t="s">
        <v>75</v>
      </c>
      <c r="N22" s="34"/>
      <c r="O22" s="34"/>
      <c r="P22" s="70"/>
      <c r="Q22" s="34" t="s">
        <v>75</v>
      </c>
      <c r="R22" s="34"/>
      <c r="S22" s="34"/>
      <c r="T22" s="34" t="s">
        <v>75</v>
      </c>
      <c r="U22" s="34"/>
      <c r="V22" s="34"/>
      <c r="W22" s="70"/>
      <c r="X22" s="34" t="s">
        <v>75</v>
      </c>
      <c r="Y22" s="34"/>
      <c r="Z22" s="34" t="s">
        <v>75</v>
      </c>
      <c r="AA22" s="34"/>
      <c r="AB22" s="34"/>
      <c r="AC22" s="34"/>
      <c r="AD22" s="34"/>
      <c r="AE22" s="34" t="s">
        <v>75</v>
      </c>
      <c r="AF22" s="34"/>
      <c r="AG22" s="34" t="s">
        <v>75</v>
      </c>
      <c r="AH22" s="34"/>
      <c r="AI22" s="34"/>
      <c r="AJ22" s="34"/>
      <c r="AK22" s="34"/>
      <c r="AL22" s="34" t="s">
        <v>75</v>
      </c>
      <c r="AM22" s="34"/>
      <c r="AN22" s="34" t="s">
        <v>75</v>
      </c>
      <c r="AO22" s="34"/>
      <c r="AP22" s="34"/>
      <c r="AQ22" s="34"/>
      <c r="AR22" s="34"/>
      <c r="AS22" s="34" t="s">
        <v>116</v>
      </c>
      <c r="AT22" s="34" t="s">
        <v>116</v>
      </c>
      <c r="AU22" s="34" t="s">
        <v>116</v>
      </c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4"/>
      <c r="NQ22" s="34"/>
      <c r="NR22" s="34"/>
      <c r="NS22" s="34"/>
      <c r="NT22" s="7">
        <f>COUNTIF(F22:NS22,"x")</f>
        <v>17</v>
      </c>
      <c r="NU22" s="81"/>
      <c r="NV22" s="32">
        <f>IF(NX22=0,"0",NX22/NX21)</f>
        <v>1</v>
      </c>
      <c r="NW22" s="37">
        <f>MOD(ROW(NW22),2)</f>
        <v>0</v>
      </c>
      <c r="NX22" s="36">
        <f>COUNTIF(F22:AU22,"x")</f>
        <v>17</v>
      </c>
      <c r="NY22" s="81"/>
      <c r="NZ22" s="32" t="str">
        <f>IF(OB22=0,"0",OB22/OB21)</f>
        <v>0</v>
      </c>
      <c r="OA22" s="37">
        <f>MOD(ROW(OA22),2)</f>
        <v>0</v>
      </c>
      <c r="OB22" s="36">
        <f>COUNTIF(AV22:CK22,"x")</f>
        <v>0</v>
      </c>
      <c r="OC22" s="81"/>
      <c r="OD22" s="32" t="str">
        <f>IF(OF22=0,"0",OF22/OF21)</f>
        <v>0</v>
      </c>
      <c r="OE22" s="37">
        <f>MOD(ROW(OE22),2)</f>
        <v>0</v>
      </c>
      <c r="OF22" s="36">
        <f>COUNTIF(CL22:EA22,"x")</f>
        <v>0</v>
      </c>
      <c r="OG22" s="81"/>
      <c r="OH22" s="32" t="str">
        <f>IF(OJ22=0,"0",OJ22/OJ21)</f>
        <v>0</v>
      </c>
      <c r="OI22" s="37">
        <f>MOD(ROW(OI22),2)</f>
        <v>0</v>
      </c>
      <c r="OJ22" s="36">
        <f>COUNTIF(EB22:FQ22,"x")</f>
        <v>0</v>
      </c>
      <c r="OK22" s="74"/>
      <c r="OL22" s="32" t="str">
        <f>IF(ON22=0,"0",ON22/ON21)</f>
        <v>0</v>
      </c>
      <c r="OM22" s="37">
        <f>MOD(ROW(OM22),2)</f>
        <v>0</v>
      </c>
      <c r="ON22" s="36">
        <f>COUNTIF(FR22:HG22,"x")</f>
        <v>0</v>
      </c>
      <c r="OO22" s="74"/>
      <c r="OP22" s="32" t="str">
        <f>IF(OR22=0,"0",OR22/OR21)</f>
        <v>0</v>
      </c>
      <c r="OQ22" s="37">
        <f>MOD(ROW(OQ22),2)</f>
        <v>0</v>
      </c>
      <c r="OR22" s="36">
        <f>COUNTIF(HH22:IW22,"x")</f>
        <v>0</v>
      </c>
      <c r="OS22" s="74"/>
      <c r="OT22" s="32" t="str">
        <f>IF(OV22=0,"0",OV22/OV21)</f>
        <v>0</v>
      </c>
      <c r="OU22" s="37">
        <f>MOD(ROW(OU22),2)</f>
        <v>0</v>
      </c>
      <c r="OV22" s="36">
        <f>COUNTIF(IX22:KM22,"x")</f>
        <v>0</v>
      </c>
      <c r="OW22" s="74"/>
      <c r="OX22" s="32" t="str">
        <f>IF(OZ22=0,"0",OZ22/OZ21)</f>
        <v>0</v>
      </c>
      <c r="OY22" s="37">
        <f>MOD(ROW(OY22),2)</f>
        <v>0</v>
      </c>
      <c r="OZ22" s="36">
        <f>COUNTIF(KN22:MC22,"x")</f>
        <v>0</v>
      </c>
      <c r="PA22" s="74"/>
      <c r="PB22" s="32" t="str">
        <f>IF(PD22=0,"0",PD22/PD21)</f>
        <v>0</v>
      </c>
      <c r="PC22" s="37">
        <f>MOD(ROW(PC22),2)</f>
        <v>0</v>
      </c>
      <c r="PD22" s="36">
        <f>COUNTIF(MD22:NS22,"x")</f>
        <v>0</v>
      </c>
      <c r="PE22" s="74"/>
    </row>
    <row r="23" spans="3:421" ht="15.75" customHeight="1" outlineLevel="1" x14ac:dyDescent="0.25">
      <c r="C23" s="88" t="s">
        <v>47</v>
      </c>
      <c r="D23" s="90" t="s">
        <v>89</v>
      </c>
      <c r="E23" s="53" t="s">
        <v>8</v>
      </c>
      <c r="F23" s="33">
        <v>1</v>
      </c>
      <c r="G23" s="33"/>
      <c r="H23" s="33"/>
      <c r="I23" s="33">
        <v>1</v>
      </c>
      <c r="J23" s="33">
        <v>1</v>
      </c>
      <c r="K23" s="33"/>
      <c r="L23" s="33">
        <v>1</v>
      </c>
      <c r="M23" s="33"/>
      <c r="N23" s="33"/>
      <c r="O23" s="33"/>
      <c r="P23" s="69"/>
      <c r="Q23" s="33">
        <v>1</v>
      </c>
      <c r="R23" s="33"/>
      <c r="S23" s="33">
        <v>1</v>
      </c>
      <c r="T23" s="33"/>
      <c r="U23" s="33"/>
      <c r="V23" s="33"/>
      <c r="W23" s="69"/>
      <c r="X23" s="33" t="s">
        <v>74</v>
      </c>
      <c r="Y23" s="33"/>
      <c r="Z23" s="33" t="s">
        <v>74</v>
      </c>
      <c r="AA23" s="33"/>
      <c r="AB23" s="33"/>
      <c r="AC23" s="33"/>
      <c r="AD23" s="33"/>
      <c r="AE23" s="33" t="s">
        <v>74</v>
      </c>
      <c r="AF23" s="33"/>
      <c r="AG23" s="33" t="s">
        <v>74</v>
      </c>
      <c r="AH23" s="33"/>
      <c r="AI23" s="33"/>
      <c r="AJ23" s="33"/>
      <c r="AK23" s="33"/>
      <c r="AL23" s="33">
        <v>1</v>
      </c>
      <c r="AM23" s="33"/>
      <c r="AN23" s="33">
        <v>1</v>
      </c>
      <c r="AO23" s="33"/>
      <c r="AP23" s="33"/>
      <c r="AQ23" s="33"/>
      <c r="AR23" s="33"/>
      <c r="AS23" s="33">
        <v>1</v>
      </c>
      <c r="AT23" s="33">
        <v>1</v>
      </c>
      <c r="AU23" s="33"/>
      <c r="AV23" s="33"/>
      <c r="AW23" s="33"/>
      <c r="AX23" s="33"/>
      <c r="AY23" s="33"/>
      <c r="AZ23" s="33">
        <v>1</v>
      </c>
      <c r="BA23" s="33"/>
      <c r="BB23" s="33">
        <v>1</v>
      </c>
      <c r="BC23" s="33"/>
      <c r="BD23" s="33"/>
      <c r="BE23" s="33"/>
      <c r="BF23" s="33"/>
      <c r="BG23" s="33">
        <v>1</v>
      </c>
      <c r="BH23" s="33"/>
      <c r="BI23" s="33">
        <v>1</v>
      </c>
      <c r="BJ23" s="33"/>
      <c r="BK23" s="33"/>
      <c r="BL23" s="33"/>
      <c r="BM23" s="33"/>
      <c r="BN23" s="33">
        <v>1</v>
      </c>
      <c r="BO23" s="33"/>
      <c r="BP23" s="33">
        <v>1</v>
      </c>
      <c r="BQ23" s="33"/>
      <c r="BR23" s="33"/>
      <c r="BS23" s="33"/>
      <c r="BT23" s="33"/>
      <c r="BU23" s="33">
        <v>1</v>
      </c>
      <c r="BV23" s="33"/>
      <c r="BW23" s="33">
        <v>1</v>
      </c>
      <c r="BX23" s="33"/>
      <c r="BY23" s="33"/>
      <c r="BZ23" s="33"/>
      <c r="CA23" s="33"/>
      <c r="CB23" s="33">
        <v>1</v>
      </c>
      <c r="CC23" s="33"/>
      <c r="CD23" s="33">
        <v>1</v>
      </c>
      <c r="CE23" s="33"/>
      <c r="CF23" s="33"/>
      <c r="CG23" s="33"/>
      <c r="CH23" s="33"/>
      <c r="CI23" s="33">
        <v>1</v>
      </c>
      <c r="CJ23" s="33"/>
      <c r="CK23" s="33">
        <v>1</v>
      </c>
      <c r="CL23" s="33"/>
      <c r="CM23" s="33"/>
      <c r="CN23" s="33"/>
      <c r="CO23" s="33"/>
      <c r="CP23" s="33">
        <v>1</v>
      </c>
      <c r="CQ23" s="33"/>
      <c r="CR23" s="33">
        <v>1</v>
      </c>
      <c r="CS23" s="33"/>
      <c r="CT23" s="33"/>
      <c r="CU23" s="33"/>
      <c r="CV23" s="33"/>
      <c r="CW23" s="33">
        <v>1</v>
      </c>
      <c r="CX23" s="33"/>
      <c r="CY23" s="33">
        <v>1</v>
      </c>
      <c r="CZ23" s="33"/>
      <c r="DA23" s="33"/>
      <c r="DB23" s="33"/>
      <c r="DC23" s="33"/>
      <c r="DD23" s="33">
        <v>1</v>
      </c>
      <c r="DE23" s="33"/>
      <c r="DF23" s="33">
        <v>1</v>
      </c>
      <c r="DG23" s="33"/>
      <c r="DH23" s="33"/>
      <c r="DI23" s="33"/>
      <c r="DJ23" s="33"/>
      <c r="DK23" s="33">
        <v>1</v>
      </c>
      <c r="DL23" s="33"/>
      <c r="DM23" s="33">
        <v>1</v>
      </c>
      <c r="DN23" s="33"/>
      <c r="DO23" s="33"/>
      <c r="DP23" s="33"/>
      <c r="DQ23" s="33"/>
      <c r="DR23" s="33">
        <v>1</v>
      </c>
      <c r="DS23" s="33"/>
      <c r="DT23" s="33">
        <v>1</v>
      </c>
      <c r="DU23" s="33"/>
      <c r="DV23" s="33"/>
      <c r="DW23" s="33"/>
      <c r="DX23" s="33"/>
      <c r="DY23" s="33">
        <v>1</v>
      </c>
      <c r="DZ23" s="33"/>
      <c r="EA23" s="33">
        <v>1</v>
      </c>
      <c r="EB23" s="33"/>
      <c r="EC23" s="33"/>
      <c r="ED23" s="33"/>
      <c r="EE23" s="33"/>
      <c r="EF23" s="33">
        <v>1</v>
      </c>
      <c r="EG23" s="33"/>
      <c r="EH23" s="33">
        <v>1</v>
      </c>
      <c r="EI23" s="33"/>
      <c r="EJ23" s="33"/>
      <c r="EK23" s="33"/>
      <c r="EL23" s="33"/>
      <c r="EM23" s="33">
        <v>1</v>
      </c>
      <c r="EN23" s="33"/>
      <c r="EO23" s="33">
        <v>1</v>
      </c>
      <c r="EP23" s="33"/>
      <c r="EQ23" s="33"/>
      <c r="ER23" s="33"/>
      <c r="ES23" s="33"/>
      <c r="ET23" s="33">
        <v>1</v>
      </c>
      <c r="EU23" s="33"/>
      <c r="EV23" s="33">
        <v>1</v>
      </c>
      <c r="EW23" s="33"/>
      <c r="EX23" s="33"/>
      <c r="EY23" s="33"/>
      <c r="EZ23" s="33"/>
      <c r="FA23" s="33">
        <v>1</v>
      </c>
      <c r="FB23" s="33"/>
      <c r="FC23" s="33">
        <v>1</v>
      </c>
      <c r="FD23" s="33"/>
      <c r="FE23" s="33"/>
      <c r="FF23" s="33"/>
      <c r="FG23" s="33"/>
      <c r="FH23" s="33">
        <v>1</v>
      </c>
      <c r="FI23" s="33"/>
      <c r="FJ23" s="33">
        <v>1</v>
      </c>
      <c r="FK23" s="33"/>
      <c r="FL23" s="33"/>
      <c r="FM23" s="33"/>
      <c r="FN23" s="33"/>
      <c r="FO23" s="33">
        <v>1</v>
      </c>
      <c r="FP23" s="33"/>
      <c r="FQ23" s="33">
        <v>1</v>
      </c>
      <c r="FR23" s="33"/>
      <c r="FS23" s="33"/>
      <c r="FT23" s="33"/>
      <c r="FU23" s="33"/>
      <c r="FV23" s="33">
        <v>1</v>
      </c>
      <c r="FW23" s="33"/>
      <c r="FX23" s="33">
        <v>1</v>
      </c>
      <c r="FY23" s="33"/>
      <c r="FZ23" s="33"/>
      <c r="GA23" s="33"/>
      <c r="GB23" s="33"/>
      <c r="GC23" s="33">
        <v>1</v>
      </c>
      <c r="GD23" s="33"/>
      <c r="GE23" s="33">
        <v>1</v>
      </c>
      <c r="GF23" s="33"/>
      <c r="GG23" s="33"/>
      <c r="GH23" s="33"/>
      <c r="GI23" s="33"/>
      <c r="GJ23" s="33">
        <v>1</v>
      </c>
      <c r="GK23" s="33"/>
      <c r="GL23" s="33">
        <v>1</v>
      </c>
      <c r="GM23" s="33"/>
      <c r="GN23" s="33"/>
      <c r="GO23" s="33"/>
      <c r="GP23" s="33"/>
      <c r="GQ23" s="33">
        <v>1</v>
      </c>
      <c r="GR23" s="33"/>
      <c r="GS23" s="33">
        <v>1</v>
      </c>
      <c r="GT23" s="33"/>
      <c r="GU23" s="33"/>
      <c r="GV23" s="33"/>
      <c r="GW23" s="33"/>
      <c r="GX23" s="33">
        <v>1</v>
      </c>
      <c r="GY23" s="33"/>
      <c r="GZ23" s="33">
        <v>1</v>
      </c>
      <c r="HA23" s="33"/>
      <c r="HB23" s="33"/>
      <c r="HC23" s="33"/>
      <c r="HD23" s="33"/>
      <c r="HE23" s="33">
        <v>1</v>
      </c>
      <c r="HF23" s="33"/>
      <c r="HG23" s="33">
        <v>1</v>
      </c>
      <c r="HH23" s="33"/>
      <c r="HI23" s="33"/>
      <c r="HJ23" s="33"/>
      <c r="HK23" s="33"/>
      <c r="HL23" s="33">
        <v>1</v>
      </c>
      <c r="HM23" s="33"/>
      <c r="HN23" s="33">
        <v>1</v>
      </c>
      <c r="HO23" s="33"/>
      <c r="HP23" s="33"/>
      <c r="HQ23" s="33"/>
      <c r="HR23" s="33"/>
      <c r="HS23" s="33">
        <v>1</v>
      </c>
      <c r="HT23" s="33"/>
      <c r="HU23" s="33">
        <v>1</v>
      </c>
      <c r="HV23" s="33"/>
      <c r="HW23" s="33"/>
      <c r="HX23" s="33"/>
      <c r="HY23" s="33"/>
      <c r="HZ23" s="33">
        <v>1</v>
      </c>
      <c r="IA23" s="33"/>
      <c r="IB23" s="33">
        <v>1</v>
      </c>
      <c r="IC23" s="33"/>
      <c r="ID23" s="33"/>
      <c r="IE23" s="33"/>
      <c r="IF23" s="33"/>
      <c r="IG23" s="33">
        <v>1</v>
      </c>
      <c r="IH23" s="33"/>
      <c r="II23" s="33">
        <v>1</v>
      </c>
      <c r="IJ23" s="33"/>
      <c r="IK23" s="33"/>
      <c r="IL23" s="33"/>
      <c r="IM23" s="33"/>
      <c r="IN23" s="33">
        <v>1</v>
      </c>
      <c r="IO23" s="33"/>
      <c r="IP23" s="33">
        <v>1</v>
      </c>
      <c r="IQ23" s="33"/>
      <c r="IR23" s="33"/>
      <c r="IS23" s="33"/>
      <c r="IT23" s="33"/>
      <c r="IU23" s="33">
        <v>1</v>
      </c>
      <c r="IV23" s="33"/>
      <c r="IW23" s="33">
        <v>1</v>
      </c>
      <c r="IX23" s="33"/>
      <c r="IY23" s="33"/>
      <c r="IZ23" s="33"/>
      <c r="JA23" s="33"/>
      <c r="JB23" s="33">
        <v>1</v>
      </c>
      <c r="JC23" s="33"/>
      <c r="JD23" s="33">
        <v>1</v>
      </c>
      <c r="JE23" s="33"/>
      <c r="JF23" s="33"/>
      <c r="JG23" s="33"/>
      <c r="JH23" s="33"/>
      <c r="JI23" s="33">
        <v>1</v>
      </c>
      <c r="JJ23" s="33"/>
      <c r="JK23" s="33">
        <v>1</v>
      </c>
      <c r="JL23" s="33"/>
      <c r="JM23" s="33"/>
      <c r="JN23" s="33"/>
      <c r="JO23" s="33"/>
      <c r="JP23" s="33">
        <v>1</v>
      </c>
      <c r="JQ23" s="33"/>
      <c r="JR23" s="33">
        <v>1</v>
      </c>
      <c r="JS23" s="33"/>
      <c r="JT23" s="33"/>
      <c r="JU23" s="33"/>
      <c r="JV23" s="33"/>
      <c r="JW23" s="33">
        <v>1</v>
      </c>
      <c r="JX23" s="33"/>
      <c r="JY23" s="33">
        <v>1</v>
      </c>
      <c r="JZ23" s="33"/>
      <c r="KA23" s="33"/>
      <c r="KB23" s="33"/>
      <c r="KC23" s="33"/>
      <c r="KD23" s="33">
        <v>1</v>
      </c>
      <c r="KE23" s="33"/>
      <c r="KF23" s="33">
        <v>1</v>
      </c>
      <c r="KG23" s="33"/>
      <c r="KH23" s="33"/>
      <c r="KI23" s="33"/>
      <c r="KJ23" s="33"/>
      <c r="KK23" s="33">
        <v>1</v>
      </c>
      <c r="KL23" s="33"/>
      <c r="KM23" s="33">
        <v>1</v>
      </c>
      <c r="KN23" s="33"/>
      <c r="KO23" s="33"/>
      <c r="KP23" s="33"/>
      <c r="KQ23" s="33"/>
      <c r="KR23" s="33">
        <v>1</v>
      </c>
      <c r="KS23" s="33"/>
      <c r="KT23" s="33">
        <v>1</v>
      </c>
      <c r="KU23" s="33"/>
      <c r="KV23" s="33"/>
      <c r="KW23" s="33"/>
      <c r="KX23" s="33"/>
      <c r="KY23" s="33">
        <v>1</v>
      </c>
      <c r="KZ23" s="33"/>
      <c r="LA23" s="33">
        <v>1</v>
      </c>
      <c r="LB23" s="33"/>
      <c r="LC23" s="33"/>
      <c r="LD23" s="33"/>
      <c r="LE23" s="33"/>
      <c r="LF23" s="33">
        <v>1</v>
      </c>
      <c r="LG23" s="33"/>
      <c r="LH23" s="33">
        <v>1</v>
      </c>
      <c r="LI23" s="33"/>
      <c r="LJ23" s="33"/>
      <c r="LK23" s="33"/>
      <c r="LL23" s="33"/>
      <c r="LM23" s="33">
        <v>1</v>
      </c>
      <c r="LN23" s="33"/>
      <c r="LO23" s="33">
        <v>1</v>
      </c>
      <c r="LP23" s="33"/>
      <c r="LQ23" s="33"/>
      <c r="LR23" s="33"/>
      <c r="LS23" s="33"/>
      <c r="LT23" s="33">
        <v>1</v>
      </c>
      <c r="LU23" s="33"/>
      <c r="LV23" s="33">
        <v>1</v>
      </c>
      <c r="LW23" s="33"/>
      <c r="LX23" s="33"/>
      <c r="LY23" s="33"/>
      <c r="LZ23" s="33"/>
      <c r="MA23" s="33">
        <v>1</v>
      </c>
      <c r="MB23" s="33"/>
      <c r="MC23" s="33">
        <v>1</v>
      </c>
      <c r="MD23" s="33"/>
      <c r="ME23" s="33"/>
      <c r="MF23" s="33"/>
      <c r="MG23" s="33"/>
      <c r="MH23" s="33">
        <v>1</v>
      </c>
      <c r="MI23" s="33"/>
      <c r="MJ23" s="33">
        <v>1</v>
      </c>
      <c r="MK23" s="33"/>
      <c r="ML23" s="33"/>
      <c r="MM23" s="33"/>
      <c r="MN23" s="33"/>
      <c r="MO23" s="33">
        <v>1</v>
      </c>
      <c r="MP23" s="33"/>
      <c r="MQ23" s="33">
        <v>1</v>
      </c>
      <c r="MR23" s="33"/>
      <c r="MS23" s="33"/>
      <c r="MT23" s="33"/>
      <c r="MU23" s="33"/>
      <c r="MV23" s="33">
        <v>1</v>
      </c>
      <c r="MW23" s="33"/>
      <c r="MX23" s="33">
        <v>1</v>
      </c>
      <c r="MY23" s="33"/>
      <c r="MZ23" s="33"/>
      <c r="NA23" s="33"/>
      <c r="NB23" s="33"/>
      <c r="NC23" s="33">
        <v>1</v>
      </c>
      <c r="ND23" s="33"/>
      <c r="NE23" s="33">
        <v>1</v>
      </c>
      <c r="NF23" s="33"/>
      <c r="NG23" s="33"/>
      <c r="NH23" s="33"/>
      <c r="NI23" s="33"/>
      <c r="NJ23" s="33">
        <v>1</v>
      </c>
      <c r="NK23" s="33"/>
      <c r="NL23" s="33">
        <v>1</v>
      </c>
      <c r="NM23" s="33"/>
      <c r="NN23" s="33"/>
      <c r="NO23" s="33"/>
      <c r="NP23" s="33"/>
      <c r="NQ23" s="33">
        <v>1</v>
      </c>
      <c r="NR23" s="33"/>
      <c r="NS23" s="33">
        <v>1</v>
      </c>
      <c r="NT23" s="31">
        <f>COUNTIF(F23:NS23,"1")</f>
        <v>106</v>
      </c>
      <c r="NU23" s="80">
        <f>NT24/NT23</f>
        <v>9.4339622641509441E-2</v>
      </c>
      <c r="NV23" s="29" t="str">
        <f>+IF(NX23&gt;=1,"1",0)</f>
        <v>1</v>
      </c>
      <c r="NW23" s="38">
        <f t="shared" si="18"/>
        <v>1</v>
      </c>
      <c r="NX23" s="35">
        <f>COUNTIF(F23:AU23,"1")</f>
        <v>10</v>
      </c>
      <c r="NY23" s="80">
        <f>NX24/NX23</f>
        <v>1</v>
      </c>
      <c r="NZ23" s="29" t="str">
        <f>+IF(OB23&gt;=1,"1",0)</f>
        <v>1</v>
      </c>
      <c r="OA23" s="38">
        <f t="shared" si="19"/>
        <v>1</v>
      </c>
      <c r="OB23" s="35">
        <f>COUNTIF(AV23:CK23,"1")</f>
        <v>12</v>
      </c>
      <c r="OC23" s="80">
        <f>OB24/OB23</f>
        <v>0</v>
      </c>
      <c r="OD23" s="29" t="str">
        <f>+IF(OF23&gt;=1,"1",0)</f>
        <v>1</v>
      </c>
      <c r="OE23" s="38">
        <f t="shared" si="20"/>
        <v>1</v>
      </c>
      <c r="OF23" s="35">
        <f>COUNTIF(CL23:EA23,"1")</f>
        <v>12</v>
      </c>
      <c r="OG23" s="80">
        <f>OF24/OF23</f>
        <v>0</v>
      </c>
      <c r="OH23" s="29" t="str">
        <f>+IF(OJ23&gt;=1,"1",0)</f>
        <v>1</v>
      </c>
      <c r="OI23" s="38">
        <f t="shared" si="21"/>
        <v>1</v>
      </c>
      <c r="OJ23" s="45">
        <f>COUNTIF(EB23:FQ23,"1")</f>
        <v>12</v>
      </c>
      <c r="OK23" s="79">
        <f>OJ24/OJ23</f>
        <v>0</v>
      </c>
      <c r="OL23" s="29" t="str">
        <f>+IF(ON23&gt;=1,"1",0)</f>
        <v>1</v>
      </c>
      <c r="OM23" s="38">
        <f t="shared" si="22"/>
        <v>1</v>
      </c>
      <c r="ON23" s="35">
        <f>COUNTIF(FR23:HG23,"1")</f>
        <v>12</v>
      </c>
      <c r="OO23" s="79">
        <f>ON24/ON23</f>
        <v>0</v>
      </c>
      <c r="OP23" s="29" t="str">
        <f>+IF(OR23&gt;=1,"1",0)</f>
        <v>1</v>
      </c>
      <c r="OQ23" s="38">
        <f t="shared" si="23"/>
        <v>1</v>
      </c>
      <c r="OR23" s="35">
        <f>COUNTIF(HH23:IW23,"1")</f>
        <v>12</v>
      </c>
      <c r="OS23" s="79">
        <f>OR24/OR23</f>
        <v>0</v>
      </c>
      <c r="OT23" s="29" t="str">
        <f>+IF(OV23&gt;=1,"1",0)</f>
        <v>1</v>
      </c>
      <c r="OU23" s="38">
        <f t="shared" si="24"/>
        <v>1</v>
      </c>
      <c r="OV23" s="35">
        <f>COUNTIF(IX23:KM23,"1")</f>
        <v>12</v>
      </c>
      <c r="OW23" s="79">
        <f>OV24/OV23</f>
        <v>0</v>
      </c>
      <c r="OX23" s="29" t="str">
        <f>+IF(OZ23&gt;=1,"1",0)</f>
        <v>1</v>
      </c>
      <c r="OY23" s="38">
        <f t="shared" si="25"/>
        <v>1</v>
      </c>
      <c r="OZ23" s="35">
        <f>COUNTIF(KN23:MC23,"1")</f>
        <v>12</v>
      </c>
      <c r="PA23" s="79">
        <f>OZ24/OZ23</f>
        <v>0</v>
      </c>
      <c r="PB23" s="29" t="str">
        <f>+IF(PD23&gt;=1,"1",0)</f>
        <v>1</v>
      </c>
      <c r="PC23" s="38">
        <f t="shared" si="26"/>
        <v>1</v>
      </c>
      <c r="PD23" s="35">
        <f>COUNTIF(MD23:NS23,"1")</f>
        <v>12</v>
      </c>
      <c r="PE23" s="79">
        <f>PD24/PD23</f>
        <v>0</v>
      </c>
    </row>
    <row r="24" spans="3:421" ht="15.75" customHeight="1" outlineLevel="1" thickBot="1" x14ac:dyDescent="0.3">
      <c r="C24" s="89"/>
      <c r="D24" s="91"/>
      <c r="E24" s="54" t="s">
        <v>9</v>
      </c>
      <c r="F24" s="34" t="s">
        <v>75</v>
      </c>
      <c r="G24" s="34"/>
      <c r="H24" s="34"/>
      <c r="I24" s="34" t="s">
        <v>75</v>
      </c>
      <c r="J24" s="34" t="s">
        <v>75</v>
      </c>
      <c r="K24" s="34"/>
      <c r="L24" s="34" t="s">
        <v>75</v>
      </c>
      <c r="M24" s="34"/>
      <c r="N24" s="34"/>
      <c r="O24" s="34"/>
      <c r="P24" s="70"/>
      <c r="Q24" s="34"/>
      <c r="R24" s="34" t="s">
        <v>75</v>
      </c>
      <c r="S24" s="34"/>
      <c r="T24" s="34" t="s">
        <v>75</v>
      </c>
      <c r="U24" s="34"/>
      <c r="V24" s="34"/>
      <c r="W24" s="70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 t="s">
        <v>75</v>
      </c>
      <c r="AL24" s="34"/>
      <c r="AM24" s="34"/>
      <c r="AN24" s="34"/>
      <c r="AO24" s="34" t="s">
        <v>75</v>
      </c>
      <c r="AP24" s="34"/>
      <c r="AQ24" s="34"/>
      <c r="AR24" s="34"/>
      <c r="AS24" s="34" t="s">
        <v>116</v>
      </c>
      <c r="AT24" s="34" t="s">
        <v>116</v>
      </c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  <c r="JL24" s="34"/>
      <c r="JM24" s="34"/>
      <c r="JN24" s="34"/>
      <c r="JO24" s="34"/>
      <c r="JP24" s="34"/>
      <c r="JQ24" s="34"/>
      <c r="JR24" s="34"/>
      <c r="JS24" s="34"/>
      <c r="JT24" s="34"/>
      <c r="JU24" s="34"/>
      <c r="JV24" s="34"/>
      <c r="JW24" s="34"/>
      <c r="JX24" s="34"/>
      <c r="JY24" s="34"/>
      <c r="JZ24" s="34"/>
      <c r="KA24" s="34"/>
      <c r="KB24" s="34"/>
      <c r="KC24" s="34"/>
      <c r="KD24" s="34"/>
      <c r="KE24" s="34"/>
      <c r="KF24" s="34"/>
      <c r="KG24" s="34"/>
      <c r="KH24" s="34"/>
      <c r="KI24" s="34"/>
      <c r="KJ24" s="34"/>
      <c r="KK24" s="34"/>
      <c r="KL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34"/>
      <c r="LW24" s="34"/>
      <c r="LX24" s="34"/>
      <c r="LY24" s="34"/>
      <c r="LZ24" s="34"/>
      <c r="MA24" s="34"/>
      <c r="MB24" s="34"/>
      <c r="MC24" s="34"/>
      <c r="MD24" s="34"/>
      <c r="ME24" s="34"/>
      <c r="MF24" s="34"/>
      <c r="MG24" s="34"/>
      <c r="MH24" s="34"/>
      <c r="MI24" s="34"/>
      <c r="MJ24" s="34"/>
      <c r="MK24" s="34"/>
      <c r="ML24" s="34"/>
      <c r="MM24" s="34"/>
      <c r="MN24" s="34"/>
      <c r="MO24" s="34"/>
      <c r="MP24" s="34"/>
      <c r="MQ24" s="34"/>
      <c r="MR24" s="34"/>
      <c r="MS24" s="34"/>
      <c r="MT24" s="34"/>
      <c r="MU24" s="34"/>
      <c r="MV24" s="34"/>
      <c r="MW24" s="34"/>
      <c r="MX24" s="34"/>
      <c r="MY24" s="34"/>
      <c r="MZ24" s="34"/>
      <c r="NA24" s="34"/>
      <c r="NB24" s="34"/>
      <c r="NC24" s="34"/>
      <c r="ND24" s="34"/>
      <c r="NE24" s="34"/>
      <c r="NF24" s="34"/>
      <c r="NG24" s="34"/>
      <c r="NH24" s="34"/>
      <c r="NI24" s="34"/>
      <c r="NJ24" s="34"/>
      <c r="NK24" s="34"/>
      <c r="NL24" s="34"/>
      <c r="NM24" s="34"/>
      <c r="NN24" s="34"/>
      <c r="NO24" s="34"/>
      <c r="NP24" s="34"/>
      <c r="NQ24" s="34"/>
      <c r="NR24" s="34"/>
      <c r="NS24" s="34"/>
      <c r="NT24" s="7">
        <f>COUNTIF(F24:NS24,"x")</f>
        <v>10</v>
      </c>
      <c r="NU24" s="81"/>
      <c r="NV24" s="32">
        <f>IF(NX24=0,"0",NX24/NX23)</f>
        <v>1</v>
      </c>
      <c r="NW24" s="37">
        <f t="shared" si="18"/>
        <v>0</v>
      </c>
      <c r="NX24" s="36">
        <f>COUNTIF(F24:AU24,"x")</f>
        <v>10</v>
      </c>
      <c r="NY24" s="81"/>
      <c r="NZ24" s="32" t="str">
        <f>IF(OB24=0,"0",OB24/OB23)</f>
        <v>0</v>
      </c>
      <c r="OA24" s="37">
        <f t="shared" si="19"/>
        <v>0</v>
      </c>
      <c r="OB24" s="36">
        <f>COUNTIF(AV24:CK24,"x")</f>
        <v>0</v>
      </c>
      <c r="OC24" s="81"/>
      <c r="OD24" s="32" t="str">
        <f>IF(OF24=0,"0",OF24/OF23)</f>
        <v>0</v>
      </c>
      <c r="OE24" s="37">
        <f t="shared" si="20"/>
        <v>0</v>
      </c>
      <c r="OF24" s="36">
        <f>COUNTIF(CL24:EA24,"x")</f>
        <v>0</v>
      </c>
      <c r="OG24" s="81"/>
      <c r="OH24" s="32" t="str">
        <f>IF(OJ24=0,"0",OJ24/OJ23)</f>
        <v>0</v>
      </c>
      <c r="OI24" s="37">
        <f t="shared" si="21"/>
        <v>0</v>
      </c>
      <c r="OJ24" s="46">
        <f>COUNTIF(EB24:FQ24,"x")</f>
        <v>0</v>
      </c>
      <c r="OK24" s="74"/>
      <c r="OL24" s="32" t="str">
        <f>IF(ON24=0,"0",ON24/ON23)</f>
        <v>0</v>
      </c>
      <c r="OM24" s="37">
        <f t="shared" si="22"/>
        <v>0</v>
      </c>
      <c r="ON24" s="36">
        <f>COUNTIF(FR24:HG24,"x")</f>
        <v>0</v>
      </c>
      <c r="OO24" s="74"/>
      <c r="OP24" s="32" t="str">
        <f>IF(OR24=0,"0",OR24/OR23)</f>
        <v>0</v>
      </c>
      <c r="OQ24" s="37">
        <f t="shared" si="23"/>
        <v>0</v>
      </c>
      <c r="OR24" s="36">
        <f>COUNTIF(HH24:IW24,"x")</f>
        <v>0</v>
      </c>
      <c r="OS24" s="74"/>
      <c r="OT24" s="32" t="str">
        <f>IF(OV24=0,"0",OV24/OV23)</f>
        <v>0</v>
      </c>
      <c r="OU24" s="37">
        <f t="shared" si="24"/>
        <v>0</v>
      </c>
      <c r="OV24" s="36">
        <f>COUNTIF(IX24:KM24,"x")</f>
        <v>0</v>
      </c>
      <c r="OW24" s="74"/>
      <c r="OX24" s="32" t="str">
        <f>IF(OZ24=0,"0",OZ24/OZ23)</f>
        <v>0</v>
      </c>
      <c r="OY24" s="37">
        <f t="shared" si="25"/>
        <v>0</v>
      </c>
      <c r="OZ24" s="36">
        <f>COUNTIF(KN24:MC24,"x")</f>
        <v>0</v>
      </c>
      <c r="PA24" s="74"/>
      <c r="PB24" s="32" t="str">
        <f>IF(PD24=0,"0",PD24/PD23)</f>
        <v>0</v>
      </c>
      <c r="PC24" s="37">
        <f t="shared" si="26"/>
        <v>0</v>
      </c>
      <c r="PD24" s="36">
        <f>COUNTIF(MD24:NS24,"x")</f>
        <v>0</v>
      </c>
      <c r="PE24" s="74"/>
    </row>
    <row r="25" spans="3:421" ht="15.75" customHeight="1" outlineLevel="1" x14ac:dyDescent="0.25">
      <c r="C25" s="88" t="s">
        <v>59</v>
      </c>
      <c r="D25" s="90" t="s">
        <v>89</v>
      </c>
      <c r="E25" s="53" t="s">
        <v>8</v>
      </c>
      <c r="F25" s="33">
        <v>1</v>
      </c>
      <c r="G25" s="33"/>
      <c r="H25" s="33"/>
      <c r="I25" s="33"/>
      <c r="J25" s="33">
        <v>1</v>
      </c>
      <c r="K25" s="33"/>
      <c r="L25" s="33">
        <v>1</v>
      </c>
      <c r="M25" s="33"/>
      <c r="N25" s="33"/>
      <c r="O25" s="33"/>
      <c r="P25" s="69"/>
      <c r="Q25" s="33">
        <v>1</v>
      </c>
      <c r="R25" s="33"/>
      <c r="S25" s="33" t="s">
        <v>74</v>
      </c>
      <c r="T25" s="33"/>
      <c r="U25" s="33"/>
      <c r="V25" s="33"/>
      <c r="W25" s="69"/>
      <c r="X25" s="33" t="s">
        <v>74</v>
      </c>
      <c r="Y25" s="33"/>
      <c r="Z25" s="33">
        <v>1</v>
      </c>
      <c r="AA25" s="33"/>
      <c r="AB25" s="33"/>
      <c r="AC25" s="33"/>
      <c r="AD25" s="33"/>
      <c r="AE25" s="33" t="s">
        <v>74</v>
      </c>
      <c r="AF25" s="33"/>
      <c r="AG25" s="33" t="s">
        <v>74</v>
      </c>
      <c r="AH25" s="33"/>
      <c r="AI25" s="33"/>
      <c r="AJ25" s="33"/>
      <c r="AK25" s="33"/>
      <c r="AL25" s="33">
        <v>1</v>
      </c>
      <c r="AM25" s="33"/>
      <c r="AN25" s="33">
        <v>1</v>
      </c>
      <c r="AO25" s="33"/>
      <c r="AP25" s="33"/>
      <c r="AQ25" s="33"/>
      <c r="AR25" s="33"/>
      <c r="AS25" s="33">
        <v>1</v>
      </c>
      <c r="AT25" s="33"/>
      <c r="AU25" s="33">
        <v>1</v>
      </c>
      <c r="AV25" s="33"/>
      <c r="AW25" s="33"/>
      <c r="AX25" s="33"/>
      <c r="AY25" s="33"/>
      <c r="AZ25" s="33">
        <v>1</v>
      </c>
      <c r="BA25" s="33"/>
      <c r="BB25" s="33">
        <v>1</v>
      </c>
      <c r="BC25" s="33"/>
      <c r="BD25" s="33"/>
      <c r="BE25" s="33"/>
      <c r="BF25" s="33"/>
      <c r="BG25" s="33">
        <v>1</v>
      </c>
      <c r="BH25" s="33"/>
      <c r="BI25" s="33">
        <v>1</v>
      </c>
      <c r="BJ25" s="33"/>
      <c r="BK25" s="33"/>
      <c r="BL25" s="33"/>
      <c r="BM25" s="33"/>
      <c r="BN25" s="33">
        <v>1</v>
      </c>
      <c r="BO25" s="33"/>
      <c r="BP25" s="33">
        <v>1</v>
      </c>
      <c r="BQ25" s="33"/>
      <c r="BR25" s="33"/>
      <c r="BS25" s="33"/>
      <c r="BT25" s="33"/>
      <c r="BU25" s="33">
        <v>1</v>
      </c>
      <c r="BV25" s="33"/>
      <c r="BW25" s="33">
        <v>1</v>
      </c>
      <c r="BX25" s="33"/>
      <c r="BY25" s="33"/>
      <c r="BZ25" s="33"/>
      <c r="CA25" s="33"/>
      <c r="CB25" s="33">
        <v>1</v>
      </c>
      <c r="CC25" s="33"/>
      <c r="CD25" s="33">
        <v>1</v>
      </c>
      <c r="CE25" s="33"/>
      <c r="CF25" s="33"/>
      <c r="CG25" s="33"/>
      <c r="CH25" s="33"/>
      <c r="CI25" s="33">
        <v>1</v>
      </c>
      <c r="CJ25" s="33"/>
      <c r="CK25" s="33">
        <v>1</v>
      </c>
      <c r="CL25" s="33"/>
      <c r="CM25" s="33"/>
      <c r="CN25" s="33"/>
      <c r="CO25" s="33"/>
      <c r="CP25" s="33">
        <v>1</v>
      </c>
      <c r="CQ25" s="33"/>
      <c r="CR25" s="33">
        <v>1</v>
      </c>
      <c r="CS25" s="33"/>
      <c r="CT25" s="33"/>
      <c r="CU25" s="33"/>
      <c r="CV25" s="33"/>
      <c r="CW25" s="33">
        <v>1</v>
      </c>
      <c r="CX25" s="33"/>
      <c r="CY25" s="33">
        <v>1</v>
      </c>
      <c r="CZ25" s="33"/>
      <c r="DA25" s="33"/>
      <c r="DB25" s="33"/>
      <c r="DC25" s="33"/>
      <c r="DD25" s="33">
        <v>1</v>
      </c>
      <c r="DE25" s="33"/>
      <c r="DF25" s="33">
        <v>1</v>
      </c>
      <c r="DG25" s="33"/>
      <c r="DH25" s="33"/>
      <c r="DI25" s="33"/>
      <c r="DJ25" s="33"/>
      <c r="DK25" s="33">
        <v>1</v>
      </c>
      <c r="DL25" s="33"/>
      <c r="DM25" s="33">
        <v>1</v>
      </c>
      <c r="DN25" s="33"/>
      <c r="DO25" s="33"/>
      <c r="DP25" s="33"/>
      <c r="DQ25" s="33"/>
      <c r="DR25" s="33">
        <v>1</v>
      </c>
      <c r="DS25" s="33"/>
      <c r="DT25" s="33">
        <v>1</v>
      </c>
      <c r="DU25" s="33"/>
      <c r="DV25" s="33"/>
      <c r="DW25" s="33"/>
      <c r="DX25" s="33"/>
      <c r="DY25" s="33">
        <v>1</v>
      </c>
      <c r="DZ25" s="33"/>
      <c r="EA25" s="33">
        <v>1</v>
      </c>
      <c r="EB25" s="33"/>
      <c r="EC25" s="33"/>
      <c r="ED25" s="33"/>
      <c r="EE25" s="33"/>
      <c r="EF25" s="33">
        <v>1</v>
      </c>
      <c r="EG25" s="33"/>
      <c r="EH25" s="33">
        <v>1</v>
      </c>
      <c r="EI25" s="33"/>
      <c r="EJ25" s="33"/>
      <c r="EK25" s="33"/>
      <c r="EL25" s="33"/>
      <c r="EM25" s="33">
        <v>1</v>
      </c>
      <c r="EN25" s="33"/>
      <c r="EO25" s="33">
        <v>1</v>
      </c>
      <c r="EP25" s="33"/>
      <c r="EQ25" s="33"/>
      <c r="ER25" s="33"/>
      <c r="ES25" s="33"/>
      <c r="ET25" s="33">
        <v>1</v>
      </c>
      <c r="EU25" s="33"/>
      <c r="EV25" s="33">
        <v>1</v>
      </c>
      <c r="EW25" s="33"/>
      <c r="EX25" s="33"/>
      <c r="EY25" s="33"/>
      <c r="EZ25" s="33"/>
      <c r="FA25" s="33">
        <v>1</v>
      </c>
      <c r="FB25" s="33"/>
      <c r="FC25" s="33">
        <v>1</v>
      </c>
      <c r="FD25" s="33"/>
      <c r="FE25" s="33"/>
      <c r="FF25" s="33"/>
      <c r="FG25" s="33"/>
      <c r="FH25" s="33">
        <v>1</v>
      </c>
      <c r="FI25" s="33"/>
      <c r="FJ25" s="33">
        <v>1</v>
      </c>
      <c r="FK25" s="33"/>
      <c r="FL25" s="33"/>
      <c r="FM25" s="33"/>
      <c r="FN25" s="33"/>
      <c r="FO25" s="33">
        <v>1</v>
      </c>
      <c r="FP25" s="33"/>
      <c r="FQ25" s="33">
        <v>1</v>
      </c>
      <c r="FR25" s="33"/>
      <c r="FS25" s="33"/>
      <c r="FT25" s="33"/>
      <c r="FU25" s="33"/>
      <c r="FV25" s="33">
        <v>1</v>
      </c>
      <c r="FW25" s="33"/>
      <c r="FX25" s="33">
        <v>1</v>
      </c>
      <c r="FY25" s="33"/>
      <c r="FZ25" s="33"/>
      <c r="GA25" s="33"/>
      <c r="GB25" s="33"/>
      <c r="GC25" s="33">
        <v>1</v>
      </c>
      <c r="GD25" s="33"/>
      <c r="GE25" s="33">
        <v>1</v>
      </c>
      <c r="GF25" s="33"/>
      <c r="GG25" s="33"/>
      <c r="GH25" s="33"/>
      <c r="GI25" s="33"/>
      <c r="GJ25" s="33">
        <v>1</v>
      </c>
      <c r="GK25" s="33"/>
      <c r="GL25" s="33">
        <v>1</v>
      </c>
      <c r="GM25" s="33"/>
      <c r="GN25" s="33"/>
      <c r="GO25" s="33"/>
      <c r="GP25" s="33"/>
      <c r="GQ25" s="33">
        <v>1</v>
      </c>
      <c r="GR25" s="33"/>
      <c r="GS25" s="33">
        <v>1</v>
      </c>
      <c r="GT25" s="33"/>
      <c r="GU25" s="33"/>
      <c r="GV25" s="33"/>
      <c r="GW25" s="33"/>
      <c r="GX25" s="33">
        <v>1</v>
      </c>
      <c r="GY25" s="33"/>
      <c r="GZ25" s="33">
        <v>1</v>
      </c>
      <c r="HA25" s="33"/>
      <c r="HB25" s="33"/>
      <c r="HC25" s="33"/>
      <c r="HD25" s="33"/>
      <c r="HE25" s="33">
        <v>1</v>
      </c>
      <c r="HF25" s="33"/>
      <c r="HG25" s="33">
        <v>1</v>
      </c>
      <c r="HH25" s="33"/>
      <c r="HI25" s="33"/>
      <c r="HJ25" s="33"/>
      <c r="HK25" s="33"/>
      <c r="HL25" s="33">
        <v>1</v>
      </c>
      <c r="HM25" s="33"/>
      <c r="HN25" s="33">
        <v>1</v>
      </c>
      <c r="HO25" s="33"/>
      <c r="HP25" s="33"/>
      <c r="HQ25" s="33"/>
      <c r="HR25" s="33"/>
      <c r="HS25" s="33">
        <v>1</v>
      </c>
      <c r="HT25" s="33"/>
      <c r="HU25" s="33">
        <v>1</v>
      </c>
      <c r="HV25" s="33"/>
      <c r="HW25" s="33"/>
      <c r="HX25" s="33"/>
      <c r="HY25" s="33"/>
      <c r="HZ25" s="33">
        <v>1</v>
      </c>
      <c r="IA25" s="33"/>
      <c r="IB25" s="33">
        <v>1</v>
      </c>
      <c r="IC25" s="33"/>
      <c r="ID25" s="33"/>
      <c r="IE25" s="33"/>
      <c r="IF25" s="33"/>
      <c r="IG25" s="33">
        <v>1</v>
      </c>
      <c r="IH25" s="33"/>
      <c r="II25" s="33">
        <v>1</v>
      </c>
      <c r="IJ25" s="33"/>
      <c r="IK25" s="33"/>
      <c r="IL25" s="33"/>
      <c r="IM25" s="33"/>
      <c r="IN25" s="33">
        <v>1</v>
      </c>
      <c r="IO25" s="33"/>
      <c r="IP25" s="33">
        <v>1</v>
      </c>
      <c r="IQ25" s="33"/>
      <c r="IR25" s="33"/>
      <c r="IS25" s="33"/>
      <c r="IT25" s="33"/>
      <c r="IU25" s="33">
        <v>1</v>
      </c>
      <c r="IV25" s="33"/>
      <c r="IW25" s="33">
        <v>1</v>
      </c>
      <c r="IX25" s="33"/>
      <c r="IY25" s="33"/>
      <c r="IZ25" s="33"/>
      <c r="JA25" s="33"/>
      <c r="JB25" s="33">
        <v>1</v>
      </c>
      <c r="JC25" s="33"/>
      <c r="JD25" s="33">
        <v>1</v>
      </c>
      <c r="JE25" s="33"/>
      <c r="JF25" s="33"/>
      <c r="JG25" s="33"/>
      <c r="JH25" s="33"/>
      <c r="JI25" s="33">
        <v>1</v>
      </c>
      <c r="JJ25" s="33"/>
      <c r="JK25" s="33">
        <v>1</v>
      </c>
      <c r="JL25" s="33"/>
      <c r="JM25" s="33"/>
      <c r="JN25" s="33"/>
      <c r="JO25" s="33"/>
      <c r="JP25" s="33">
        <v>1</v>
      </c>
      <c r="JQ25" s="33"/>
      <c r="JR25" s="33">
        <v>1</v>
      </c>
      <c r="JS25" s="33"/>
      <c r="JT25" s="33"/>
      <c r="JU25" s="33"/>
      <c r="JV25" s="33"/>
      <c r="JW25" s="33">
        <v>1</v>
      </c>
      <c r="JX25" s="33"/>
      <c r="JY25" s="33">
        <v>1</v>
      </c>
      <c r="JZ25" s="33"/>
      <c r="KA25" s="33"/>
      <c r="KB25" s="33"/>
      <c r="KC25" s="33"/>
      <c r="KD25" s="33">
        <v>1</v>
      </c>
      <c r="KE25" s="33"/>
      <c r="KF25" s="33">
        <v>1</v>
      </c>
      <c r="KG25" s="33"/>
      <c r="KH25" s="33"/>
      <c r="KI25" s="33"/>
      <c r="KJ25" s="33"/>
      <c r="KK25" s="33">
        <v>1</v>
      </c>
      <c r="KL25" s="33"/>
      <c r="KM25" s="33">
        <v>1</v>
      </c>
      <c r="KN25" s="33"/>
      <c r="KO25" s="33"/>
      <c r="KP25" s="33"/>
      <c r="KQ25" s="33"/>
      <c r="KR25" s="33">
        <v>1</v>
      </c>
      <c r="KS25" s="33"/>
      <c r="KT25" s="33">
        <v>1</v>
      </c>
      <c r="KU25" s="33"/>
      <c r="KV25" s="33"/>
      <c r="KW25" s="33"/>
      <c r="KX25" s="33"/>
      <c r="KY25" s="33">
        <v>1</v>
      </c>
      <c r="KZ25" s="33"/>
      <c r="LA25" s="33">
        <v>1</v>
      </c>
      <c r="LB25" s="33"/>
      <c r="LC25" s="33"/>
      <c r="LD25" s="33"/>
      <c r="LE25" s="33"/>
      <c r="LF25" s="33">
        <v>1</v>
      </c>
      <c r="LG25" s="33"/>
      <c r="LH25" s="33">
        <v>1</v>
      </c>
      <c r="LI25" s="33"/>
      <c r="LJ25" s="33"/>
      <c r="LK25" s="33"/>
      <c r="LL25" s="33"/>
      <c r="LM25" s="33">
        <v>1</v>
      </c>
      <c r="LN25" s="33"/>
      <c r="LO25" s="33">
        <v>1</v>
      </c>
      <c r="LP25" s="33"/>
      <c r="LQ25" s="33"/>
      <c r="LR25" s="33"/>
      <c r="LS25" s="33"/>
      <c r="LT25" s="33">
        <v>1</v>
      </c>
      <c r="LU25" s="33"/>
      <c r="LV25" s="33">
        <v>1</v>
      </c>
      <c r="LW25" s="33"/>
      <c r="LX25" s="33"/>
      <c r="LY25" s="33"/>
      <c r="LZ25" s="33"/>
      <c r="MA25" s="33">
        <v>1</v>
      </c>
      <c r="MB25" s="33"/>
      <c r="MC25" s="33">
        <v>1</v>
      </c>
      <c r="MD25" s="33"/>
      <c r="ME25" s="33"/>
      <c r="MF25" s="33"/>
      <c r="MG25" s="33"/>
      <c r="MH25" s="33">
        <v>1</v>
      </c>
      <c r="MI25" s="33"/>
      <c r="MJ25" s="33">
        <v>1</v>
      </c>
      <c r="MK25" s="33"/>
      <c r="ML25" s="33"/>
      <c r="MM25" s="33"/>
      <c r="MN25" s="33"/>
      <c r="MO25" s="33">
        <v>1</v>
      </c>
      <c r="MP25" s="33"/>
      <c r="MQ25" s="33">
        <v>1</v>
      </c>
      <c r="MR25" s="33"/>
      <c r="MS25" s="33"/>
      <c r="MT25" s="33"/>
      <c r="MU25" s="33"/>
      <c r="MV25" s="33">
        <v>1</v>
      </c>
      <c r="MW25" s="33"/>
      <c r="MX25" s="33">
        <v>1</v>
      </c>
      <c r="MY25" s="33"/>
      <c r="MZ25" s="33"/>
      <c r="NA25" s="33"/>
      <c r="NB25" s="33"/>
      <c r="NC25" s="33">
        <v>1</v>
      </c>
      <c r="ND25" s="33"/>
      <c r="NE25" s="33">
        <v>1</v>
      </c>
      <c r="NF25" s="33"/>
      <c r="NG25" s="33"/>
      <c r="NH25" s="33"/>
      <c r="NI25" s="33"/>
      <c r="NJ25" s="33">
        <v>1</v>
      </c>
      <c r="NK25" s="33"/>
      <c r="NL25" s="33">
        <v>1</v>
      </c>
      <c r="NM25" s="33"/>
      <c r="NN25" s="33"/>
      <c r="NO25" s="33"/>
      <c r="NP25" s="33"/>
      <c r="NQ25" s="33">
        <v>1</v>
      </c>
      <c r="NR25" s="33"/>
      <c r="NS25" s="33">
        <v>1</v>
      </c>
      <c r="NT25" s="31">
        <f>COUNTIF(F25:NS25,"1")</f>
        <v>105</v>
      </c>
      <c r="NU25" s="80">
        <f>NT26/NT25</f>
        <v>6.6666666666666666E-2</v>
      </c>
      <c r="NV25" s="29" t="str">
        <f>+IF(NX25&gt;=1,"1",0)</f>
        <v>1</v>
      </c>
      <c r="NW25" s="38">
        <f>MOD(ROW(NW25),2)</f>
        <v>1</v>
      </c>
      <c r="NX25" s="35">
        <f>COUNTIF(F25:AU25,"1")</f>
        <v>9</v>
      </c>
      <c r="NY25" s="80" t="e">
        <f>NX26,NX25</f>
        <v>#VALUE!</v>
      </c>
      <c r="NZ25" s="29" t="str">
        <f>+IF(OB25&gt;=1,"1",0)</f>
        <v>1</v>
      </c>
      <c r="OA25" s="38">
        <f>MOD(ROW(OA25),2)</f>
        <v>1</v>
      </c>
      <c r="OB25" s="35">
        <f>COUNTIF(AV25:CK25,"1")</f>
        <v>12</v>
      </c>
      <c r="OC25" s="80">
        <f>OB26/OB25</f>
        <v>0</v>
      </c>
      <c r="OD25" s="29" t="str">
        <f>+IF(OF25&gt;=1,"1",0)</f>
        <v>1</v>
      </c>
      <c r="OE25" s="38">
        <f>MOD(ROW(OE25),2)</f>
        <v>1</v>
      </c>
      <c r="OF25" s="35">
        <f>COUNTIF(CL25:EA25,"1")</f>
        <v>12</v>
      </c>
      <c r="OG25" s="80">
        <f>OF26/OF25</f>
        <v>0</v>
      </c>
      <c r="OH25" s="29" t="str">
        <f>+IF(OJ25&gt;=1,"1",0)</f>
        <v>1</v>
      </c>
      <c r="OI25" s="38">
        <f>MOD(ROW(OI25),2)</f>
        <v>1</v>
      </c>
      <c r="OJ25" s="35">
        <f>COUNTIF(EB25:FQ25,"1")</f>
        <v>12</v>
      </c>
      <c r="OK25" s="79">
        <f>OJ26/OJ25</f>
        <v>0</v>
      </c>
      <c r="OL25" s="29" t="str">
        <f>+IF(ON25&gt;=1,"1",0)</f>
        <v>1</v>
      </c>
      <c r="OM25" s="38">
        <f>MOD(ROW(OM25),2)</f>
        <v>1</v>
      </c>
      <c r="ON25" s="35">
        <f>COUNTIF(FR25:HG25,"1")</f>
        <v>12</v>
      </c>
      <c r="OO25" s="79">
        <f>ON26/ON25</f>
        <v>0</v>
      </c>
      <c r="OP25" s="29" t="str">
        <f>+IF(OR25&gt;=1,"1",0)</f>
        <v>1</v>
      </c>
      <c r="OQ25" s="38">
        <f>MOD(ROW(OQ25),2)</f>
        <v>1</v>
      </c>
      <c r="OR25" s="35">
        <f>COUNTIF(HH25:IW25,"1")</f>
        <v>12</v>
      </c>
      <c r="OS25" s="79">
        <f>OR26/OR25</f>
        <v>0</v>
      </c>
      <c r="OT25" s="29" t="str">
        <f>+IF(OV25&gt;=1,"1",0)</f>
        <v>1</v>
      </c>
      <c r="OU25" s="38">
        <f>MOD(ROW(OU25),2)</f>
        <v>1</v>
      </c>
      <c r="OV25" s="35">
        <f>COUNTIF(IX25:KM25,"1")</f>
        <v>12</v>
      </c>
      <c r="OW25" s="79">
        <f>OV26/OV25</f>
        <v>0</v>
      </c>
      <c r="OX25" s="29" t="str">
        <f>+IF(OZ25&gt;=1,"1",0)</f>
        <v>1</v>
      </c>
      <c r="OY25" s="38">
        <f>MOD(ROW(OY25),2)</f>
        <v>1</v>
      </c>
      <c r="OZ25" s="35">
        <f>COUNTIF(KN25:MC25,"1")</f>
        <v>12</v>
      </c>
      <c r="PA25" s="79">
        <f>OZ26/OZ25</f>
        <v>0</v>
      </c>
      <c r="PB25" s="29" t="str">
        <f>+IF(PD25&gt;=1,"1",0)</f>
        <v>1</v>
      </c>
      <c r="PC25" s="38">
        <f>MOD(ROW(PC25),2)</f>
        <v>1</v>
      </c>
      <c r="PD25" s="35">
        <f>COUNTIF(MD25:NS25,"1")</f>
        <v>12</v>
      </c>
      <c r="PE25" s="79">
        <f>PD26/PD25</f>
        <v>0</v>
      </c>
    </row>
    <row r="26" spans="3:421" ht="15.75" customHeight="1" outlineLevel="1" thickBot="1" x14ac:dyDescent="0.3">
      <c r="C26" s="89"/>
      <c r="D26" s="91"/>
      <c r="E26" s="54" t="s">
        <v>9</v>
      </c>
      <c r="F26" s="34" t="s">
        <v>75</v>
      </c>
      <c r="G26" s="34"/>
      <c r="H26" s="34"/>
      <c r="I26" s="34"/>
      <c r="J26" s="34"/>
      <c r="K26" s="34"/>
      <c r="L26" s="34" t="s">
        <v>75</v>
      </c>
      <c r="M26" s="34" t="s">
        <v>75</v>
      </c>
      <c r="N26" s="34"/>
      <c r="O26" s="34"/>
      <c r="P26" s="70"/>
      <c r="Q26" s="34"/>
      <c r="R26" s="34"/>
      <c r="S26" s="34"/>
      <c r="T26" s="34"/>
      <c r="U26" s="34"/>
      <c r="V26" s="34"/>
      <c r="W26" s="70"/>
      <c r="X26" s="34"/>
      <c r="Y26" s="34"/>
      <c r="Z26" s="34" t="s">
        <v>75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75</v>
      </c>
      <c r="AN26" s="34"/>
      <c r="AO26" s="34"/>
      <c r="AP26" s="34"/>
      <c r="AQ26" s="34"/>
      <c r="AR26" s="34"/>
      <c r="AS26" s="34" t="s">
        <v>116</v>
      </c>
      <c r="AT26" s="34"/>
      <c r="AU26" s="34" t="s">
        <v>116</v>
      </c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4"/>
      <c r="JL26" s="34"/>
      <c r="JM26" s="34"/>
      <c r="JN26" s="34"/>
      <c r="JO26" s="34"/>
      <c r="JP26" s="34"/>
      <c r="JQ26" s="34"/>
      <c r="JR26" s="34"/>
      <c r="JS26" s="34"/>
      <c r="JT26" s="34"/>
      <c r="JU26" s="34"/>
      <c r="JV26" s="34"/>
      <c r="JW26" s="34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  <c r="KS26" s="34"/>
      <c r="KT26" s="34"/>
      <c r="KU26" s="34"/>
      <c r="KV26" s="34"/>
      <c r="KW26" s="34"/>
      <c r="KX26" s="34"/>
      <c r="KY26" s="34"/>
      <c r="KZ26" s="34"/>
      <c r="LA26" s="34"/>
      <c r="LB26" s="34"/>
      <c r="LC26" s="34"/>
      <c r="LD26" s="34"/>
      <c r="LE26" s="34"/>
      <c r="LF26" s="34"/>
      <c r="LG26" s="34"/>
      <c r="LH26" s="34"/>
      <c r="LI26" s="34"/>
      <c r="LJ26" s="34"/>
      <c r="LK26" s="34"/>
      <c r="LL26" s="34"/>
      <c r="LM26" s="34"/>
      <c r="LN26" s="34"/>
      <c r="LO26" s="34"/>
      <c r="LP26" s="34"/>
      <c r="LQ26" s="34"/>
      <c r="LR26" s="34"/>
      <c r="LS26" s="34"/>
      <c r="LT26" s="34"/>
      <c r="LU26" s="34"/>
      <c r="LV26" s="34"/>
      <c r="LW26" s="34"/>
      <c r="LX26" s="34"/>
      <c r="LY26" s="34"/>
      <c r="LZ26" s="34"/>
      <c r="MA26" s="34"/>
      <c r="MB26" s="34"/>
      <c r="MC26" s="34"/>
      <c r="MD26" s="34"/>
      <c r="ME26" s="34"/>
      <c r="MF26" s="34"/>
      <c r="MG26" s="34"/>
      <c r="MH26" s="34"/>
      <c r="MI26" s="34"/>
      <c r="MJ26" s="34"/>
      <c r="MK26" s="34"/>
      <c r="ML26" s="34"/>
      <c r="MM26" s="34"/>
      <c r="MN26" s="34"/>
      <c r="MO26" s="34"/>
      <c r="MP26" s="34"/>
      <c r="MQ26" s="34"/>
      <c r="MR26" s="34"/>
      <c r="MS26" s="34"/>
      <c r="MT26" s="34"/>
      <c r="MU26" s="34"/>
      <c r="MV26" s="34"/>
      <c r="MW26" s="34"/>
      <c r="MX26" s="34"/>
      <c r="MY26" s="34"/>
      <c r="MZ26" s="34"/>
      <c r="NA26" s="34"/>
      <c r="NB26" s="34"/>
      <c r="NC26" s="34"/>
      <c r="ND26" s="34"/>
      <c r="NE26" s="34"/>
      <c r="NF26" s="34"/>
      <c r="NG26" s="34"/>
      <c r="NH26" s="34"/>
      <c r="NI26" s="34"/>
      <c r="NJ26" s="34"/>
      <c r="NK26" s="34"/>
      <c r="NL26" s="34"/>
      <c r="NM26" s="34"/>
      <c r="NN26" s="34"/>
      <c r="NO26" s="34"/>
      <c r="NP26" s="34"/>
      <c r="NQ26" s="34"/>
      <c r="NR26" s="34"/>
      <c r="NS26" s="34"/>
      <c r="NT26" s="7">
        <f>COUNTIF(F26:NS26,"x")</f>
        <v>7</v>
      </c>
      <c r="NU26" s="81"/>
      <c r="NV26" s="32">
        <f>IF(NX26=0,"0",NX26/NX25)</f>
        <v>0.77777777777777779</v>
      </c>
      <c r="NW26" s="37">
        <f>MOD(ROW(NW26),2)</f>
        <v>0</v>
      </c>
      <c r="NX26" s="36">
        <f>COUNTIF(F26:AU26,"x")</f>
        <v>7</v>
      </c>
      <c r="NY26" s="81"/>
      <c r="NZ26" s="32" t="str">
        <f>IF(OB26=0,"0",OB26/OB25)</f>
        <v>0</v>
      </c>
      <c r="OA26" s="37">
        <f>MOD(ROW(OA26),2)</f>
        <v>0</v>
      </c>
      <c r="OB26" s="36">
        <f>COUNTIF(AV26:CK26,"x")</f>
        <v>0</v>
      </c>
      <c r="OC26" s="81"/>
      <c r="OD26" s="32" t="str">
        <f>IF(OF26=0,"0",OF26/OF25)</f>
        <v>0</v>
      </c>
      <c r="OE26" s="37">
        <f>MOD(ROW(OE26),2)</f>
        <v>0</v>
      </c>
      <c r="OF26" s="36">
        <f>COUNTIF(CL26:EA26,"x")</f>
        <v>0</v>
      </c>
      <c r="OG26" s="81"/>
      <c r="OH26" s="32" t="str">
        <f>IF(OJ26=0,"0",OJ26/OJ25)</f>
        <v>0</v>
      </c>
      <c r="OI26" s="37">
        <f>MOD(ROW(OI26),2)</f>
        <v>0</v>
      </c>
      <c r="OJ26" s="36">
        <f>COUNTIF(EB26:FQ26,"x")</f>
        <v>0</v>
      </c>
      <c r="OK26" s="74"/>
      <c r="OL26" s="32" t="str">
        <f>IF(ON26=0,"0",ON26/ON25)</f>
        <v>0</v>
      </c>
      <c r="OM26" s="37">
        <f>MOD(ROW(OM26),2)</f>
        <v>0</v>
      </c>
      <c r="ON26" s="36">
        <f>COUNTIF(FR26:HG26,"x")</f>
        <v>0</v>
      </c>
      <c r="OO26" s="74"/>
      <c r="OP26" s="32" t="str">
        <f>IF(OR26=0,"0",OR26/OR25)</f>
        <v>0</v>
      </c>
      <c r="OQ26" s="37">
        <f>MOD(ROW(OQ26),2)</f>
        <v>0</v>
      </c>
      <c r="OR26" s="36">
        <f>COUNTIF(HH26:IW26,"x")</f>
        <v>0</v>
      </c>
      <c r="OS26" s="74"/>
      <c r="OT26" s="32" t="str">
        <f>IF(OV26=0,"0",OV26/OV25)</f>
        <v>0</v>
      </c>
      <c r="OU26" s="37">
        <f>MOD(ROW(OU26),2)</f>
        <v>0</v>
      </c>
      <c r="OV26" s="36">
        <f>COUNTIF(IX26:KM26,"x")</f>
        <v>0</v>
      </c>
      <c r="OW26" s="74"/>
      <c r="OX26" s="32" t="str">
        <f>IF(OZ26=0,"0",OZ26/OZ25)</f>
        <v>0</v>
      </c>
      <c r="OY26" s="37">
        <f>MOD(ROW(OY26),2)</f>
        <v>0</v>
      </c>
      <c r="OZ26" s="36">
        <f>COUNTIF(KN26:MC26,"x")</f>
        <v>0</v>
      </c>
      <c r="PA26" s="74"/>
      <c r="PB26" s="32" t="str">
        <f>IF(PD26=0,"0",PD26/PD25)</f>
        <v>0</v>
      </c>
      <c r="PC26" s="37">
        <f>MOD(ROW(PC26),2)</f>
        <v>0</v>
      </c>
      <c r="PD26" s="36">
        <f>COUNTIF(MD26:NS26,"x")</f>
        <v>0</v>
      </c>
      <c r="PE26" s="74"/>
    </row>
    <row r="27" spans="3:421" ht="15.75" customHeight="1" outlineLevel="1" x14ac:dyDescent="0.25">
      <c r="C27" s="88" t="s">
        <v>58</v>
      </c>
      <c r="D27" s="90" t="s">
        <v>89</v>
      </c>
      <c r="E27" s="53" t="s">
        <v>8</v>
      </c>
      <c r="F27" s="33" t="s">
        <v>74</v>
      </c>
      <c r="G27" s="33"/>
      <c r="H27" s="33"/>
      <c r="I27" s="33">
        <v>1</v>
      </c>
      <c r="J27" s="33">
        <v>1</v>
      </c>
      <c r="K27" s="33">
        <v>1</v>
      </c>
      <c r="L27" s="33"/>
      <c r="M27" s="33"/>
      <c r="N27" s="33"/>
      <c r="O27" s="33"/>
      <c r="P27" s="69"/>
      <c r="Q27" s="33">
        <v>1</v>
      </c>
      <c r="R27" s="33"/>
      <c r="S27" s="33">
        <v>1</v>
      </c>
      <c r="T27" s="33"/>
      <c r="U27" s="33"/>
      <c r="V27" s="33"/>
      <c r="W27" s="69"/>
      <c r="X27" s="33">
        <v>1</v>
      </c>
      <c r="Y27" s="33"/>
      <c r="Z27" s="33">
        <v>1</v>
      </c>
      <c r="AA27" s="33"/>
      <c r="AB27" s="33"/>
      <c r="AC27" s="33"/>
      <c r="AD27" s="33"/>
      <c r="AE27" s="33" t="s">
        <v>74</v>
      </c>
      <c r="AF27" s="33"/>
      <c r="AG27" s="33" t="s">
        <v>74</v>
      </c>
      <c r="AH27" s="33"/>
      <c r="AI27" s="33"/>
      <c r="AJ27" s="33"/>
      <c r="AK27" s="33"/>
      <c r="AL27" s="33">
        <v>1</v>
      </c>
      <c r="AM27" s="33"/>
      <c r="AN27" s="33">
        <v>1</v>
      </c>
      <c r="AO27" s="33"/>
      <c r="AP27" s="33"/>
      <c r="AQ27" s="33"/>
      <c r="AR27" s="33"/>
      <c r="AS27" s="33">
        <v>1</v>
      </c>
      <c r="AT27" s="33"/>
      <c r="AU27" s="33">
        <v>1</v>
      </c>
      <c r="AV27" s="33"/>
      <c r="AW27" s="33"/>
      <c r="AX27" s="33"/>
      <c r="AY27" s="33"/>
      <c r="AZ27" s="33">
        <v>1</v>
      </c>
      <c r="BA27" s="33"/>
      <c r="BB27" s="33">
        <v>1</v>
      </c>
      <c r="BC27" s="33"/>
      <c r="BD27" s="33"/>
      <c r="BE27" s="33"/>
      <c r="BF27" s="33"/>
      <c r="BG27" s="33">
        <v>1</v>
      </c>
      <c r="BH27" s="33"/>
      <c r="BI27" s="33">
        <v>1</v>
      </c>
      <c r="BJ27" s="33"/>
      <c r="BK27" s="33"/>
      <c r="BL27" s="33"/>
      <c r="BM27" s="33"/>
      <c r="BN27" s="33">
        <v>1</v>
      </c>
      <c r="BO27" s="33"/>
      <c r="BP27" s="33">
        <v>1</v>
      </c>
      <c r="BQ27" s="33"/>
      <c r="BR27" s="33"/>
      <c r="BS27" s="33"/>
      <c r="BT27" s="33"/>
      <c r="BU27" s="33">
        <v>1</v>
      </c>
      <c r="BV27" s="33"/>
      <c r="BW27" s="33">
        <v>1</v>
      </c>
      <c r="BX27" s="33"/>
      <c r="BY27" s="33"/>
      <c r="BZ27" s="33"/>
      <c r="CA27" s="33"/>
      <c r="CB27" s="33">
        <v>1</v>
      </c>
      <c r="CC27" s="33"/>
      <c r="CD27" s="33">
        <v>1</v>
      </c>
      <c r="CE27" s="33"/>
      <c r="CF27" s="33"/>
      <c r="CG27" s="33"/>
      <c r="CH27" s="33"/>
      <c r="CI27" s="33">
        <v>1</v>
      </c>
      <c r="CJ27" s="33"/>
      <c r="CK27" s="33">
        <v>1</v>
      </c>
      <c r="CL27" s="33"/>
      <c r="CM27" s="33"/>
      <c r="CN27" s="33"/>
      <c r="CO27" s="33"/>
      <c r="CP27" s="33">
        <v>1</v>
      </c>
      <c r="CQ27" s="33"/>
      <c r="CR27" s="33">
        <v>1</v>
      </c>
      <c r="CS27" s="33"/>
      <c r="CT27" s="33"/>
      <c r="CU27" s="33"/>
      <c r="CV27" s="33"/>
      <c r="CW27" s="33">
        <v>1</v>
      </c>
      <c r="CX27" s="33"/>
      <c r="CY27" s="33">
        <v>1</v>
      </c>
      <c r="CZ27" s="33"/>
      <c r="DA27" s="33"/>
      <c r="DB27" s="33"/>
      <c r="DC27" s="33"/>
      <c r="DD27" s="33">
        <v>1</v>
      </c>
      <c r="DE27" s="33"/>
      <c r="DF27" s="33">
        <v>1</v>
      </c>
      <c r="DG27" s="33"/>
      <c r="DH27" s="33"/>
      <c r="DI27" s="33"/>
      <c r="DJ27" s="33"/>
      <c r="DK27" s="33">
        <v>1</v>
      </c>
      <c r="DL27" s="33"/>
      <c r="DM27" s="33">
        <v>1</v>
      </c>
      <c r="DN27" s="33"/>
      <c r="DO27" s="33"/>
      <c r="DP27" s="33"/>
      <c r="DQ27" s="33"/>
      <c r="DR27" s="33">
        <v>1</v>
      </c>
      <c r="DS27" s="33"/>
      <c r="DT27" s="33">
        <v>1</v>
      </c>
      <c r="DU27" s="33"/>
      <c r="DV27" s="33"/>
      <c r="DW27" s="33"/>
      <c r="DX27" s="33"/>
      <c r="DY27" s="33">
        <v>1</v>
      </c>
      <c r="DZ27" s="33"/>
      <c r="EA27" s="33">
        <v>1</v>
      </c>
      <c r="EB27" s="33"/>
      <c r="EC27" s="33"/>
      <c r="ED27" s="33"/>
      <c r="EE27" s="33"/>
      <c r="EF27" s="33">
        <v>1</v>
      </c>
      <c r="EG27" s="33"/>
      <c r="EH27" s="33">
        <v>1</v>
      </c>
      <c r="EI27" s="33"/>
      <c r="EJ27" s="33"/>
      <c r="EK27" s="33"/>
      <c r="EL27" s="33"/>
      <c r="EM27" s="33">
        <v>1</v>
      </c>
      <c r="EN27" s="33"/>
      <c r="EO27" s="33">
        <v>1</v>
      </c>
      <c r="EP27" s="33"/>
      <c r="EQ27" s="33"/>
      <c r="ER27" s="33"/>
      <c r="ES27" s="33"/>
      <c r="ET27" s="33">
        <v>1</v>
      </c>
      <c r="EU27" s="33"/>
      <c r="EV27" s="33">
        <v>1</v>
      </c>
      <c r="EW27" s="33"/>
      <c r="EX27" s="33"/>
      <c r="EY27" s="33"/>
      <c r="EZ27" s="33"/>
      <c r="FA27" s="33">
        <v>1</v>
      </c>
      <c r="FB27" s="33"/>
      <c r="FC27" s="33">
        <v>1</v>
      </c>
      <c r="FD27" s="33"/>
      <c r="FE27" s="33"/>
      <c r="FF27" s="33"/>
      <c r="FG27" s="33"/>
      <c r="FH27" s="33">
        <v>1</v>
      </c>
      <c r="FI27" s="33"/>
      <c r="FJ27" s="33">
        <v>1</v>
      </c>
      <c r="FK27" s="33"/>
      <c r="FL27" s="33"/>
      <c r="FM27" s="33"/>
      <c r="FN27" s="33"/>
      <c r="FO27" s="33">
        <v>1</v>
      </c>
      <c r="FP27" s="33"/>
      <c r="FQ27" s="33">
        <v>1</v>
      </c>
      <c r="FR27" s="33"/>
      <c r="FS27" s="33"/>
      <c r="FT27" s="33"/>
      <c r="FU27" s="33"/>
      <c r="FV27" s="33">
        <v>1</v>
      </c>
      <c r="FW27" s="33"/>
      <c r="FX27" s="33">
        <v>1</v>
      </c>
      <c r="FY27" s="33"/>
      <c r="FZ27" s="33"/>
      <c r="GA27" s="33"/>
      <c r="GB27" s="33"/>
      <c r="GC27" s="33">
        <v>1</v>
      </c>
      <c r="GD27" s="33"/>
      <c r="GE27" s="33">
        <v>1</v>
      </c>
      <c r="GF27" s="33"/>
      <c r="GG27" s="33"/>
      <c r="GH27" s="33"/>
      <c r="GI27" s="33"/>
      <c r="GJ27" s="33">
        <v>1</v>
      </c>
      <c r="GK27" s="33"/>
      <c r="GL27" s="33">
        <v>1</v>
      </c>
      <c r="GM27" s="33"/>
      <c r="GN27" s="33"/>
      <c r="GO27" s="33"/>
      <c r="GP27" s="33"/>
      <c r="GQ27" s="33">
        <v>1</v>
      </c>
      <c r="GR27" s="33"/>
      <c r="GS27" s="33">
        <v>1</v>
      </c>
      <c r="GT27" s="33"/>
      <c r="GU27" s="33"/>
      <c r="GV27" s="33"/>
      <c r="GW27" s="33"/>
      <c r="GX27" s="33">
        <v>1</v>
      </c>
      <c r="GY27" s="33"/>
      <c r="GZ27" s="33">
        <v>1</v>
      </c>
      <c r="HA27" s="33"/>
      <c r="HB27" s="33"/>
      <c r="HC27" s="33"/>
      <c r="HD27" s="33"/>
      <c r="HE27" s="33">
        <v>1</v>
      </c>
      <c r="HF27" s="33"/>
      <c r="HG27" s="33">
        <v>1</v>
      </c>
      <c r="HH27" s="33"/>
      <c r="HI27" s="33"/>
      <c r="HJ27" s="33"/>
      <c r="HK27" s="33"/>
      <c r="HL27" s="33">
        <v>1</v>
      </c>
      <c r="HM27" s="33"/>
      <c r="HN27" s="33">
        <v>1</v>
      </c>
      <c r="HO27" s="33"/>
      <c r="HP27" s="33"/>
      <c r="HQ27" s="33"/>
      <c r="HR27" s="33"/>
      <c r="HS27" s="33">
        <v>1</v>
      </c>
      <c r="HT27" s="33"/>
      <c r="HU27" s="33">
        <v>1</v>
      </c>
      <c r="HV27" s="33"/>
      <c r="HW27" s="33"/>
      <c r="HX27" s="33"/>
      <c r="HY27" s="33"/>
      <c r="HZ27" s="33">
        <v>1</v>
      </c>
      <c r="IA27" s="33"/>
      <c r="IB27" s="33">
        <v>1</v>
      </c>
      <c r="IC27" s="33"/>
      <c r="ID27" s="33"/>
      <c r="IE27" s="33"/>
      <c r="IF27" s="33"/>
      <c r="IG27" s="33">
        <v>1</v>
      </c>
      <c r="IH27" s="33"/>
      <c r="II27" s="33">
        <v>1</v>
      </c>
      <c r="IJ27" s="33"/>
      <c r="IK27" s="33"/>
      <c r="IL27" s="33"/>
      <c r="IM27" s="33"/>
      <c r="IN27" s="33">
        <v>1</v>
      </c>
      <c r="IO27" s="33"/>
      <c r="IP27" s="33">
        <v>1</v>
      </c>
      <c r="IQ27" s="33"/>
      <c r="IR27" s="33"/>
      <c r="IS27" s="33"/>
      <c r="IT27" s="33"/>
      <c r="IU27" s="33">
        <v>1</v>
      </c>
      <c r="IV27" s="33"/>
      <c r="IW27" s="33">
        <v>1</v>
      </c>
      <c r="IX27" s="33"/>
      <c r="IY27" s="33"/>
      <c r="IZ27" s="33"/>
      <c r="JA27" s="33"/>
      <c r="JB27" s="33">
        <v>1</v>
      </c>
      <c r="JC27" s="33"/>
      <c r="JD27" s="33">
        <v>1</v>
      </c>
      <c r="JE27" s="33"/>
      <c r="JF27" s="33"/>
      <c r="JG27" s="33"/>
      <c r="JH27" s="33"/>
      <c r="JI27" s="33">
        <v>1</v>
      </c>
      <c r="JJ27" s="33"/>
      <c r="JK27" s="33">
        <v>1</v>
      </c>
      <c r="JL27" s="33"/>
      <c r="JM27" s="33"/>
      <c r="JN27" s="33"/>
      <c r="JO27" s="33"/>
      <c r="JP27" s="33">
        <v>1</v>
      </c>
      <c r="JQ27" s="33"/>
      <c r="JR27" s="33">
        <v>1</v>
      </c>
      <c r="JS27" s="33"/>
      <c r="JT27" s="33"/>
      <c r="JU27" s="33"/>
      <c r="JV27" s="33"/>
      <c r="JW27" s="33">
        <v>1</v>
      </c>
      <c r="JX27" s="33"/>
      <c r="JY27" s="33">
        <v>1</v>
      </c>
      <c r="JZ27" s="33"/>
      <c r="KA27" s="33"/>
      <c r="KB27" s="33"/>
      <c r="KC27" s="33"/>
      <c r="KD27" s="33">
        <v>1</v>
      </c>
      <c r="KE27" s="33"/>
      <c r="KF27" s="33">
        <v>1</v>
      </c>
      <c r="KG27" s="33"/>
      <c r="KH27" s="33"/>
      <c r="KI27" s="33"/>
      <c r="KJ27" s="33"/>
      <c r="KK27" s="33">
        <v>1</v>
      </c>
      <c r="KL27" s="33"/>
      <c r="KM27" s="33">
        <v>1</v>
      </c>
      <c r="KN27" s="33"/>
      <c r="KO27" s="33"/>
      <c r="KP27" s="33"/>
      <c r="KQ27" s="33"/>
      <c r="KR27" s="33">
        <v>1</v>
      </c>
      <c r="KS27" s="33"/>
      <c r="KT27" s="33">
        <v>1</v>
      </c>
      <c r="KU27" s="33"/>
      <c r="KV27" s="33"/>
      <c r="KW27" s="33"/>
      <c r="KX27" s="33"/>
      <c r="KY27" s="33">
        <v>1</v>
      </c>
      <c r="KZ27" s="33"/>
      <c r="LA27" s="33">
        <v>1</v>
      </c>
      <c r="LB27" s="33"/>
      <c r="LC27" s="33"/>
      <c r="LD27" s="33"/>
      <c r="LE27" s="33"/>
      <c r="LF27" s="33">
        <v>1</v>
      </c>
      <c r="LG27" s="33"/>
      <c r="LH27" s="33">
        <v>1</v>
      </c>
      <c r="LI27" s="33"/>
      <c r="LJ27" s="33"/>
      <c r="LK27" s="33"/>
      <c r="LL27" s="33"/>
      <c r="LM27" s="33">
        <v>1</v>
      </c>
      <c r="LN27" s="33"/>
      <c r="LO27" s="33">
        <v>1</v>
      </c>
      <c r="LP27" s="33"/>
      <c r="LQ27" s="33"/>
      <c r="LR27" s="33"/>
      <c r="LS27" s="33"/>
      <c r="LT27" s="33">
        <v>1</v>
      </c>
      <c r="LU27" s="33"/>
      <c r="LV27" s="33">
        <v>1</v>
      </c>
      <c r="LW27" s="33"/>
      <c r="LX27" s="33"/>
      <c r="LY27" s="33"/>
      <c r="LZ27" s="33"/>
      <c r="MA27" s="33">
        <v>1</v>
      </c>
      <c r="MB27" s="33"/>
      <c r="MC27" s="33">
        <v>1</v>
      </c>
      <c r="MD27" s="33"/>
      <c r="ME27" s="33"/>
      <c r="MF27" s="33"/>
      <c r="MG27" s="33"/>
      <c r="MH27" s="33">
        <v>1</v>
      </c>
      <c r="MI27" s="33"/>
      <c r="MJ27" s="33">
        <v>1</v>
      </c>
      <c r="MK27" s="33"/>
      <c r="ML27" s="33"/>
      <c r="MM27" s="33"/>
      <c r="MN27" s="33"/>
      <c r="MO27" s="33">
        <v>1</v>
      </c>
      <c r="MP27" s="33"/>
      <c r="MQ27" s="33">
        <v>1</v>
      </c>
      <c r="MR27" s="33"/>
      <c r="MS27" s="33"/>
      <c r="MT27" s="33"/>
      <c r="MU27" s="33"/>
      <c r="MV27" s="33">
        <v>1</v>
      </c>
      <c r="MW27" s="33"/>
      <c r="MX27" s="33">
        <v>1</v>
      </c>
      <c r="MY27" s="33"/>
      <c r="MZ27" s="33"/>
      <c r="NA27" s="33"/>
      <c r="NB27" s="33"/>
      <c r="NC27" s="33">
        <v>1</v>
      </c>
      <c r="ND27" s="33"/>
      <c r="NE27" s="33">
        <v>1</v>
      </c>
      <c r="NF27" s="33"/>
      <c r="NG27" s="33"/>
      <c r="NH27" s="33"/>
      <c r="NI27" s="33"/>
      <c r="NJ27" s="33">
        <v>1</v>
      </c>
      <c r="NK27" s="33"/>
      <c r="NL27" s="33">
        <v>1</v>
      </c>
      <c r="NM27" s="33"/>
      <c r="NN27" s="33"/>
      <c r="NO27" s="33"/>
      <c r="NP27" s="33"/>
      <c r="NQ27" s="33">
        <v>1</v>
      </c>
      <c r="NR27" s="33"/>
      <c r="NS27" s="33">
        <v>1</v>
      </c>
      <c r="NT27" s="31">
        <f>COUNTIF(F27:NS27,"1")</f>
        <v>107</v>
      </c>
      <c r="NU27" s="80">
        <f>NT28/NT27</f>
        <v>9.3457943925233641E-2</v>
      </c>
      <c r="NV27" s="29" t="str">
        <f>+IF(NX27&gt;=1,"1",0)</f>
        <v>1</v>
      </c>
      <c r="NW27" s="38">
        <f t="shared" si="18"/>
        <v>1</v>
      </c>
      <c r="NX27" s="35">
        <f>COUNTIF(F27:AU27,"1")</f>
        <v>11</v>
      </c>
      <c r="NY27" s="80">
        <f>NX28/NX27</f>
        <v>0.90909090909090906</v>
      </c>
      <c r="NZ27" s="29" t="str">
        <f>+IF(OB27&gt;=1,"1",0)</f>
        <v>1</v>
      </c>
      <c r="OA27" s="38">
        <f t="shared" si="19"/>
        <v>1</v>
      </c>
      <c r="OB27" s="35">
        <f>COUNTIF(AV27:CK27,"1")</f>
        <v>12</v>
      </c>
      <c r="OC27" s="80">
        <f>OB28/OB27</f>
        <v>0</v>
      </c>
      <c r="OD27" s="29" t="str">
        <f>+IF(OF27&gt;=1,"1",0)</f>
        <v>1</v>
      </c>
      <c r="OE27" s="38">
        <f t="shared" si="20"/>
        <v>1</v>
      </c>
      <c r="OF27" s="35">
        <f>COUNTIF(CL27:EA27,"1")</f>
        <v>12</v>
      </c>
      <c r="OG27" s="80">
        <f>OF28/OF27</f>
        <v>0</v>
      </c>
      <c r="OH27" s="29" t="str">
        <f>+IF(OJ27&gt;=1,"1",0)</f>
        <v>1</v>
      </c>
      <c r="OI27" s="38">
        <f t="shared" si="21"/>
        <v>1</v>
      </c>
      <c r="OJ27" s="35">
        <f>COUNTIF(EB27:FQ27,"1")</f>
        <v>12</v>
      </c>
      <c r="OK27" s="79">
        <f>OJ28/OJ27</f>
        <v>0</v>
      </c>
      <c r="OL27" s="29" t="str">
        <f>+IF(ON27&gt;=1,"1",0)</f>
        <v>1</v>
      </c>
      <c r="OM27" s="38">
        <f t="shared" si="22"/>
        <v>1</v>
      </c>
      <c r="ON27" s="35">
        <f>COUNTIF(FR27:HG27,"1")</f>
        <v>12</v>
      </c>
      <c r="OO27" s="79">
        <f>ON28/ON27</f>
        <v>0</v>
      </c>
      <c r="OP27" s="29" t="str">
        <f>+IF(OR27&gt;=1,"1",0)</f>
        <v>1</v>
      </c>
      <c r="OQ27" s="38">
        <f t="shared" si="23"/>
        <v>1</v>
      </c>
      <c r="OR27" s="35">
        <f>COUNTIF(HH27:IW27,"1")</f>
        <v>12</v>
      </c>
      <c r="OS27" s="79">
        <f>OR28/OR27</f>
        <v>0</v>
      </c>
      <c r="OT27" s="29" t="str">
        <f>+IF(OV27&gt;=1,"1",0)</f>
        <v>1</v>
      </c>
      <c r="OU27" s="38">
        <f t="shared" si="24"/>
        <v>1</v>
      </c>
      <c r="OV27" s="35">
        <f>COUNTIF(IX27:KM27,"1")</f>
        <v>12</v>
      </c>
      <c r="OW27" s="79">
        <f>OV28/OV27</f>
        <v>0</v>
      </c>
      <c r="OX27" s="29" t="str">
        <f>+IF(OZ27&gt;=1,"1",0)</f>
        <v>1</v>
      </c>
      <c r="OY27" s="38">
        <f t="shared" si="25"/>
        <v>1</v>
      </c>
      <c r="OZ27" s="35">
        <f>COUNTIF(KN27:MC27,"1")</f>
        <v>12</v>
      </c>
      <c r="PA27" s="79">
        <f>OZ28/OZ27</f>
        <v>0</v>
      </c>
      <c r="PB27" s="29" t="str">
        <f>+IF(PD27&gt;=1,"1",0)</f>
        <v>1</v>
      </c>
      <c r="PC27" s="38">
        <f t="shared" si="26"/>
        <v>1</v>
      </c>
      <c r="PD27" s="35">
        <f>COUNTIF(MD27:NS27,"1")</f>
        <v>12</v>
      </c>
      <c r="PE27" s="79">
        <f>PD28/PD27</f>
        <v>0</v>
      </c>
    </row>
    <row r="28" spans="3:421" ht="15.75" customHeight="1" outlineLevel="1" thickBot="1" x14ac:dyDescent="0.3">
      <c r="C28" s="89"/>
      <c r="D28" s="91"/>
      <c r="E28" s="54" t="s">
        <v>9</v>
      </c>
      <c r="F28" s="34"/>
      <c r="G28" s="34"/>
      <c r="H28" s="34"/>
      <c r="I28" s="34" t="s">
        <v>75</v>
      </c>
      <c r="J28" s="34" t="s">
        <v>75</v>
      </c>
      <c r="K28" s="34" t="s">
        <v>75</v>
      </c>
      <c r="L28" s="34"/>
      <c r="M28" s="34"/>
      <c r="N28" s="34"/>
      <c r="O28" s="34"/>
      <c r="P28" s="70"/>
      <c r="Q28" s="34"/>
      <c r="R28" s="34"/>
      <c r="S28" s="34" t="s">
        <v>75</v>
      </c>
      <c r="T28" s="34"/>
      <c r="U28" s="34"/>
      <c r="V28" s="34"/>
      <c r="W28" s="70"/>
      <c r="X28" s="34" t="s">
        <v>75</v>
      </c>
      <c r="Y28" s="34"/>
      <c r="Z28" s="34" t="s">
        <v>75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L28" s="34" t="s">
        <v>75</v>
      </c>
      <c r="AM28" s="34"/>
      <c r="AN28" s="34" t="s">
        <v>75</v>
      </c>
      <c r="AO28" s="34"/>
      <c r="AP28" s="34"/>
      <c r="AQ28" s="34"/>
      <c r="AR28" s="34"/>
      <c r="AS28" s="34" t="s">
        <v>116</v>
      </c>
      <c r="AT28" s="34"/>
      <c r="AU28" s="34" t="s">
        <v>116</v>
      </c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  <c r="IT28" s="34"/>
      <c r="IU28" s="34"/>
      <c r="IV28" s="34"/>
      <c r="IW28" s="34"/>
      <c r="IX28" s="34"/>
      <c r="IY28" s="34"/>
      <c r="IZ28" s="34"/>
      <c r="JA28" s="34"/>
      <c r="JB28" s="34"/>
      <c r="JC28" s="34"/>
      <c r="JD28" s="34"/>
      <c r="JE28" s="34"/>
      <c r="JF28" s="34"/>
      <c r="JG28" s="34"/>
      <c r="JH28" s="34"/>
      <c r="JI28" s="34"/>
      <c r="JJ28" s="34"/>
      <c r="JK28" s="34"/>
      <c r="JL28" s="34"/>
      <c r="JM28" s="34"/>
      <c r="JN28" s="34"/>
      <c r="JO28" s="34"/>
      <c r="JP28" s="34"/>
      <c r="JQ28" s="34"/>
      <c r="JR28" s="34"/>
      <c r="JS28" s="34"/>
      <c r="JT28" s="34"/>
      <c r="JU28" s="34"/>
      <c r="JV28" s="34"/>
      <c r="JW28" s="34"/>
      <c r="JX28" s="34"/>
      <c r="JY28" s="34"/>
      <c r="JZ28" s="34"/>
      <c r="KA28" s="34"/>
      <c r="KB28" s="34"/>
      <c r="KC28" s="34"/>
      <c r="KD28" s="34"/>
      <c r="KE28" s="34"/>
      <c r="KF28" s="34"/>
      <c r="KG28" s="34"/>
      <c r="KH28" s="34"/>
      <c r="KI28" s="34"/>
      <c r="KJ28" s="34"/>
      <c r="KK28" s="34"/>
      <c r="KL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  <c r="KW28" s="34"/>
      <c r="KX28" s="34"/>
      <c r="KY28" s="34"/>
      <c r="KZ28" s="34"/>
      <c r="LA28" s="34"/>
      <c r="LB28" s="34"/>
      <c r="LC28" s="34"/>
      <c r="LD28" s="34"/>
      <c r="LE28" s="34"/>
      <c r="LF28" s="34"/>
      <c r="LG28" s="34"/>
      <c r="LH28" s="34"/>
      <c r="LI28" s="34"/>
      <c r="LJ28" s="34"/>
      <c r="LK28" s="34"/>
      <c r="LL28" s="34"/>
      <c r="LM28" s="34"/>
      <c r="LN28" s="34"/>
      <c r="LO28" s="34"/>
      <c r="LP28" s="34"/>
      <c r="LQ28" s="34"/>
      <c r="LR28" s="34"/>
      <c r="LS28" s="34"/>
      <c r="LT28" s="34"/>
      <c r="LU28" s="34"/>
      <c r="LV28" s="34"/>
      <c r="LW28" s="34"/>
      <c r="LX28" s="34"/>
      <c r="LY28" s="34"/>
      <c r="LZ28" s="34"/>
      <c r="MA28" s="34"/>
      <c r="MB28" s="34"/>
      <c r="MC28" s="34"/>
      <c r="MD28" s="34"/>
      <c r="ME28" s="34"/>
      <c r="MF28" s="34"/>
      <c r="MG28" s="34"/>
      <c r="MH28" s="34"/>
      <c r="MI28" s="34"/>
      <c r="MJ28" s="34"/>
      <c r="MK28" s="34"/>
      <c r="ML28" s="34"/>
      <c r="MM28" s="34"/>
      <c r="MN28" s="34"/>
      <c r="MO28" s="34"/>
      <c r="MP28" s="34"/>
      <c r="MQ28" s="34"/>
      <c r="MR28" s="34"/>
      <c r="MS28" s="34"/>
      <c r="MT28" s="34"/>
      <c r="MU28" s="34"/>
      <c r="MV28" s="34"/>
      <c r="MW28" s="34"/>
      <c r="MX28" s="34"/>
      <c r="MY28" s="34"/>
      <c r="MZ28" s="34"/>
      <c r="NA28" s="34"/>
      <c r="NB28" s="34"/>
      <c r="NC28" s="34"/>
      <c r="ND28" s="34"/>
      <c r="NE28" s="34"/>
      <c r="NF28" s="34"/>
      <c r="NG28" s="34"/>
      <c r="NH28" s="34"/>
      <c r="NI28" s="34"/>
      <c r="NJ28" s="34"/>
      <c r="NK28" s="34"/>
      <c r="NL28" s="34"/>
      <c r="NM28" s="34"/>
      <c r="NN28" s="34"/>
      <c r="NO28" s="34"/>
      <c r="NP28" s="34"/>
      <c r="NQ28" s="34"/>
      <c r="NR28" s="34"/>
      <c r="NS28" s="34"/>
      <c r="NT28" s="7">
        <f>COUNTIF(F28:NS28,"x")</f>
        <v>10</v>
      </c>
      <c r="NU28" s="81"/>
      <c r="NV28" s="32">
        <f>IF(NX28=0,"0",NX28/NX27)</f>
        <v>0.90909090909090906</v>
      </c>
      <c r="NW28" s="37">
        <f t="shared" si="18"/>
        <v>0</v>
      </c>
      <c r="NX28" s="36">
        <f>COUNTIF(F28:AU28,"x")</f>
        <v>10</v>
      </c>
      <c r="NY28" s="81"/>
      <c r="NZ28" s="32" t="str">
        <f>IF(OB28=0,"0",OB28/OB27)</f>
        <v>0</v>
      </c>
      <c r="OA28" s="37">
        <f t="shared" si="19"/>
        <v>0</v>
      </c>
      <c r="OB28" s="36">
        <f>COUNTIF(AV28:CK28,"x")</f>
        <v>0</v>
      </c>
      <c r="OC28" s="81"/>
      <c r="OD28" s="32" t="str">
        <f>IF(OF28=0,"0",OF28/OF27)</f>
        <v>0</v>
      </c>
      <c r="OE28" s="37">
        <f t="shared" si="20"/>
        <v>0</v>
      </c>
      <c r="OF28" s="36">
        <f>COUNTIF(CL28:EA28,"x")</f>
        <v>0</v>
      </c>
      <c r="OG28" s="81"/>
      <c r="OH28" s="32" t="str">
        <f>IF(OJ28=0,"0",OJ28/OJ27)</f>
        <v>0</v>
      </c>
      <c r="OI28" s="37">
        <f t="shared" si="21"/>
        <v>0</v>
      </c>
      <c r="OJ28" s="36">
        <f>COUNTIF(EB28:FQ28,"x")</f>
        <v>0</v>
      </c>
      <c r="OK28" s="74"/>
      <c r="OL28" s="32" t="str">
        <f>IF(ON28=0,"0",ON28/ON27)</f>
        <v>0</v>
      </c>
      <c r="OM28" s="37">
        <f t="shared" si="22"/>
        <v>0</v>
      </c>
      <c r="ON28" s="36">
        <f>COUNTIF(FR28:HG28,"x")</f>
        <v>0</v>
      </c>
      <c r="OO28" s="74"/>
      <c r="OP28" s="32" t="str">
        <f>IF(OR28=0,"0",OR28/OR27)</f>
        <v>0</v>
      </c>
      <c r="OQ28" s="37">
        <f t="shared" si="23"/>
        <v>0</v>
      </c>
      <c r="OR28" s="36">
        <f>COUNTIF(HH28:IW28,"x")</f>
        <v>0</v>
      </c>
      <c r="OS28" s="74"/>
      <c r="OT28" s="32" t="str">
        <f>IF(OV28=0,"0",OV28/OV27)</f>
        <v>0</v>
      </c>
      <c r="OU28" s="37">
        <f t="shared" si="24"/>
        <v>0</v>
      </c>
      <c r="OV28" s="36">
        <f>COUNTIF(IX28:KM28,"x")</f>
        <v>0</v>
      </c>
      <c r="OW28" s="74"/>
      <c r="OX28" s="32" t="str">
        <f>IF(OZ28=0,"0",OZ28/OZ27)</f>
        <v>0</v>
      </c>
      <c r="OY28" s="37">
        <f t="shared" si="25"/>
        <v>0</v>
      </c>
      <c r="OZ28" s="36">
        <f>COUNTIF(KN28:MC28,"x")</f>
        <v>0</v>
      </c>
      <c r="PA28" s="74"/>
      <c r="PB28" s="32" t="str">
        <f>IF(PD28=0,"0",PD28/PD27)</f>
        <v>0</v>
      </c>
      <c r="PC28" s="37">
        <f t="shared" si="26"/>
        <v>0</v>
      </c>
      <c r="PD28" s="36">
        <f>COUNTIF(MD28:NS28,"x")</f>
        <v>0</v>
      </c>
      <c r="PE28" s="74"/>
    </row>
    <row r="29" spans="3:421" ht="15.75" customHeight="1" outlineLevel="1" x14ac:dyDescent="0.25">
      <c r="C29" s="88" t="s">
        <v>79</v>
      </c>
      <c r="D29" s="90" t="s">
        <v>108</v>
      </c>
      <c r="E29" s="53" t="s">
        <v>8</v>
      </c>
      <c r="F29" s="33">
        <v>1</v>
      </c>
      <c r="G29" s="33"/>
      <c r="H29" s="33"/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/>
      <c r="O29" s="33"/>
      <c r="P29" s="69"/>
      <c r="Q29" s="33"/>
      <c r="R29" s="33"/>
      <c r="S29" s="33">
        <v>1</v>
      </c>
      <c r="T29" s="33"/>
      <c r="U29" s="33"/>
      <c r="V29" s="33"/>
      <c r="W29" s="69"/>
      <c r="X29" s="33"/>
      <c r="Y29" s="33"/>
      <c r="Z29" s="33">
        <v>1</v>
      </c>
      <c r="AA29" s="33"/>
      <c r="AB29" s="33"/>
      <c r="AC29" s="33"/>
      <c r="AD29" s="33"/>
      <c r="AE29" s="33"/>
      <c r="AF29" s="33"/>
      <c r="AG29" s="33">
        <v>1</v>
      </c>
      <c r="AH29" s="33"/>
      <c r="AI29" s="33"/>
      <c r="AJ29" s="33"/>
      <c r="AK29" s="33"/>
      <c r="AL29" s="33"/>
      <c r="AM29" s="33"/>
      <c r="AN29" s="33">
        <v>1</v>
      </c>
      <c r="AO29" s="33"/>
      <c r="AP29" s="33"/>
      <c r="AQ29" s="33"/>
      <c r="AR29" s="33"/>
      <c r="AS29" s="33"/>
      <c r="AT29" s="33"/>
      <c r="AU29" s="33">
        <v>1</v>
      </c>
      <c r="AV29" s="33"/>
      <c r="AW29" s="33"/>
      <c r="AX29" s="33"/>
      <c r="AY29" s="33"/>
      <c r="AZ29" s="33"/>
      <c r="BA29" s="33"/>
      <c r="BB29" s="33">
        <v>1</v>
      </c>
      <c r="BC29" s="33"/>
      <c r="BD29" s="33"/>
      <c r="BE29" s="33"/>
      <c r="BF29" s="33"/>
      <c r="BG29" s="33"/>
      <c r="BH29" s="33"/>
      <c r="BI29" s="33">
        <v>1</v>
      </c>
      <c r="BJ29" s="33"/>
      <c r="BK29" s="33"/>
      <c r="BL29" s="33"/>
      <c r="BM29" s="33"/>
      <c r="BN29" s="33"/>
      <c r="BO29" s="33"/>
      <c r="BP29" s="33">
        <v>1</v>
      </c>
      <c r="BQ29" s="33"/>
      <c r="BR29" s="33"/>
      <c r="BS29" s="33"/>
      <c r="BT29" s="33"/>
      <c r="BU29" s="33"/>
      <c r="BV29" s="33"/>
      <c r="BW29" s="33">
        <v>1</v>
      </c>
      <c r="BX29" s="33"/>
      <c r="BY29" s="33"/>
      <c r="BZ29" s="33"/>
      <c r="CA29" s="33"/>
      <c r="CB29" s="33"/>
      <c r="CC29" s="33"/>
      <c r="CD29" s="33">
        <v>1</v>
      </c>
      <c r="CE29" s="33"/>
      <c r="CF29" s="33"/>
      <c r="CG29" s="33"/>
      <c r="CH29" s="33"/>
      <c r="CI29" s="33"/>
      <c r="CJ29" s="33"/>
      <c r="CK29" s="33">
        <v>1</v>
      </c>
      <c r="CL29" s="33"/>
      <c r="CM29" s="33"/>
      <c r="CN29" s="33"/>
      <c r="CO29" s="33"/>
      <c r="CP29" s="33"/>
      <c r="CQ29" s="33"/>
      <c r="CR29" s="33">
        <v>1</v>
      </c>
      <c r="CS29" s="33"/>
      <c r="CT29" s="33"/>
      <c r="CU29" s="33"/>
      <c r="CV29" s="33"/>
      <c r="CW29" s="33"/>
      <c r="CX29" s="33"/>
      <c r="CY29" s="33">
        <v>1</v>
      </c>
      <c r="CZ29" s="33"/>
      <c r="DA29" s="33"/>
      <c r="DB29" s="33"/>
      <c r="DC29" s="33"/>
      <c r="DD29" s="33"/>
      <c r="DE29" s="33"/>
      <c r="DF29" s="33">
        <v>1</v>
      </c>
      <c r="DG29" s="33"/>
      <c r="DH29" s="33"/>
      <c r="DI29" s="33"/>
      <c r="DJ29" s="33"/>
      <c r="DK29" s="33"/>
      <c r="DL29" s="33"/>
      <c r="DM29" s="33">
        <v>1</v>
      </c>
      <c r="DN29" s="33"/>
      <c r="DO29" s="33"/>
      <c r="DP29" s="33"/>
      <c r="DQ29" s="33"/>
      <c r="DR29" s="33"/>
      <c r="DS29" s="33"/>
      <c r="DT29" s="33">
        <v>1</v>
      </c>
      <c r="DU29" s="33"/>
      <c r="DV29" s="33"/>
      <c r="DW29" s="33"/>
      <c r="DX29" s="33"/>
      <c r="DY29" s="33"/>
      <c r="DZ29" s="33"/>
      <c r="EA29" s="33">
        <v>1</v>
      </c>
      <c r="EB29" s="33"/>
      <c r="EC29" s="33"/>
      <c r="ED29" s="33"/>
      <c r="EE29" s="33"/>
      <c r="EF29" s="33"/>
      <c r="EG29" s="33"/>
      <c r="EH29" s="33">
        <v>1</v>
      </c>
      <c r="EI29" s="33"/>
      <c r="EJ29" s="33"/>
      <c r="EK29" s="33"/>
      <c r="EL29" s="33"/>
      <c r="EM29" s="33"/>
      <c r="EN29" s="33"/>
      <c r="EO29" s="33">
        <v>1</v>
      </c>
      <c r="EP29" s="33"/>
      <c r="EQ29" s="33"/>
      <c r="ER29" s="33"/>
      <c r="ES29" s="33"/>
      <c r="ET29" s="33"/>
      <c r="EU29" s="33"/>
      <c r="EV29" s="33">
        <v>1</v>
      </c>
      <c r="EW29" s="33"/>
      <c r="EX29" s="33"/>
      <c r="EY29" s="33"/>
      <c r="EZ29" s="33"/>
      <c r="FA29" s="33"/>
      <c r="FB29" s="33"/>
      <c r="FC29" s="33">
        <v>1</v>
      </c>
      <c r="FD29" s="33"/>
      <c r="FE29" s="33"/>
      <c r="FF29" s="33"/>
      <c r="FG29" s="33"/>
      <c r="FH29" s="33"/>
      <c r="FI29" s="33"/>
      <c r="FJ29" s="33">
        <v>1</v>
      </c>
      <c r="FK29" s="33"/>
      <c r="FL29" s="33"/>
      <c r="FM29" s="33"/>
      <c r="FN29" s="33"/>
      <c r="FO29" s="33"/>
      <c r="FP29" s="33"/>
      <c r="FQ29" s="33">
        <v>1</v>
      </c>
      <c r="FR29" s="33"/>
      <c r="FS29" s="33"/>
      <c r="FT29" s="33"/>
      <c r="FU29" s="33"/>
      <c r="FV29" s="33"/>
      <c r="FW29" s="33"/>
      <c r="FX29" s="33">
        <v>1</v>
      </c>
      <c r="FY29" s="33"/>
      <c r="FZ29" s="33"/>
      <c r="GA29" s="33"/>
      <c r="GB29" s="33"/>
      <c r="GC29" s="33"/>
      <c r="GD29" s="33"/>
      <c r="GE29" s="33">
        <v>1</v>
      </c>
      <c r="GF29" s="33"/>
      <c r="GG29" s="33"/>
      <c r="GH29" s="33"/>
      <c r="GI29" s="33"/>
      <c r="GJ29" s="33"/>
      <c r="GK29" s="33"/>
      <c r="GL29" s="33">
        <v>1</v>
      </c>
      <c r="GM29" s="33"/>
      <c r="GN29" s="33"/>
      <c r="GO29" s="33"/>
      <c r="GP29" s="33"/>
      <c r="GQ29" s="33"/>
      <c r="GR29" s="33"/>
      <c r="GS29" s="33">
        <v>1</v>
      </c>
      <c r="GT29" s="33"/>
      <c r="GU29" s="33"/>
      <c r="GV29" s="33"/>
      <c r="GW29" s="33"/>
      <c r="GX29" s="33"/>
      <c r="GY29" s="33"/>
      <c r="GZ29" s="33">
        <v>1</v>
      </c>
      <c r="HA29" s="33"/>
      <c r="HB29" s="33"/>
      <c r="HC29" s="33"/>
      <c r="HD29" s="33"/>
      <c r="HE29" s="33"/>
      <c r="HF29" s="33"/>
      <c r="HG29" s="33">
        <v>1</v>
      </c>
      <c r="HH29" s="33"/>
      <c r="HI29" s="33"/>
      <c r="HJ29" s="33"/>
      <c r="HK29" s="33"/>
      <c r="HL29" s="33"/>
      <c r="HM29" s="33"/>
      <c r="HN29" s="33">
        <v>1</v>
      </c>
      <c r="HO29" s="33"/>
      <c r="HP29" s="33"/>
      <c r="HQ29" s="33"/>
      <c r="HR29" s="33"/>
      <c r="HS29" s="33"/>
      <c r="HT29" s="33"/>
      <c r="HU29" s="33">
        <v>1</v>
      </c>
      <c r="HV29" s="33"/>
      <c r="HW29" s="33"/>
      <c r="HX29" s="33"/>
      <c r="HY29" s="33"/>
      <c r="HZ29" s="33"/>
      <c r="IA29" s="33"/>
      <c r="IB29" s="33">
        <v>1</v>
      </c>
      <c r="IC29" s="33"/>
      <c r="ID29" s="33"/>
      <c r="IE29" s="33"/>
      <c r="IF29" s="33"/>
      <c r="IG29" s="33"/>
      <c r="IH29" s="33"/>
      <c r="II29" s="33">
        <v>1</v>
      </c>
      <c r="IJ29" s="33"/>
      <c r="IK29" s="33"/>
      <c r="IL29" s="33"/>
      <c r="IM29" s="33"/>
      <c r="IN29" s="33"/>
      <c r="IO29" s="33"/>
      <c r="IP29" s="33">
        <v>1</v>
      </c>
      <c r="IQ29" s="33"/>
      <c r="IR29" s="33"/>
      <c r="IS29" s="33"/>
      <c r="IT29" s="33"/>
      <c r="IU29" s="33"/>
      <c r="IV29" s="33"/>
      <c r="IW29" s="33">
        <v>1</v>
      </c>
      <c r="IX29" s="33"/>
      <c r="IY29" s="33"/>
      <c r="IZ29" s="33"/>
      <c r="JA29" s="33"/>
      <c r="JB29" s="33"/>
      <c r="JC29" s="33"/>
      <c r="JD29" s="33">
        <v>1</v>
      </c>
      <c r="JE29" s="33"/>
      <c r="JF29" s="33"/>
      <c r="JG29" s="33"/>
      <c r="JH29" s="33"/>
      <c r="JI29" s="33"/>
      <c r="JJ29" s="33"/>
      <c r="JK29" s="33">
        <v>1</v>
      </c>
      <c r="JL29" s="33"/>
      <c r="JM29" s="33"/>
      <c r="JN29" s="33"/>
      <c r="JO29" s="33"/>
      <c r="JP29" s="33"/>
      <c r="JQ29" s="33"/>
      <c r="JR29" s="33">
        <v>1</v>
      </c>
      <c r="JS29" s="33"/>
      <c r="JT29" s="33"/>
      <c r="JU29" s="33"/>
      <c r="JV29" s="33"/>
      <c r="JW29" s="33"/>
      <c r="JX29" s="33"/>
      <c r="JY29" s="33">
        <v>1</v>
      </c>
      <c r="JZ29" s="33"/>
      <c r="KA29" s="33"/>
      <c r="KB29" s="33"/>
      <c r="KC29" s="33"/>
      <c r="KD29" s="33"/>
      <c r="KE29" s="33"/>
      <c r="KF29" s="33">
        <v>1</v>
      </c>
      <c r="KG29" s="33"/>
      <c r="KH29" s="33"/>
      <c r="KI29" s="33"/>
      <c r="KJ29" s="33"/>
      <c r="KK29" s="33"/>
      <c r="KL29" s="33"/>
      <c r="KM29" s="33">
        <v>1</v>
      </c>
      <c r="KN29" s="33"/>
      <c r="KO29" s="33"/>
      <c r="KP29" s="33"/>
      <c r="KQ29" s="33"/>
      <c r="KR29" s="33"/>
      <c r="KS29" s="33"/>
      <c r="KT29" s="33">
        <v>1</v>
      </c>
      <c r="KU29" s="33"/>
      <c r="KV29" s="33"/>
      <c r="KW29" s="33"/>
      <c r="KX29" s="33"/>
      <c r="KY29" s="33"/>
      <c r="KZ29" s="33"/>
      <c r="LA29" s="33">
        <v>1</v>
      </c>
      <c r="LB29" s="33"/>
      <c r="LC29" s="33"/>
      <c r="LD29" s="33"/>
      <c r="LE29" s="33"/>
      <c r="LF29" s="33"/>
      <c r="LG29" s="33"/>
      <c r="LH29" s="33">
        <v>1</v>
      </c>
      <c r="LI29" s="33"/>
      <c r="LJ29" s="33"/>
      <c r="LK29" s="33"/>
      <c r="LL29" s="33"/>
      <c r="LM29" s="33"/>
      <c r="LN29" s="33"/>
      <c r="LO29" s="33">
        <v>1</v>
      </c>
      <c r="LP29" s="33"/>
      <c r="LQ29" s="33"/>
      <c r="LR29" s="33"/>
      <c r="LS29" s="33"/>
      <c r="LT29" s="33"/>
      <c r="LU29" s="33"/>
      <c r="LV29" s="33">
        <v>1</v>
      </c>
      <c r="LW29" s="33"/>
      <c r="LX29" s="33"/>
      <c r="LY29" s="33"/>
      <c r="LZ29" s="33"/>
      <c r="MA29" s="33"/>
      <c r="MB29" s="33"/>
      <c r="MC29" s="33">
        <v>1</v>
      </c>
      <c r="MD29" s="33"/>
      <c r="ME29" s="33"/>
      <c r="MF29" s="33"/>
      <c r="MG29" s="33"/>
      <c r="MH29" s="33"/>
      <c r="MI29" s="33"/>
      <c r="MJ29" s="33">
        <v>1</v>
      </c>
      <c r="MK29" s="33"/>
      <c r="ML29" s="33"/>
      <c r="MM29" s="33"/>
      <c r="MN29" s="33"/>
      <c r="MO29" s="33"/>
      <c r="MP29" s="33"/>
      <c r="MQ29" s="33">
        <v>1</v>
      </c>
      <c r="MR29" s="33"/>
      <c r="MS29" s="33"/>
      <c r="MT29" s="33"/>
      <c r="MU29" s="33"/>
      <c r="MV29" s="33"/>
      <c r="MW29" s="33"/>
      <c r="MX29" s="33">
        <v>1</v>
      </c>
      <c r="MY29" s="33"/>
      <c r="MZ29" s="33"/>
      <c r="NA29" s="33"/>
      <c r="NB29" s="33"/>
      <c r="NC29" s="33"/>
      <c r="ND29" s="33"/>
      <c r="NE29" s="33">
        <v>1</v>
      </c>
      <c r="NF29" s="33"/>
      <c r="NG29" s="33"/>
      <c r="NH29" s="33"/>
      <c r="NI29" s="33"/>
      <c r="NJ29" s="33"/>
      <c r="NK29" s="33"/>
      <c r="NL29" s="33">
        <v>1</v>
      </c>
      <c r="NM29" s="33"/>
      <c r="NN29" s="33"/>
      <c r="NO29" s="33"/>
      <c r="NP29" s="33"/>
      <c r="NQ29" s="33"/>
      <c r="NR29" s="33"/>
      <c r="NS29" s="33">
        <v>1</v>
      </c>
      <c r="NT29" s="31">
        <f>COUNTIF(F29:NS29,"1")</f>
        <v>59</v>
      </c>
      <c r="NU29" s="80">
        <f>NT30/NT29</f>
        <v>0.1864406779661017</v>
      </c>
      <c r="NV29" s="29" t="str">
        <f>+IF(NX29&gt;=1,"1",0)</f>
        <v>1</v>
      </c>
      <c r="NW29" s="38">
        <f t="shared" si="18"/>
        <v>1</v>
      </c>
      <c r="NX29" s="35">
        <f>COUNTIF(F29:AU29,"1")</f>
        <v>11</v>
      </c>
      <c r="NY29" s="80">
        <f>NX30/NX29</f>
        <v>1</v>
      </c>
      <c r="NZ29" s="29" t="str">
        <f>+IF(OB29&gt;=1,"1",0)</f>
        <v>1</v>
      </c>
      <c r="OA29" s="38">
        <f t="shared" si="19"/>
        <v>1</v>
      </c>
      <c r="OB29" s="35">
        <f>COUNTIF(AV29:CK29,"1")</f>
        <v>6</v>
      </c>
      <c r="OC29" s="80">
        <f>OB30/OB29</f>
        <v>0</v>
      </c>
      <c r="OD29" s="29" t="str">
        <f>+IF(OF29&gt;=1,"1",0)</f>
        <v>1</v>
      </c>
      <c r="OE29" s="38">
        <f t="shared" si="20"/>
        <v>1</v>
      </c>
      <c r="OF29" s="35">
        <f>COUNTIF(CL29:EA29,"1")</f>
        <v>6</v>
      </c>
      <c r="OG29" s="80">
        <f>OF30/OF29</f>
        <v>0</v>
      </c>
      <c r="OH29" s="29" t="str">
        <f>+IF(OJ29&gt;=1,"1",0)</f>
        <v>1</v>
      </c>
      <c r="OI29" s="38">
        <f t="shared" si="21"/>
        <v>1</v>
      </c>
      <c r="OJ29" s="35">
        <f>COUNTIF(EB29:FQ29,"1")</f>
        <v>6</v>
      </c>
      <c r="OK29" s="79">
        <f>OJ30/OJ29</f>
        <v>0</v>
      </c>
      <c r="OL29" s="29" t="str">
        <f>+IF(ON29&gt;=1,"1",0)</f>
        <v>1</v>
      </c>
      <c r="OM29" s="38">
        <f t="shared" si="22"/>
        <v>1</v>
      </c>
      <c r="ON29" s="35">
        <f>COUNTIF(FR29:HG29,"1")</f>
        <v>6</v>
      </c>
      <c r="OO29" s="79">
        <f>ON30/ON29</f>
        <v>0</v>
      </c>
      <c r="OP29" s="29" t="str">
        <f>+IF(OR29&gt;=1,"1",0)</f>
        <v>1</v>
      </c>
      <c r="OQ29" s="38">
        <f t="shared" si="23"/>
        <v>1</v>
      </c>
      <c r="OR29" s="35">
        <f>COUNTIF(HH29:IW29,"1")</f>
        <v>6</v>
      </c>
      <c r="OS29" s="79">
        <f>OR30/OR29</f>
        <v>0</v>
      </c>
      <c r="OT29" s="29" t="str">
        <f>+IF(OV29&gt;=1,"1",0)</f>
        <v>1</v>
      </c>
      <c r="OU29" s="38">
        <f t="shared" si="24"/>
        <v>1</v>
      </c>
      <c r="OV29" s="35">
        <f>COUNTIF(IX29:KM29,"1")</f>
        <v>6</v>
      </c>
      <c r="OW29" s="79">
        <f>OV30/OV29</f>
        <v>0</v>
      </c>
      <c r="OX29" s="29" t="str">
        <f>+IF(OZ29&gt;=1,"1",0)</f>
        <v>1</v>
      </c>
      <c r="OY29" s="38">
        <f t="shared" si="25"/>
        <v>1</v>
      </c>
      <c r="OZ29" s="35">
        <f>COUNTIF(KN29:MC29,"1")</f>
        <v>6</v>
      </c>
      <c r="PA29" s="79">
        <f>OZ30/OZ29</f>
        <v>0</v>
      </c>
      <c r="PB29" s="29" t="str">
        <f>+IF(PD29&gt;=1,"1",0)</f>
        <v>1</v>
      </c>
      <c r="PC29" s="38">
        <f t="shared" si="26"/>
        <v>1</v>
      </c>
      <c r="PD29" s="35">
        <f>COUNTIF(MD29:NS29,"1")</f>
        <v>6</v>
      </c>
      <c r="PE29" s="79">
        <f>PD30/PD29</f>
        <v>0</v>
      </c>
    </row>
    <row r="30" spans="3:421" ht="15.75" customHeight="1" outlineLevel="1" thickBot="1" x14ac:dyDescent="0.3">
      <c r="C30" s="89"/>
      <c r="D30" s="91"/>
      <c r="E30" s="54" t="s">
        <v>9</v>
      </c>
      <c r="F30" s="34" t="s">
        <v>75</v>
      </c>
      <c r="G30" s="34"/>
      <c r="H30" s="34"/>
      <c r="I30" s="34" t="s">
        <v>75</v>
      </c>
      <c r="J30" s="34" t="s">
        <v>75</v>
      </c>
      <c r="K30" s="34" t="s">
        <v>75</v>
      </c>
      <c r="L30" s="34" t="s">
        <v>75</v>
      </c>
      <c r="M30" s="34" t="s">
        <v>75</v>
      </c>
      <c r="N30" s="34"/>
      <c r="O30" s="34"/>
      <c r="P30" s="70"/>
      <c r="Q30" s="34"/>
      <c r="R30" s="34"/>
      <c r="S30" s="34" t="s">
        <v>75</v>
      </c>
      <c r="T30" s="34"/>
      <c r="U30" s="34"/>
      <c r="V30" s="34"/>
      <c r="W30" s="70"/>
      <c r="X30" s="34"/>
      <c r="Y30" s="34"/>
      <c r="Z30" s="34" t="s">
        <v>75</v>
      </c>
      <c r="AA30" s="34"/>
      <c r="AB30" s="34"/>
      <c r="AC30" s="34"/>
      <c r="AD30" s="34"/>
      <c r="AE30" s="34"/>
      <c r="AF30" s="34"/>
      <c r="AG30" s="34" t="s">
        <v>75</v>
      </c>
      <c r="AH30" s="34"/>
      <c r="AI30" s="34"/>
      <c r="AJ30" s="34"/>
      <c r="AK30" s="34"/>
      <c r="AL30" s="34"/>
      <c r="AM30" s="34"/>
      <c r="AN30" s="34" t="s">
        <v>75</v>
      </c>
      <c r="AO30" s="34"/>
      <c r="AP30" s="34"/>
      <c r="AQ30" s="34"/>
      <c r="AR30" s="34"/>
      <c r="AS30" s="34"/>
      <c r="AT30" s="34"/>
      <c r="AU30" s="34" t="s">
        <v>116</v>
      </c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  <c r="FS30" s="34"/>
      <c r="FT30" s="34"/>
      <c r="FU30" s="34"/>
      <c r="FV30" s="34"/>
      <c r="FW30" s="34"/>
      <c r="FX30" s="34"/>
      <c r="FY30" s="34"/>
      <c r="FZ30" s="34"/>
      <c r="GA30" s="34"/>
      <c r="GB30" s="34"/>
      <c r="GC30" s="34"/>
      <c r="GD30" s="34"/>
      <c r="GE30" s="34"/>
      <c r="GF30" s="34"/>
      <c r="GG30" s="34"/>
      <c r="GH30" s="34"/>
      <c r="GI30" s="34"/>
      <c r="GJ30" s="34"/>
      <c r="GK30" s="34"/>
      <c r="GL30" s="34"/>
      <c r="GM30" s="34"/>
      <c r="GN30" s="34"/>
      <c r="GO30" s="34"/>
      <c r="GP30" s="34"/>
      <c r="GQ30" s="34"/>
      <c r="GR30" s="34"/>
      <c r="GS30" s="34"/>
      <c r="GT30" s="34"/>
      <c r="GU30" s="34"/>
      <c r="GV30" s="34"/>
      <c r="GW30" s="34"/>
      <c r="GX30" s="34"/>
      <c r="GY30" s="34"/>
      <c r="GZ30" s="34"/>
      <c r="HA30" s="34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4"/>
      <c r="IQ30" s="34"/>
      <c r="IR30" s="34"/>
      <c r="IS30" s="34"/>
      <c r="IT30" s="34"/>
      <c r="IU30" s="34"/>
      <c r="IV30" s="34"/>
      <c r="IW30" s="34"/>
      <c r="IX30" s="34"/>
      <c r="IY30" s="34"/>
      <c r="IZ30" s="34"/>
      <c r="JA30" s="34"/>
      <c r="JB30" s="34"/>
      <c r="JC30" s="34"/>
      <c r="JD30" s="34"/>
      <c r="JE30" s="34"/>
      <c r="JF30" s="34"/>
      <c r="JG30" s="34"/>
      <c r="JH30" s="34"/>
      <c r="JI30" s="34"/>
      <c r="JJ30" s="34"/>
      <c r="JK30" s="34"/>
      <c r="JL30" s="34"/>
      <c r="JM30" s="34"/>
      <c r="JN30" s="34"/>
      <c r="JO30" s="34"/>
      <c r="JP30" s="34"/>
      <c r="JQ30" s="34"/>
      <c r="JR30" s="34"/>
      <c r="JS30" s="34"/>
      <c r="JT30" s="34"/>
      <c r="JU30" s="34"/>
      <c r="JV30" s="34"/>
      <c r="JW30" s="34"/>
      <c r="JX30" s="34"/>
      <c r="JY30" s="34"/>
      <c r="JZ30" s="34"/>
      <c r="KA30" s="34"/>
      <c r="KB30" s="34"/>
      <c r="KC30" s="34"/>
      <c r="KD30" s="34"/>
      <c r="KE30" s="34"/>
      <c r="KF30" s="34"/>
      <c r="KG30" s="34"/>
      <c r="KH30" s="34"/>
      <c r="KI30" s="34"/>
      <c r="KJ30" s="34"/>
      <c r="KK30" s="34"/>
      <c r="KL30" s="34"/>
      <c r="KM30" s="34"/>
      <c r="KN30" s="34"/>
      <c r="KO30" s="34"/>
      <c r="KP30" s="34"/>
      <c r="KQ30" s="34"/>
      <c r="KR30" s="34"/>
      <c r="KS30" s="34"/>
      <c r="KT30" s="34"/>
      <c r="KU30" s="34"/>
      <c r="KV30" s="34"/>
      <c r="KW30" s="34"/>
      <c r="KX30" s="34"/>
      <c r="KY30" s="34"/>
      <c r="KZ30" s="34"/>
      <c r="LA30" s="34"/>
      <c r="LB30" s="34"/>
      <c r="LC30" s="34"/>
      <c r="LD30" s="34"/>
      <c r="LE30" s="34"/>
      <c r="LF30" s="34"/>
      <c r="LG30" s="34"/>
      <c r="LH30" s="34"/>
      <c r="LI30" s="34"/>
      <c r="LJ30" s="34"/>
      <c r="LK30" s="34"/>
      <c r="LL30" s="34"/>
      <c r="LM30" s="34"/>
      <c r="LN30" s="34"/>
      <c r="LO30" s="34"/>
      <c r="LP30" s="34"/>
      <c r="LQ30" s="34"/>
      <c r="LR30" s="34"/>
      <c r="LS30" s="34"/>
      <c r="LT30" s="34"/>
      <c r="LU30" s="34"/>
      <c r="LV30" s="34"/>
      <c r="LW30" s="34"/>
      <c r="LX30" s="34"/>
      <c r="LY30" s="34"/>
      <c r="LZ30" s="34"/>
      <c r="MA30" s="34"/>
      <c r="MB30" s="34"/>
      <c r="MC30" s="34"/>
      <c r="MD30" s="34"/>
      <c r="ME30" s="34"/>
      <c r="MF30" s="34"/>
      <c r="MG30" s="34"/>
      <c r="MH30" s="34"/>
      <c r="MI30" s="34"/>
      <c r="MJ30" s="34"/>
      <c r="MK30" s="34"/>
      <c r="ML30" s="34"/>
      <c r="MM30" s="34"/>
      <c r="MN30" s="34"/>
      <c r="MO30" s="34"/>
      <c r="MP30" s="34"/>
      <c r="MQ30" s="34"/>
      <c r="MR30" s="34"/>
      <c r="MS30" s="34"/>
      <c r="MT30" s="34"/>
      <c r="MU30" s="34"/>
      <c r="MV30" s="34"/>
      <c r="MW30" s="34"/>
      <c r="MX30" s="34"/>
      <c r="MY30" s="34"/>
      <c r="MZ30" s="34"/>
      <c r="NA30" s="34"/>
      <c r="NB30" s="34"/>
      <c r="NC30" s="34"/>
      <c r="ND30" s="34"/>
      <c r="NE30" s="34"/>
      <c r="NF30" s="34"/>
      <c r="NG30" s="34"/>
      <c r="NH30" s="34"/>
      <c r="NI30" s="34"/>
      <c r="NJ30" s="34"/>
      <c r="NK30" s="34"/>
      <c r="NL30" s="34"/>
      <c r="NM30" s="34"/>
      <c r="NN30" s="34"/>
      <c r="NO30" s="34"/>
      <c r="NP30" s="34"/>
      <c r="NQ30" s="34"/>
      <c r="NR30" s="34"/>
      <c r="NS30" s="34"/>
      <c r="NT30" s="7">
        <f>COUNTIF(F30:NS30,"x")</f>
        <v>11</v>
      </c>
      <c r="NU30" s="81"/>
      <c r="NV30" s="32">
        <f>IF(NX30=0,"0",NX30/NX29)</f>
        <v>1</v>
      </c>
      <c r="NW30" s="37">
        <f t="shared" si="18"/>
        <v>0</v>
      </c>
      <c r="NX30" s="36">
        <f>COUNTIF(F30:AU30,"x")</f>
        <v>11</v>
      </c>
      <c r="NY30" s="81"/>
      <c r="NZ30" s="32" t="str">
        <f>IF(OB30=0,"0",OB30/OB29)</f>
        <v>0</v>
      </c>
      <c r="OA30" s="37">
        <f t="shared" si="19"/>
        <v>0</v>
      </c>
      <c r="OB30" s="36">
        <f>COUNTIF(AV30:CK30,"x")</f>
        <v>0</v>
      </c>
      <c r="OC30" s="81"/>
      <c r="OD30" s="32" t="str">
        <f>IF(OF30=0,"0",OF30/OF29)</f>
        <v>0</v>
      </c>
      <c r="OE30" s="37">
        <f t="shared" si="20"/>
        <v>0</v>
      </c>
      <c r="OF30" s="36">
        <f>COUNTIF(CL30:EA30,"x")</f>
        <v>0</v>
      </c>
      <c r="OG30" s="81"/>
      <c r="OH30" s="32" t="str">
        <f>IF(OJ30=0,"0",OJ30/OJ29)</f>
        <v>0</v>
      </c>
      <c r="OI30" s="37">
        <f t="shared" si="21"/>
        <v>0</v>
      </c>
      <c r="OJ30" s="36">
        <f>COUNTIF(EB30:FQ30,"x")</f>
        <v>0</v>
      </c>
      <c r="OK30" s="74"/>
      <c r="OL30" s="32" t="str">
        <f>IF(ON30=0,"0",ON30/ON29)</f>
        <v>0</v>
      </c>
      <c r="OM30" s="37">
        <f t="shared" si="22"/>
        <v>0</v>
      </c>
      <c r="ON30" s="36">
        <f>COUNTIF(FR30:HG30,"x")</f>
        <v>0</v>
      </c>
      <c r="OO30" s="74"/>
      <c r="OP30" s="32" t="str">
        <f>IF(OR30=0,"0",OR30/OR29)</f>
        <v>0</v>
      </c>
      <c r="OQ30" s="37">
        <f t="shared" si="23"/>
        <v>0</v>
      </c>
      <c r="OR30" s="36">
        <f>COUNTIF(HH30:IW30,"x")</f>
        <v>0</v>
      </c>
      <c r="OS30" s="74"/>
      <c r="OT30" s="32" t="str">
        <f>IF(OV30=0,"0",OV30/OV29)</f>
        <v>0</v>
      </c>
      <c r="OU30" s="37">
        <f t="shared" si="24"/>
        <v>0</v>
      </c>
      <c r="OV30" s="36">
        <f>COUNTIF(IX30:KM30,"x")</f>
        <v>0</v>
      </c>
      <c r="OW30" s="74"/>
      <c r="OX30" s="32" t="str">
        <f>IF(OZ30=0,"0",OZ30/OZ29)</f>
        <v>0</v>
      </c>
      <c r="OY30" s="37">
        <f t="shared" si="25"/>
        <v>0</v>
      </c>
      <c r="OZ30" s="36">
        <f>COUNTIF(KN30:MC30,"x")</f>
        <v>0</v>
      </c>
      <c r="PA30" s="74"/>
      <c r="PB30" s="32" t="str">
        <f>IF(PD30=0,"0",PD30/PD29)</f>
        <v>0</v>
      </c>
      <c r="PC30" s="37">
        <f t="shared" si="26"/>
        <v>0</v>
      </c>
      <c r="PD30" s="36">
        <f>COUNTIF(MD30:NS30,"x")</f>
        <v>0</v>
      </c>
      <c r="PE30" s="74"/>
    </row>
    <row r="31" spans="3:421" ht="15.75" customHeight="1" outlineLevel="1" x14ac:dyDescent="0.25">
      <c r="C31" s="88" t="s">
        <v>46</v>
      </c>
      <c r="D31" s="90" t="s">
        <v>108</v>
      </c>
      <c r="E31" s="53" t="s">
        <v>8</v>
      </c>
      <c r="F31" s="33"/>
      <c r="G31" s="33"/>
      <c r="H31" s="33"/>
      <c r="I31" s="33"/>
      <c r="J31" s="33"/>
      <c r="K31" s="33"/>
      <c r="L31" s="33">
        <v>1</v>
      </c>
      <c r="M31" s="33"/>
      <c r="N31" s="33"/>
      <c r="O31" s="33"/>
      <c r="P31" s="69"/>
      <c r="Q31" s="33"/>
      <c r="R31" s="33"/>
      <c r="S31" s="33">
        <v>1</v>
      </c>
      <c r="T31" s="33"/>
      <c r="U31" s="33"/>
      <c r="V31" s="33"/>
      <c r="W31" s="69"/>
      <c r="X31" s="33"/>
      <c r="Y31" s="33"/>
      <c r="Z31" s="33">
        <v>1</v>
      </c>
      <c r="AA31" s="33"/>
      <c r="AB31" s="33"/>
      <c r="AC31" s="33"/>
      <c r="AD31" s="33"/>
      <c r="AE31" s="33"/>
      <c r="AF31" s="33"/>
      <c r="AG31" s="33">
        <v>1</v>
      </c>
      <c r="AH31" s="33"/>
      <c r="AI31" s="33"/>
      <c r="AJ31" s="33"/>
      <c r="AK31" s="33"/>
      <c r="AL31" s="33"/>
      <c r="AM31" s="33"/>
      <c r="AN31" s="33">
        <v>1</v>
      </c>
      <c r="AO31" s="33"/>
      <c r="AP31" s="33"/>
      <c r="AQ31" s="33"/>
      <c r="AR31" s="33"/>
      <c r="AS31" s="33"/>
      <c r="AT31" s="33"/>
      <c r="AU31" s="33">
        <v>1</v>
      </c>
      <c r="AV31" s="33"/>
      <c r="AW31" s="33"/>
      <c r="AX31" s="33"/>
      <c r="AY31" s="33"/>
      <c r="AZ31" s="33"/>
      <c r="BA31" s="33"/>
      <c r="BB31" s="33">
        <v>1</v>
      </c>
      <c r="BC31" s="33"/>
      <c r="BD31" s="33"/>
      <c r="BE31" s="33"/>
      <c r="BF31" s="33"/>
      <c r="BG31" s="33"/>
      <c r="BH31" s="33"/>
      <c r="BI31" s="33">
        <v>1</v>
      </c>
      <c r="BJ31" s="33"/>
      <c r="BK31" s="33"/>
      <c r="BL31" s="33"/>
      <c r="BM31" s="33"/>
      <c r="BN31" s="33"/>
      <c r="BO31" s="33"/>
      <c r="BP31" s="33">
        <v>1</v>
      </c>
      <c r="BQ31" s="33"/>
      <c r="BR31" s="33"/>
      <c r="BS31" s="33"/>
      <c r="BT31" s="33"/>
      <c r="BU31" s="33"/>
      <c r="BV31" s="33"/>
      <c r="BW31" s="33">
        <v>1</v>
      </c>
      <c r="BX31" s="33"/>
      <c r="BY31" s="33"/>
      <c r="BZ31" s="33"/>
      <c r="CA31" s="33"/>
      <c r="CB31" s="33"/>
      <c r="CC31" s="33"/>
      <c r="CD31" s="33">
        <v>1</v>
      </c>
      <c r="CE31" s="33"/>
      <c r="CF31" s="33"/>
      <c r="CG31" s="33"/>
      <c r="CH31" s="33"/>
      <c r="CI31" s="33"/>
      <c r="CJ31" s="33"/>
      <c r="CK31" s="33">
        <v>1</v>
      </c>
      <c r="CL31" s="33"/>
      <c r="CM31" s="33"/>
      <c r="CN31" s="33"/>
      <c r="CO31" s="33"/>
      <c r="CP31" s="33"/>
      <c r="CQ31" s="33"/>
      <c r="CR31" s="33">
        <v>1</v>
      </c>
      <c r="CS31" s="33"/>
      <c r="CT31" s="33"/>
      <c r="CU31" s="33"/>
      <c r="CV31" s="33"/>
      <c r="CW31" s="33"/>
      <c r="CX31" s="33"/>
      <c r="CY31" s="33">
        <v>1</v>
      </c>
      <c r="CZ31" s="33"/>
      <c r="DA31" s="33"/>
      <c r="DB31" s="33"/>
      <c r="DC31" s="33"/>
      <c r="DD31" s="33"/>
      <c r="DE31" s="33"/>
      <c r="DF31" s="33">
        <v>1</v>
      </c>
      <c r="DG31" s="33"/>
      <c r="DH31" s="33"/>
      <c r="DI31" s="33"/>
      <c r="DJ31" s="33"/>
      <c r="DK31" s="33"/>
      <c r="DL31" s="33"/>
      <c r="DM31" s="33">
        <v>1</v>
      </c>
      <c r="DN31" s="33"/>
      <c r="DO31" s="33"/>
      <c r="DP31" s="33"/>
      <c r="DQ31" s="33"/>
      <c r="DR31" s="33"/>
      <c r="DS31" s="33"/>
      <c r="DT31" s="33">
        <v>1</v>
      </c>
      <c r="DU31" s="33"/>
      <c r="DV31" s="33"/>
      <c r="DW31" s="33"/>
      <c r="DX31" s="33"/>
      <c r="DY31" s="33"/>
      <c r="DZ31" s="33"/>
      <c r="EA31" s="33">
        <v>1</v>
      </c>
      <c r="EB31" s="33"/>
      <c r="EC31" s="33"/>
      <c r="ED31" s="33"/>
      <c r="EE31" s="33"/>
      <c r="EF31" s="33"/>
      <c r="EG31" s="33"/>
      <c r="EH31" s="33">
        <v>1</v>
      </c>
      <c r="EI31" s="33"/>
      <c r="EJ31" s="33"/>
      <c r="EK31" s="33"/>
      <c r="EL31" s="33"/>
      <c r="EM31" s="33"/>
      <c r="EN31" s="33"/>
      <c r="EO31" s="33">
        <v>1</v>
      </c>
      <c r="EP31" s="33"/>
      <c r="EQ31" s="33"/>
      <c r="ER31" s="33"/>
      <c r="ES31" s="33"/>
      <c r="ET31" s="33"/>
      <c r="EU31" s="33"/>
      <c r="EV31" s="33">
        <v>1</v>
      </c>
      <c r="EW31" s="33"/>
      <c r="EX31" s="33"/>
      <c r="EY31" s="33"/>
      <c r="EZ31" s="33"/>
      <c r="FA31" s="33"/>
      <c r="FB31" s="33"/>
      <c r="FC31" s="33">
        <v>1</v>
      </c>
      <c r="FD31" s="33"/>
      <c r="FE31" s="33"/>
      <c r="FF31" s="33"/>
      <c r="FG31" s="33"/>
      <c r="FH31" s="33"/>
      <c r="FI31" s="33"/>
      <c r="FJ31" s="33">
        <v>1</v>
      </c>
      <c r="FK31" s="33"/>
      <c r="FL31" s="33"/>
      <c r="FM31" s="33"/>
      <c r="FN31" s="33"/>
      <c r="FO31" s="33"/>
      <c r="FP31" s="33"/>
      <c r="FQ31" s="33">
        <v>1</v>
      </c>
      <c r="FR31" s="33"/>
      <c r="FS31" s="33"/>
      <c r="FT31" s="33"/>
      <c r="FU31" s="33"/>
      <c r="FV31" s="33"/>
      <c r="FW31" s="33"/>
      <c r="FX31" s="33">
        <v>1</v>
      </c>
      <c r="FY31" s="33"/>
      <c r="FZ31" s="33"/>
      <c r="GA31" s="33"/>
      <c r="GB31" s="33"/>
      <c r="GC31" s="33"/>
      <c r="GD31" s="33"/>
      <c r="GE31" s="33">
        <v>1</v>
      </c>
      <c r="GF31" s="33"/>
      <c r="GG31" s="33"/>
      <c r="GH31" s="33"/>
      <c r="GI31" s="33"/>
      <c r="GJ31" s="33"/>
      <c r="GK31" s="33"/>
      <c r="GL31" s="33">
        <v>1</v>
      </c>
      <c r="GM31" s="33"/>
      <c r="GN31" s="33"/>
      <c r="GO31" s="33"/>
      <c r="GP31" s="33"/>
      <c r="GQ31" s="33"/>
      <c r="GR31" s="33"/>
      <c r="GS31" s="33">
        <v>1</v>
      </c>
      <c r="GT31" s="33"/>
      <c r="GU31" s="33"/>
      <c r="GV31" s="33"/>
      <c r="GW31" s="33"/>
      <c r="GX31" s="33"/>
      <c r="GY31" s="33"/>
      <c r="GZ31" s="33">
        <v>1</v>
      </c>
      <c r="HA31" s="33"/>
      <c r="HB31" s="33"/>
      <c r="HC31" s="33"/>
      <c r="HD31" s="33"/>
      <c r="HE31" s="33"/>
      <c r="HF31" s="33"/>
      <c r="HG31" s="33">
        <v>1</v>
      </c>
      <c r="HH31" s="33"/>
      <c r="HI31" s="33"/>
      <c r="HJ31" s="33"/>
      <c r="HK31" s="33"/>
      <c r="HL31" s="33"/>
      <c r="HM31" s="33"/>
      <c r="HN31" s="33">
        <v>1</v>
      </c>
      <c r="HO31" s="33"/>
      <c r="HP31" s="33"/>
      <c r="HQ31" s="33"/>
      <c r="HR31" s="33"/>
      <c r="HS31" s="33"/>
      <c r="HT31" s="33"/>
      <c r="HU31" s="33">
        <v>1</v>
      </c>
      <c r="HV31" s="33"/>
      <c r="HW31" s="33"/>
      <c r="HX31" s="33"/>
      <c r="HY31" s="33"/>
      <c r="HZ31" s="33"/>
      <c r="IA31" s="33"/>
      <c r="IB31" s="33">
        <v>1</v>
      </c>
      <c r="IC31" s="33"/>
      <c r="ID31" s="33"/>
      <c r="IE31" s="33"/>
      <c r="IF31" s="33"/>
      <c r="IG31" s="33"/>
      <c r="IH31" s="33"/>
      <c r="II31" s="33">
        <v>1</v>
      </c>
      <c r="IJ31" s="33"/>
      <c r="IK31" s="33"/>
      <c r="IL31" s="33"/>
      <c r="IM31" s="33"/>
      <c r="IN31" s="33"/>
      <c r="IO31" s="33"/>
      <c r="IP31" s="33">
        <v>1</v>
      </c>
      <c r="IQ31" s="33"/>
      <c r="IR31" s="33"/>
      <c r="IS31" s="33"/>
      <c r="IT31" s="33"/>
      <c r="IU31" s="33"/>
      <c r="IV31" s="33"/>
      <c r="IW31" s="33">
        <v>1</v>
      </c>
      <c r="IX31" s="33"/>
      <c r="IY31" s="33"/>
      <c r="IZ31" s="33"/>
      <c r="JA31" s="33"/>
      <c r="JB31" s="33"/>
      <c r="JC31" s="33"/>
      <c r="JD31" s="33">
        <v>1</v>
      </c>
      <c r="JE31" s="33"/>
      <c r="JF31" s="33"/>
      <c r="JG31" s="33"/>
      <c r="JH31" s="33"/>
      <c r="JI31" s="33"/>
      <c r="JJ31" s="33"/>
      <c r="JK31" s="33">
        <v>1</v>
      </c>
      <c r="JL31" s="33"/>
      <c r="JM31" s="33"/>
      <c r="JN31" s="33"/>
      <c r="JO31" s="33"/>
      <c r="JP31" s="33"/>
      <c r="JQ31" s="33"/>
      <c r="JR31" s="33">
        <v>1</v>
      </c>
      <c r="JS31" s="33"/>
      <c r="JT31" s="33"/>
      <c r="JU31" s="33"/>
      <c r="JV31" s="33"/>
      <c r="JW31" s="33"/>
      <c r="JX31" s="33"/>
      <c r="JY31" s="33">
        <v>1</v>
      </c>
      <c r="JZ31" s="33"/>
      <c r="KA31" s="33"/>
      <c r="KB31" s="33"/>
      <c r="KC31" s="33"/>
      <c r="KD31" s="33"/>
      <c r="KE31" s="33"/>
      <c r="KF31" s="33">
        <v>1</v>
      </c>
      <c r="KG31" s="33"/>
      <c r="KH31" s="33"/>
      <c r="KI31" s="33"/>
      <c r="KJ31" s="33"/>
      <c r="KK31" s="33"/>
      <c r="KL31" s="33"/>
      <c r="KM31" s="33">
        <v>1</v>
      </c>
      <c r="KN31" s="33"/>
      <c r="KO31" s="33"/>
      <c r="KP31" s="33"/>
      <c r="KQ31" s="33"/>
      <c r="KR31" s="33"/>
      <c r="KS31" s="33"/>
      <c r="KT31" s="33">
        <v>1</v>
      </c>
      <c r="KU31" s="33"/>
      <c r="KV31" s="33"/>
      <c r="KW31" s="33"/>
      <c r="KX31" s="33"/>
      <c r="KY31" s="33"/>
      <c r="KZ31" s="33"/>
      <c r="LA31" s="33">
        <v>1</v>
      </c>
      <c r="LB31" s="33"/>
      <c r="LC31" s="33"/>
      <c r="LD31" s="33"/>
      <c r="LE31" s="33"/>
      <c r="LF31" s="33"/>
      <c r="LG31" s="33"/>
      <c r="LH31" s="33">
        <v>1</v>
      </c>
      <c r="LI31" s="33"/>
      <c r="LJ31" s="33"/>
      <c r="LK31" s="33"/>
      <c r="LL31" s="33"/>
      <c r="LM31" s="33"/>
      <c r="LN31" s="33"/>
      <c r="LO31" s="33">
        <v>1</v>
      </c>
      <c r="LP31" s="33"/>
      <c r="LQ31" s="33"/>
      <c r="LR31" s="33"/>
      <c r="LS31" s="33"/>
      <c r="LT31" s="33"/>
      <c r="LU31" s="33"/>
      <c r="LV31" s="33">
        <v>1</v>
      </c>
      <c r="LW31" s="33"/>
      <c r="LX31" s="33"/>
      <c r="LY31" s="33"/>
      <c r="LZ31" s="33"/>
      <c r="MA31" s="33"/>
      <c r="MB31" s="33"/>
      <c r="MC31" s="33">
        <v>1</v>
      </c>
      <c r="MD31" s="33"/>
      <c r="ME31" s="33"/>
      <c r="MF31" s="33"/>
      <c r="MG31" s="33"/>
      <c r="MH31" s="33"/>
      <c r="MI31" s="33"/>
      <c r="MJ31" s="33">
        <v>1</v>
      </c>
      <c r="MK31" s="33"/>
      <c r="ML31" s="33"/>
      <c r="MM31" s="33"/>
      <c r="MN31" s="33"/>
      <c r="MO31" s="33"/>
      <c r="MP31" s="33"/>
      <c r="MQ31" s="33">
        <v>1</v>
      </c>
      <c r="MR31" s="33"/>
      <c r="MS31" s="33"/>
      <c r="MT31" s="33"/>
      <c r="MU31" s="33"/>
      <c r="MV31" s="33"/>
      <c r="MW31" s="33"/>
      <c r="MX31" s="33">
        <v>1</v>
      </c>
      <c r="MY31" s="33"/>
      <c r="MZ31" s="33"/>
      <c r="NA31" s="33"/>
      <c r="NB31" s="33"/>
      <c r="NC31" s="33"/>
      <c r="ND31" s="33"/>
      <c r="NE31" s="33">
        <v>1</v>
      </c>
      <c r="NF31" s="33"/>
      <c r="NG31" s="33"/>
      <c r="NH31" s="33"/>
      <c r="NI31" s="33"/>
      <c r="NJ31" s="33"/>
      <c r="NK31" s="33"/>
      <c r="NL31" s="33">
        <v>1</v>
      </c>
      <c r="NM31" s="33"/>
      <c r="NN31" s="33"/>
      <c r="NO31" s="33"/>
      <c r="NP31" s="33"/>
      <c r="NQ31" s="33"/>
      <c r="NR31" s="33"/>
      <c r="NS31" s="33">
        <v>1</v>
      </c>
      <c r="NT31" s="31">
        <f>COUNTIF(F31:NS31,"1")</f>
        <v>54</v>
      </c>
      <c r="NU31" s="80">
        <f>NT32/NT31</f>
        <v>0.1111111111111111</v>
      </c>
      <c r="NV31" s="29" t="str">
        <f>+IF(NX31&gt;=1,"1",0)</f>
        <v>1</v>
      </c>
      <c r="NW31" s="38">
        <f>MOD(ROW(NW31),2)</f>
        <v>1</v>
      </c>
      <c r="NX31" s="35">
        <f>COUNTIF(F31:AU31,"1")</f>
        <v>6</v>
      </c>
      <c r="NY31" s="80">
        <f>NX32/NX31</f>
        <v>1</v>
      </c>
      <c r="NZ31" s="29" t="str">
        <f>+IF(OB31&gt;=1,"1",0)</f>
        <v>1</v>
      </c>
      <c r="OA31" s="38">
        <f>MOD(ROW(OA31),2)</f>
        <v>1</v>
      </c>
      <c r="OB31" s="35">
        <f>COUNTIF(AV31:CK31,"1")</f>
        <v>6</v>
      </c>
      <c r="OC31" s="80">
        <f>OB32/OB31</f>
        <v>0</v>
      </c>
      <c r="OD31" s="29" t="str">
        <f>+IF(OF31&gt;=1,"1",0)</f>
        <v>1</v>
      </c>
      <c r="OE31" s="38">
        <f>MOD(ROW(OE31),2)</f>
        <v>1</v>
      </c>
      <c r="OF31" s="35">
        <f>COUNTIF(CL31:EA31,"1")</f>
        <v>6</v>
      </c>
      <c r="OG31" s="80">
        <f>OF32/OF31</f>
        <v>0</v>
      </c>
      <c r="OH31" s="29" t="str">
        <f>+IF(OJ31&gt;=1,"1",0)</f>
        <v>1</v>
      </c>
      <c r="OI31" s="38">
        <f>MOD(ROW(OI31),2)</f>
        <v>1</v>
      </c>
      <c r="OJ31" s="35">
        <f>COUNTIF(EB31:FQ31,"1")</f>
        <v>6</v>
      </c>
      <c r="OK31" s="79">
        <f>OJ32/OJ31</f>
        <v>0</v>
      </c>
      <c r="OL31" s="29" t="str">
        <f>+IF(ON31&gt;=1,"1",0)</f>
        <v>1</v>
      </c>
      <c r="OM31" s="38">
        <f>MOD(ROW(OM31),2)</f>
        <v>1</v>
      </c>
      <c r="ON31" s="35">
        <f>COUNTIF(FR31:HG31,"1")</f>
        <v>6</v>
      </c>
      <c r="OO31" s="79">
        <f>ON32/ON31</f>
        <v>0</v>
      </c>
      <c r="OP31" s="29" t="str">
        <f>+IF(OR31&gt;=1,"1",0)</f>
        <v>1</v>
      </c>
      <c r="OQ31" s="38">
        <f>MOD(ROW(OQ31),2)</f>
        <v>1</v>
      </c>
      <c r="OR31" s="35">
        <f>COUNTIF(HH31:IW31,"1")</f>
        <v>6</v>
      </c>
      <c r="OS31" s="79">
        <f>OR32/OR31</f>
        <v>0</v>
      </c>
      <c r="OT31" s="29" t="str">
        <f>+IF(OV31&gt;=1,"1",0)</f>
        <v>1</v>
      </c>
      <c r="OU31" s="38">
        <f>MOD(ROW(OU31),2)</f>
        <v>1</v>
      </c>
      <c r="OV31" s="35">
        <f>COUNTIF(IX31:KM31,"1")</f>
        <v>6</v>
      </c>
      <c r="OW31" s="79">
        <f>OV32/OV31</f>
        <v>0</v>
      </c>
      <c r="OX31" s="29" t="str">
        <f>+IF(OZ31&gt;=1,"1",0)</f>
        <v>1</v>
      </c>
      <c r="OY31" s="38">
        <f>MOD(ROW(OY31),2)</f>
        <v>1</v>
      </c>
      <c r="OZ31" s="35">
        <f>COUNTIF(KN31:MC31,"1")</f>
        <v>6</v>
      </c>
      <c r="PA31" s="79">
        <f>OZ32/OZ31</f>
        <v>0</v>
      </c>
      <c r="PB31" s="29" t="str">
        <f>+IF(PD31&gt;=1,"1",0)</f>
        <v>1</v>
      </c>
      <c r="PC31" s="38">
        <f>MOD(ROW(PC31),2)</f>
        <v>1</v>
      </c>
      <c r="PD31" s="35">
        <f>COUNTIF(MD31:NS31,"1")</f>
        <v>6</v>
      </c>
      <c r="PE31" s="79">
        <f>PD32/PD31</f>
        <v>0</v>
      </c>
    </row>
    <row r="32" spans="3:421" ht="15.75" customHeight="1" outlineLevel="1" thickBot="1" x14ac:dyDescent="0.3">
      <c r="C32" s="89"/>
      <c r="D32" s="91"/>
      <c r="E32" s="54" t="s">
        <v>9</v>
      </c>
      <c r="F32" s="34"/>
      <c r="G32" s="34"/>
      <c r="H32" s="34"/>
      <c r="I32" s="34"/>
      <c r="J32" s="34"/>
      <c r="K32" s="34"/>
      <c r="L32" s="34"/>
      <c r="M32" s="34" t="s">
        <v>75</v>
      </c>
      <c r="N32" s="34"/>
      <c r="O32" s="34"/>
      <c r="P32" s="70"/>
      <c r="Q32" s="34"/>
      <c r="R32" s="34"/>
      <c r="S32" s="34"/>
      <c r="T32" s="34" t="s">
        <v>75</v>
      </c>
      <c r="U32" s="34"/>
      <c r="V32" s="34"/>
      <c r="W32" s="70"/>
      <c r="X32" s="34"/>
      <c r="Y32" s="34"/>
      <c r="Z32" s="34" t="s">
        <v>75</v>
      </c>
      <c r="AA32" s="34"/>
      <c r="AB32" s="34"/>
      <c r="AC32" s="34"/>
      <c r="AD32" s="34"/>
      <c r="AE32" s="34"/>
      <c r="AF32" s="34"/>
      <c r="AG32" s="34"/>
      <c r="AH32" s="34" t="s">
        <v>75</v>
      </c>
      <c r="AI32" s="34"/>
      <c r="AJ32" s="34"/>
      <c r="AK32" s="34"/>
      <c r="AL32" s="34"/>
      <c r="AM32" s="34"/>
      <c r="AN32" s="34"/>
      <c r="AO32" s="34" t="s">
        <v>75</v>
      </c>
      <c r="AP32" s="34"/>
      <c r="AQ32" s="34"/>
      <c r="AR32" s="34"/>
      <c r="AS32" s="34"/>
      <c r="AT32" s="34"/>
      <c r="AU32" s="34" t="s">
        <v>116</v>
      </c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4"/>
      <c r="GB32" s="34"/>
      <c r="GC32" s="34"/>
      <c r="GD32" s="34"/>
      <c r="GE32" s="34"/>
      <c r="GF32" s="34"/>
      <c r="GG32" s="34"/>
      <c r="GH32" s="34"/>
      <c r="GI32" s="34"/>
      <c r="GJ32" s="34"/>
      <c r="GK32" s="34"/>
      <c r="GL32" s="34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  <c r="IT32" s="34"/>
      <c r="IU32" s="34"/>
      <c r="IV32" s="34"/>
      <c r="IW32" s="34"/>
      <c r="IX32" s="34"/>
      <c r="IY32" s="34"/>
      <c r="IZ32" s="34"/>
      <c r="JA32" s="34"/>
      <c r="JB32" s="34"/>
      <c r="JC32" s="34"/>
      <c r="JD32" s="34"/>
      <c r="JE32" s="34"/>
      <c r="JF32" s="34"/>
      <c r="JG32" s="34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  <c r="KW32" s="34"/>
      <c r="KX32" s="34"/>
      <c r="KY32" s="34"/>
      <c r="KZ32" s="34"/>
      <c r="LA32" s="34"/>
      <c r="LB32" s="34"/>
      <c r="LC32" s="34"/>
      <c r="LD32" s="34"/>
      <c r="LE32" s="34"/>
      <c r="LF32" s="34"/>
      <c r="LG32" s="34"/>
      <c r="LH32" s="34"/>
      <c r="LI32" s="34"/>
      <c r="LJ32" s="34"/>
      <c r="LK32" s="34"/>
      <c r="LL32" s="34"/>
      <c r="LM32" s="34"/>
      <c r="LN32" s="34"/>
      <c r="LO32" s="34"/>
      <c r="LP32" s="34"/>
      <c r="LQ32" s="34"/>
      <c r="LR32" s="34"/>
      <c r="LS32" s="34"/>
      <c r="LT32" s="34"/>
      <c r="LU32" s="34"/>
      <c r="LV32" s="34"/>
      <c r="LW32" s="34"/>
      <c r="LX32" s="34"/>
      <c r="LY32" s="34"/>
      <c r="LZ32" s="34"/>
      <c r="MA32" s="34"/>
      <c r="MB32" s="34"/>
      <c r="MC32" s="34"/>
      <c r="MD32" s="34"/>
      <c r="ME32" s="34"/>
      <c r="MF32" s="34"/>
      <c r="MG32" s="34"/>
      <c r="MH32" s="34"/>
      <c r="MI32" s="34"/>
      <c r="MJ32" s="34"/>
      <c r="MK32" s="34"/>
      <c r="ML32" s="34"/>
      <c r="MM32" s="34"/>
      <c r="MN32" s="34"/>
      <c r="MO32" s="34"/>
      <c r="MP32" s="34"/>
      <c r="MQ32" s="34"/>
      <c r="MR32" s="34"/>
      <c r="MS32" s="34"/>
      <c r="MT32" s="34"/>
      <c r="MU32" s="34"/>
      <c r="MV32" s="34"/>
      <c r="MW32" s="34"/>
      <c r="MX32" s="34"/>
      <c r="MY32" s="34"/>
      <c r="MZ32" s="34"/>
      <c r="NA32" s="34"/>
      <c r="NB32" s="34"/>
      <c r="NC32" s="34"/>
      <c r="ND32" s="34"/>
      <c r="NE32" s="34"/>
      <c r="NF32" s="34"/>
      <c r="NG32" s="34"/>
      <c r="NH32" s="34"/>
      <c r="NI32" s="34"/>
      <c r="NJ32" s="34"/>
      <c r="NK32" s="34"/>
      <c r="NL32" s="34"/>
      <c r="NM32" s="34"/>
      <c r="NN32" s="34"/>
      <c r="NO32" s="34"/>
      <c r="NP32" s="34"/>
      <c r="NQ32" s="34"/>
      <c r="NR32" s="34"/>
      <c r="NS32" s="34"/>
      <c r="NT32" s="7">
        <f>COUNTIF(F32:NS32,"x")</f>
        <v>6</v>
      </c>
      <c r="NU32" s="81"/>
      <c r="NV32" s="32">
        <f>IF(NX32=0,"0",NX32/NX31)</f>
        <v>1</v>
      </c>
      <c r="NW32" s="37">
        <f>MOD(ROW(NW32),2)</f>
        <v>0</v>
      </c>
      <c r="NX32" s="36">
        <f>COUNTIF(F32:AU32,"x")</f>
        <v>6</v>
      </c>
      <c r="NY32" s="81"/>
      <c r="NZ32" s="32" t="str">
        <f>IF(OB32=0,"0",OB32/OB31)</f>
        <v>0</v>
      </c>
      <c r="OA32" s="37">
        <f>MOD(ROW(OA32),2)</f>
        <v>0</v>
      </c>
      <c r="OB32" s="36">
        <f>COUNTIF(AV32:CK32,"x")</f>
        <v>0</v>
      </c>
      <c r="OC32" s="81"/>
      <c r="OD32" s="32" t="str">
        <f>IF(OF32=0,"0",OF32/OF31)</f>
        <v>0</v>
      </c>
      <c r="OE32" s="37">
        <f>MOD(ROW(OE32),2)</f>
        <v>0</v>
      </c>
      <c r="OF32" s="36">
        <f>COUNTIF(CL32:EA32,"x")</f>
        <v>0</v>
      </c>
      <c r="OG32" s="81"/>
      <c r="OH32" s="32" t="str">
        <f>IF(OJ32=0,"0",OJ32/OJ31)</f>
        <v>0</v>
      </c>
      <c r="OI32" s="37">
        <f>MOD(ROW(OI32),2)</f>
        <v>0</v>
      </c>
      <c r="OJ32" s="36">
        <f>COUNTIF(EB32:FQ32,"x")</f>
        <v>0</v>
      </c>
      <c r="OK32" s="74"/>
      <c r="OL32" s="32" t="str">
        <f>IF(ON32=0,"0",ON32/ON31)</f>
        <v>0</v>
      </c>
      <c r="OM32" s="37">
        <f>MOD(ROW(OM32),2)</f>
        <v>0</v>
      </c>
      <c r="ON32" s="36">
        <f>COUNTIF(FR32:HG32,"x")</f>
        <v>0</v>
      </c>
      <c r="OO32" s="74"/>
      <c r="OP32" s="32" t="str">
        <f>IF(OR32=0,"0",OR32/OR31)</f>
        <v>0</v>
      </c>
      <c r="OQ32" s="37">
        <f>MOD(ROW(OQ32),2)</f>
        <v>0</v>
      </c>
      <c r="OR32" s="36">
        <f>COUNTIF(HH32:IW32,"x")</f>
        <v>0</v>
      </c>
      <c r="OS32" s="74"/>
      <c r="OT32" s="32" t="str">
        <f>IF(OV32=0,"0",OV32/OV31)</f>
        <v>0</v>
      </c>
      <c r="OU32" s="37">
        <f>MOD(ROW(OU32),2)</f>
        <v>0</v>
      </c>
      <c r="OV32" s="36">
        <f>COUNTIF(IX32:KM32,"x")</f>
        <v>0</v>
      </c>
      <c r="OW32" s="74"/>
      <c r="OX32" s="32" t="str">
        <f>IF(OZ32=0,"0",OZ32/OZ31)</f>
        <v>0</v>
      </c>
      <c r="OY32" s="37">
        <f>MOD(ROW(OY32),2)</f>
        <v>0</v>
      </c>
      <c r="OZ32" s="36">
        <f>COUNTIF(KN32:MC32,"x")</f>
        <v>0</v>
      </c>
      <c r="PA32" s="74"/>
      <c r="PB32" s="32" t="str">
        <f>IF(PD32=0,"0",PD32/PD31)</f>
        <v>0</v>
      </c>
      <c r="PC32" s="37">
        <f>MOD(ROW(PC32),2)</f>
        <v>0</v>
      </c>
      <c r="PD32" s="36">
        <f>COUNTIF(MD32:NS32,"x")</f>
        <v>0</v>
      </c>
      <c r="PE32" s="74"/>
    </row>
    <row r="33" spans="3:421" ht="15.75" customHeight="1" outlineLevel="1" x14ac:dyDescent="0.25">
      <c r="C33" s="106" t="s">
        <v>64</v>
      </c>
      <c r="D33" s="90" t="s">
        <v>108</v>
      </c>
      <c r="E33" s="53" t="s">
        <v>8</v>
      </c>
      <c r="F33" s="33"/>
      <c r="G33" s="33"/>
      <c r="H33" s="33"/>
      <c r="I33" s="33"/>
      <c r="J33" s="33"/>
      <c r="K33" s="33"/>
      <c r="L33" s="33">
        <v>1</v>
      </c>
      <c r="M33" s="33"/>
      <c r="N33" s="33"/>
      <c r="O33" s="33"/>
      <c r="P33" s="69"/>
      <c r="Q33" s="33"/>
      <c r="R33" s="33"/>
      <c r="S33" s="33">
        <v>1</v>
      </c>
      <c r="T33" s="33"/>
      <c r="U33" s="33"/>
      <c r="V33" s="33"/>
      <c r="W33" s="69"/>
      <c r="X33" s="33"/>
      <c r="Y33" s="33"/>
      <c r="Z33" s="33" t="s">
        <v>74</v>
      </c>
      <c r="AA33" s="33"/>
      <c r="AB33" s="33"/>
      <c r="AC33" s="33"/>
      <c r="AD33" s="33"/>
      <c r="AE33" s="33"/>
      <c r="AF33" s="33"/>
      <c r="AG33" s="33">
        <v>1</v>
      </c>
      <c r="AH33" s="33"/>
      <c r="AI33" s="33"/>
      <c r="AJ33" s="33"/>
      <c r="AK33" s="33"/>
      <c r="AL33" s="33"/>
      <c r="AM33" s="33"/>
      <c r="AN33" s="33">
        <v>1</v>
      </c>
      <c r="AO33" s="33"/>
      <c r="AP33" s="33"/>
      <c r="AQ33" s="33"/>
      <c r="AR33" s="33"/>
      <c r="AS33" s="33"/>
      <c r="AT33" s="33"/>
      <c r="AU33" s="33">
        <v>1</v>
      </c>
      <c r="AV33" s="33"/>
      <c r="AW33" s="33"/>
      <c r="AX33" s="33"/>
      <c r="AY33" s="33"/>
      <c r="AZ33" s="33"/>
      <c r="BA33" s="33"/>
      <c r="BB33" s="33">
        <v>1</v>
      </c>
      <c r="BC33" s="33"/>
      <c r="BD33" s="33"/>
      <c r="BE33" s="33"/>
      <c r="BF33" s="33"/>
      <c r="BG33" s="33"/>
      <c r="BH33" s="33"/>
      <c r="BI33" s="33">
        <v>1</v>
      </c>
      <c r="BJ33" s="33"/>
      <c r="BK33" s="33"/>
      <c r="BL33" s="33"/>
      <c r="BM33" s="33"/>
      <c r="BN33" s="33"/>
      <c r="BO33" s="33"/>
      <c r="BP33" s="33">
        <v>1</v>
      </c>
      <c r="BQ33" s="33"/>
      <c r="BR33" s="33"/>
      <c r="BS33" s="33"/>
      <c r="BT33" s="33"/>
      <c r="BU33" s="33"/>
      <c r="BV33" s="33"/>
      <c r="BW33" s="33">
        <v>1</v>
      </c>
      <c r="BX33" s="33"/>
      <c r="BY33" s="33"/>
      <c r="BZ33" s="33"/>
      <c r="CA33" s="33"/>
      <c r="CB33" s="33"/>
      <c r="CC33" s="33"/>
      <c r="CD33" s="33">
        <v>1</v>
      </c>
      <c r="CE33" s="33"/>
      <c r="CF33" s="33"/>
      <c r="CG33" s="33"/>
      <c r="CH33" s="33"/>
      <c r="CI33" s="33"/>
      <c r="CJ33" s="33"/>
      <c r="CK33" s="33">
        <v>1</v>
      </c>
      <c r="CL33" s="33"/>
      <c r="CM33" s="33"/>
      <c r="CN33" s="33"/>
      <c r="CO33" s="33"/>
      <c r="CP33" s="33"/>
      <c r="CQ33" s="33"/>
      <c r="CR33" s="33">
        <v>1</v>
      </c>
      <c r="CS33" s="33"/>
      <c r="CT33" s="33"/>
      <c r="CU33" s="33"/>
      <c r="CV33" s="33"/>
      <c r="CW33" s="33"/>
      <c r="CX33" s="33"/>
      <c r="CY33" s="33">
        <v>1</v>
      </c>
      <c r="CZ33" s="33"/>
      <c r="DA33" s="33"/>
      <c r="DB33" s="33"/>
      <c r="DC33" s="33"/>
      <c r="DD33" s="33"/>
      <c r="DE33" s="33"/>
      <c r="DF33" s="33">
        <v>1</v>
      </c>
      <c r="DG33" s="33"/>
      <c r="DH33" s="33"/>
      <c r="DI33" s="33"/>
      <c r="DJ33" s="33"/>
      <c r="DK33" s="33"/>
      <c r="DL33" s="33"/>
      <c r="DM33" s="33">
        <v>1</v>
      </c>
      <c r="DN33" s="33"/>
      <c r="DO33" s="33"/>
      <c r="DP33" s="33"/>
      <c r="DQ33" s="33"/>
      <c r="DR33" s="33"/>
      <c r="DS33" s="33"/>
      <c r="DT33" s="33">
        <v>1</v>
      </c>
      <c r="DU33" s="33"/>
      <c r="DV33" s="33"/>
      <c r="DW33" s="33"/>
      <c r="DX33" s="33"/>
      <c r="DY33" s="33"/>
      <c r="DZ33" s="33"/>
      <c r="EA33" s="33">
        <v>1</v>
      </c>
      <c r="EB33" s="33"/>
      <c r="EC33" s="33"/>
      <c r="ED33" s="33"/>
      <c r="EE33" s="33"/>
      <c r="EF33" s="33"/>
      <c r="EG33" s="33"/>
      <c r="EH33" s="33">
        <v>1</v>
      </c>
      <c r="EI33" s="33"/>
      <c r="EJ33" s="33"/>
      <c r="EK33" s="33"/>
      <c r="EL33" s="33"/>
      <c r="EM33" s="33"/>
      <c r="EN33" s="33"/>
      <c r="EO33" s="33">
        <v>1</v>
      </c>
      <c r="EP33" s="33"/>
      <c r="EQ33" s="33"/>
      <c r="ER33" s="33"/>
      <c r="ES33" s="33"/>
      <c r="ET33" s="33"/>
      <c r="EU33" s="33"/>
      <c r="EV33" s="33">
        <v>1</v>
      </c>
      <c r="EW33" s="33"/>
      <c r="EX33" s="33"/>
      <c r="EY33" s="33"/>
      <c r="EZ33" s="33"/>
      <c r="FA33" s="33"/>
      <c r="FB33" s="33"/>
      <c r="FC33" s="33">
        <v>1</v>
      </c>
      <c r="FD33" s="33"/>
      <c r="FE33" s="33"/>
      <c r="FF33" s="33"/>
      <c r="FG33" s="33"/>
      <c r="FH33" s="33"/>
      <c r="FI33" s="33"/>
      <c r="FJ33" s="33">
        <v>1</v>
      </c>
      <c r="FK33" s="33"/>
      <c r="FL33" s="33"/>
      <c r="FM33" s="33"/>
      <c r="FN33" s="33"/>
      <c r="FO33" s="33"/>
      <c r="FP33" s="33"/>
      <c r="FQ33" s="33">
        <v>1</v>
      </c>
      <c r="FR33" s="33"/>
      <c r="FS33" s="33"/>
      <c r="FT33" s="33"/>
      <c r="FU33" s="33"/>
      <c r="FV33" s="33"/>
      <c r="FW33" s="33"/>
      <c r="FX33" s="33">
        <v>1</v>
      </c>
      <c r="FY33" s="33"/>
      <c r="FZ33" s="33"/>
      <c r="GA33" s="33"/>
      <c r="GB33" s="33"/>
      <c r="GC33" s="33"/>
      <c r="GD33" s="33"/>
      <c r="GE33" s="33">
        <v>1</v>
      </c>
      <c r="GF33" s="33"/>
      <c r="GG33" s="33"/>
      <c r="GH33" s="33"/>
      <c r="GI33" s="33"/>
      <c r="GJ33" s="33"/>
      <c r="GK33" s="33"/>
      <c r="GL33" s="33">
        <v>1</v>
      </c>
      <c r="GM33" s="33"/>
      <c r="GN33" s="33"/>
      <c r="GO33" s="33"/>
      <c r="GP33" s="33"/>
      <c r="GQ33" s="33"/>
      <c r="GR33" s="33"/>
      <c r="GS33" s="33">
        <v>1</v>
      </c>
      <c r="GT33" s="33"/>
      <c r="GU33" s="33"/>
      <c r="GV33" s="33"/>
      <c r="GW33" s="33"/>
      <c r="GX33" s="33"/>
      <c r="GY33" s="33"/>
      <c r="GZ33" s="33">
        <v>1</v>
      </c>
      <c r="HA33" s="33"/>
      <c r="HB33" s="33"/>
      <c r="HC33" s="33"/>
      <c r="HD33" s="33"/>
      <c r="HE33" s="33"/>
      <c r="HF33" s="33"/>
      <c r="HG33" s="33">
        <v>1</v>
      </c>
      <c r="HH33" s="33"/>
      <c r="HI33" s="33"/>
      <c r="HJ33" s="33"/>
      <c r="HK33" s="33"/>
      <c r="HL33" s="33"/>
      <c r="HM33" s="33"/>
      <c r="HN33" s="33">
        <v>1</v>
      </c>
      <c r="HO33" s="33"/>
      <c r="HP33" s="33"/>
      <c r="HQ33" s="33"/>
      <c r="HR33" s="33"/>
      <c r="HS33" s="33"/>
      <c r="HT33" s="33"/>
      <c r="HU33" s="33">
        <v>1</v>
      </c>
      <c r="HV33" s="33"/>
      <c r="HW33" s="33"/>
      <c r="HX33" s="33"/>
      <c r="HY33" s="33"/>
      <c r="HZ33" s="33"/>
      <c r="IA33" s="33"/>
      <c r="IB33" s="33">
        <v>1</v>
      </c>
      <c r="IC33" s="33"/>
      <c r="ID33" s="33"/>
      <c r="IE33" s="33"/>
      <c r="IF33" s="33"/>
      <c r="IG33" s="33"/>
      <c r="IH33" s="33"/>
      <c r="II33" s="33">
        <v>1</v>
      </c>
      <c r="IJ33" s="33"/>
      <c r="IK33" s="33"/>
      <c r="IL33" s="33"/>
      <c r="IM33" s="33"/>
      <c r="IN33" s="33"/>
      <c r="IO33" s="33"/>
      <c r="IP33" s="33">
        <v>1</v>
      </c>
      <c r="IQ33" s="33"/>
      <c r="IR33" s="33"/>
      <c r="IS33" s="33"/>
      <c r="IT33" s="33"/>
      <c r="IU33" s="33"/>
      <c r="IV33" s="33"/>
      <c r="IW33" s="33">
        <v>1</v>
      </c>
      <c r="IX33" s="33"/>
      <c r="IY33" s="33"/>
      <c r="IZ33" s="33"/>
      <c r="JA33" s="33"/>
      <c r="JB33" s="33"/>
      <c r="JC33" s="33"/>
      <c r="JD33" s="33">
        <v>1</v>
      </c>
      <c r="JE33" s="33"/>
      <c r="JF33" s="33"/>
      <c r="JG33" s="33"/>
      <c r="JH33" s="33"/>
      <c r="JI33" s="33"/>
      <c r="JJ33" s="33"/>
      <c r="JK33" s="33">
        <v>1</v>
      </c>
      <c r="JL33" s="33"/>
      <c r="JM33" s="33"/>
      <c r="JN33" s="33"/>
      <c r="JO33" s="33"/>
      <c r="JP33" s="33"/>
      <c r="JQ33" s="33"/>
      <c r="JR33" s="33">
        <v>1</v>
      </c>
      <c r="JS33" s="33"/>
      <c r="JT33" s="33"/>
      <c r="JU33" s="33"/>
      <c r="JV33" s="33"/>
      <c r="JW33" s="33"/>
      <c r="JX33" s="33"/>
      <c r="JY33" s="33">
        <v>1</v>
      </c>
      <c r="JZ33" s="33"/>
      <c r="KA33" s="33"/>
      <c r="KB33" s="33"/>
      <c r="KC33" s="33"/>
      <c r="KD33" s="33"/>
      <c r="KE33" s="33"/>
      <c r="KF33" s="33">
        <v>1</v>
      </c>
      <c r="KG33" s="33"/>
      <c r="KH33" s="33"/>
      <c r="KI33" s="33"/>
      <c r="KJ33" s="33"/>
      <c r="KK33" s="33"/>
      <c r="KL33" s="33"/>
      <c r="KM33" s="33">
        <v>1</v>
      </c>
      <c r="KN33" s="33"/>
      <c r="KO33" s="33"/>
      <c r="KP33" s="33"/>
      <c r="KQ33" s="33"/>
      <c r="KR33" s="33"/>
      <c r="KS33" s="33"/>
      <c r="KT33" s="33">
        <v>1</v>
      </c>
      <c r="KU33" s="33"/>
      <c r="KV33" s="33"/>
      <c r="KW33" s="33"/>
      <c r="KX33" s="33"/>
      <c r="KY33" s="33"/>
      <c r="KZ33" s="33"/>
      <c r="LA33" s="33">
        <v>1</v>
      </c>
      <c r="LB33" s="33"/>
      <c r="LC33" s="33"/>
      <c r="LD33" s="33"/>
      <c r="LE33" s="33"/>
      <c r="LF33" s="33"/>
      <c r="LG33" s="33"/>
      <c r="LH33" s="33">
        <v>1</v>
      </c>
      <c r="LI33" s="33"/>
      <c r="LJ33" s="33"/>
      <c r="LK33" s="33"/>
      <c r="LL33" s="33"/>
      <c r="LM33" s="33"/>
      <c r="LN33" s="33"/>
      <c r="LO33" s="33">
        <v>1</v>
      </c>
      <c r="LP33" s="33"/>
      <c r="LQ33" s="33"/>
      <c r="LR33" s="33"/>
      <c r="LS33" s="33"/>
      <c r="LT33" s="33"/>
      <c r="LU33" s="33"/>
      <c r="LV33" s="33">
        <v>1</v>
      </c>
      <c r="LW33" s="33"/>
      <c r="LX33" s="33"/>
      <c r="LY33" s="33"/>
      <c r="LZ33" s="33"/>
      <c r="MA33" s="33"/>
      <c r="MB33" s="33"/>
      <c r="MC33" s="33">
        <v>1</v>
      </c>
      <c r="MD33" s="33"/>
      <c r="ME33" s="33"/>
      <c r="MF33" s="33"/>
      <c r="MG33" s="33"/>
      <c r="MH33" s="33"/>
      <c r="MI33" s="33"/>
      <c r="MJ33" s="33">
        <v>1</v>
      </c>
      <c r="MK33" s="33"/>
      <c r="ML33" s="33"/>
      <c r="MM33" s="33"/>
      <c r="MN33" s="33"/>
      <c r="MO33" s="33"/>
      <c r="MP33" s="33"/>
      <c r="MQ33" s="33">
        <v>1</v>
      </c>
      <c r="MR33" s="33"/>
      <c r="MS33" s="33"/>
      <c r="MT33" s="33"/>
      <c r="MU33" s="33"/>
      <c r="MV33" s="33"/>
      <c r="MW33" s="33"/>
      <c r="MX33" s="33">
        <v>1</v>
      </c>
      <c r="MY33" s="33"/>
      <c r="MZ33" s="33"/>
      <c r="NA33" s="33"/>
      <c r="NB33" s="33"/>
      <c r="NC33" s="33"/>
      <c r="ND33" s="33"/>
      <c r="NE33" s="33">
        <v>1</v>
      </c>
      <c r="NF33" s="33"/>
      <c r="NG33" s="33"/>
      <c r="NH33" s="33"/>
      <c r="NI33" s="33"/>
      <c r="NJ33" s="33"/>
      <c r="NK33" s="33"/>
      <c r="NL33" s="33">
        <v>1</v>
      </c>
      <c r="NM33" s="33"/>
      <c r="NN33" s="33"/>
      <c r="NO33" s="33"/>
      <c r="NP33" s="33"/>
      <c r="NQ33" s="33"/>
      <c r="NR33" s="33"/>
      <c r="NS33" s="33">
        <v>1</v>
      </c>
      <c r="NT33" s="31">
        <f>COUNTIF(F33:NS33,"1")</f>
        <v>53</v>
      </c>
      <c r="NU33" s="80">
        <f>NT34/NT33</f>
        <v>0.13207547169811321</v>
      </c>
      <c r="NV33" s="29" t="str">
        <f>+IF(NX33&gt;=1,"1",0)</f>
        <v>1</v>
      </c>
      <c r="NW33" s="38">
        <f>MOD(ROW(NW33),2)</f>
        <v>1</v>
      </c>
      <c r="NX33" s="35">
        <f>COUNTIF(F33:AU33,"1")</f>
        <v>5</v>
      </c>
      <c r="NY33" s="80">
        <f>NX34/NX33</f>
        <v>1.4</v>
      </c>
      <c r="NZ33" s="29" t="str">
        <f>+IF(OB33&gt;=1,"1",0)</f>
        <v>1</v>
      </c>
      <c r="OA33" s="38">
        <f>MOD(ROW(OA33),2)</f>
        <v>1</v>
      </c>
      <c r="OB33" s="35">
        <f>COUNTIF(AV33:CK33,"1")</f>
        <v>6</v>
      </c>
      <c r="OC33" s="80">
        <f>OB34/OB33</f>
        <v>0</v>
      </c>
      <c r="OD33" s="29" t="str">
        <f>+IF(OF33&gt;=1,"1",0)</f>
        <v>1</v>
      </c>
      <c r="OE33" s="38">
        <f>MOD(ROW(OE33),2)</f>
        <v>1</v>
      </c>
      <c r="OF33" s="35">
        <f>COUNTIF(CL33:EA33,"1")</f>
        <v>6</v>
      </c>
      <c r="OG33" s="80">
        <f>OF34/OF33</f>
        <v>0</v>
      </c>
      <c r="OH33" s="29" t="str">
        <f>+IF(OJ33&gt;=1,"1",0)</f>
        <v>1</v>
      </c>
      <c r="OI33" s="38">
        <f>MOD(ROW(OI33),2)</f>
        <v>1</v>
      </c>
      <c r="OJ33" s="35">
        <f>COUNTIF(EB33:FQ33,"1")</f>
        <v>6</v>
      </c>
      <c r="OK33" s="79">
        <f>OJ34/OJ33</f>
        <v>0</v>
      </c>
      <c r="OL33" s="29" t="str">
        <f>+IF(ON33&gt;=1,"1",0)</f>
        <v>1</v>
      </c>
      <c r="OM33" s="38">
        <f>MOD(ROW(OM33),2)</f>
        <v>1</v>
      </c>
      <c r="ON33" s="35">
        <f>COUNTIF(FR33:HG33,"1")</f>
        <v>6</v>
      </c>
      <c r="OO33" s="79">
        <f>ON34/ON33</f>
        <v>0</v>
      </c>
      <c r="OP33" s="29" t="str">
        <f>+IF(OR33&gt;=1,"1",0)</f>
        <v>1</v>
      </c>
      <c r="OQ33" s="38">
        <f>MOD(ROW(OQ33),2)</f>
        <v>1</v>
      </c>
      <c r="OR33" s="35">
        <f>COUNTIF(HH33:IW33,"1")</f>
        <v>6</v>
      </c>
      <c r="OS33" s="79">
        <f>OR34/OR33</f>
        <v>0</v>
      </c>
      <c r="OT33" s="29" t="str">
        <f>+IF(OV33&gt;=1,"1",0)</f>
        <v>1</v>
      </c>
      <c r="OU33" s="38">
        <f>MOD(ROW(OU33),2)</f>
        <v>1</v>
      </c>
      <c r="OV33" s="35">
        <f>COUNTIF(IX33:KM33,"1")</f>
        <v>6</v>
      </c>
      <c r="OW33" s="79">
        <f>OV34/OV33</f>
        <v>0</v>
      </c>
      <c r="OX33" s="29" t="str">
        <f>+IF(OZ33&gt;=1,"1",0)</f>
        <v>1</v>
      </c>
      <c r="OY33" s="38">
        <f>MOD(ROW(OY33),2)</f>
        <v>1</v>
      </c>
      <c r="OZ33" s="35">
        <f>COUNTIF(KN33:MC33,"1")</f>
        <v>6</v>
      </c>
      <c r="PA33" s="79">
        <f>OZ34/OZ33</f>
        <v>0</v>
      </c>
      <c r="PB33" s="29" t="str">
        <f>+IF(PD33&gt;=1,"1",0)</f>
        <v>1</v>
      </c>
      <c r="PC33" s="38">
        <f>MOD(ROW(PC33),2)</f>
        <v>1</v>
      </c>
      <c r="PD33" s="35">
        <f>COUNTIF(MD33:NS33,"1")</f>
        <v>6</v>
      </c>
      <c r="PE33" s="79">
        <f>PD34/PD33</f>
        <v>0</v>
      </c>
    </row>
    <row r="34" spans="3:421" ht="15.75" customHeight="1" outlineLevel="1" thickBot="1" x14ac:dyDescent="0.3">
      <c r="C34" s="107"/>
      <c r="D34" s="91"/>
      <c r="E34" s="54" t="s">
        <v>9</v>
      </c>
      <c r="F34" s="34" t="s">
        <v>75</v>
      </c>
      <c r="G34" s="34"/>
      <c r="H34" s="34"/>
      <c r="I34" s="34"/>
      <c r="J34" s="34"/>
      <c r="K34" s="34"/>
      <c r="L34" s="34"/>
      <c r="M34" s="34"/>
      <c r="N34" s="34"/>
      <c r="O34" s="34"/>
      <c r="P34" s="70"/>
      <c r="Q34" s="34" t="s">
        <v>75</v>
      </c>
      <c r="R34" s="34"/>
      <c r="S34" s="34"/>
      <c r="T34" s="34" t="s">
        <v>75</v>
      </c>
      <c r="U34" s="34"/>
      <c r="V34" s="34"/>
      <c r="W34" s="70"/>
      <c r="X34" s="34"/>
      <c r="Y34" s="34"/>
      <c r="Z34" s="34"/>
      <c r="AA34" s="34"/>
      <c r="AB34" s="34"/>
      <c r="AC34" s="34"/>
      <c r="AD34" s="34"/>
      <c r="AE34" s="34"/>
      <c r="AF34" s="34"/>
      <c r="AG34" s="34" t="s">
        <v>75</v>
      </c>
      <c r="AH34" s="34"/>
      <c r="AI34" s="34"/>
      <c r="AJ34" s="34"/>
      <c r="AK34" s="34"/>
      <c r="AL34" s="34"/>
      <c r="AM34" s="34"/>
      <c r="AN34" s="34" t="s">
        <v>116</v>
      </c>
      <c r="AO34" s="34" t="s">
        <v>75</v>
      </c>
      <c r="AP34" s="34"/>
      <c r="AQ34" s="34"/>
      <c r="AR34" s="34"/>
      <c r="AS34" s="34"/>
      <c r="AT34" s="34"/>
      <c r="AU34" s="34" t="s">
        <v>116</v>
      </c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34"/>
      <c r="HA34" s="34"/>
      <c r="HB34" s="34"/>
      <c r="HC34" s="34"/>
      <c r="HD34" s="34"/>
      <c r="HE34" s="34"/>
      <c r="HF34" s="34"/>
      <c r="HG34" s="34"/>
      <c r="HH34" s="34"/>
      <c r="HI34" s="34"/>
      <c r="HJ34" s="34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4"/>
      <c r="IO34" s="34"/>
      <c r="IP34" s="34"/>
      <c r="IQ34" s="34"/>
      <c r="IR34" s="34"/>
      <c r="IS34" s="34"/>
      <c r="IT34" s="34"/>
      <c r="IU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  <c r="KW34" s="34"/>
      <c r="KX34" s="34"/>
      <c r="KY34" s="34"/>
      <c r="KZ34" s="34"/>
      <c r="LA34" s="34"/>
      <c r="LB34" s="34"/>
      <c r="LC34" s="34"/>
      <c r="LD34" s="34"/>
      <c r="LE34" s="34"/>
      <c r="LF34" s="34"/>
      <c r="LG34" s="34"/>
      <c r="LH34" s="34"/>
      <c r="LI34" s="34"/>
      <c r="LJ34" s="34"/>
      <c r="LK34" s="34"/>
      <c r="LL34" s="34"/>
      <c r="LM34" s="34"/>
      <c r="LN34" s="34"/>
      <c r="LO34" s="34"/>
      <c r="LP34" s="34"/>
      <c r="LQ34" s="34"/>
      <c r="LR34" s="34"/>
      <c r="LS34" s="34"/>
      <c r="LT34" s="34"/>
      <c r="LU34" s="34"/>
      <c r="LV34" s="34"/>
      <c r="LW34" s="34"/>
      <c r="LX34" s="34"/>
      <c r="LY34" s="34"/>
      <c r="LZ34" s="34"/>
      <c r="MA34" s="34"/>
      <c r="MB34" s="34"/>
      <c r="MC34" s="34"/>
      <c r="MD34" s="34"/>
      <c r="ME34" s="34"/>
      <c r="MF34" s="34"/>
      <c r="MG34" s="34"/>
      <c r="MH34" s="34"/>
      <c r="MI34" s="34"/>
      <c r="MJ34" s="34"/>
      <c r="MK34" s="34"/>
      <c r="ML34" s="34"/>
      <c r="MM34" s="34"/>
      <c r="MN34" s="34"/>
      <c r="MO34" s="34"/>
      <c r="MP34" s="34"/>
      <c r="MQ34" s="34"/>
      <c r="MR34" s="34"/>
      <c r="MS34" s="34"/>
      <c r="MT34" s="34"/>
      <c r="MU34" s="34"/>
      <c r="MV34" s="34"/>
      <c r="MW34" s="34"/>
      <c r="MX34" s="34"/>
      <c r="MY34" s="34"/>
      <c r="MZ34" s="34"/>
      <c r="NA34" s="34"/>
      <c r="NB34" s="34"/>
      <c r="NC34" s="34"/>
      <c r="ND34" s="34"/>
      <c r="NE34" s="34"/>
      <c r="NF34" s="34"/>
      <c r="NG34" s="34"/>
      <c r="NH34" s="34"/>
      <c r="NI34" s="34"/>
      <c r="NJ34" s="34"/>
      <c r="NK34" s="34"/>
      <c r="NL34" s="34"/>
      <c r="NM34" s="34"/>
      <c r="NN34" s="34"/>
      <c r="NO34" s="34"/>
      <c r="NP34" s="34"/>
      <c r="NQ34" s="34"/>
      <c r="NR34" s="34"/>
      <c r="NS34" s="34"/>
      <c r="NT34" s="7">
        <f>COUNTIF(F34:NS34,"x")</f>
        <v>7</v>
      </c>
      <c r="NU34" s="81"/>
      <c r="NV34" s="32">
        <f>IF(NX34=0,"0",NX34/NX33)</f>
        <v>1.4</v>
      </c>
      <c r="NW34" s="37">
        <f>MOD(ROW(NW34),2)</f>
        <v>0</v>
      </c>
      <c r="NX34" s="36">
        <f>COUNTIF(F34:AU34,"x")</f>
        <v>7</v>
      </c>
      <c r="NY34" s="81"/>
      <c r="NZ34" s="32" t="str">
        <f>IF(OB34=0,"0",OB34/OB33)</f>
        <v>0</v>
      </c>
      <c r="OA34" s="37">
        <f>MOD(ROW(OA34),2)</f>
        <v>0</v>
      </c>
      <c r="OB34" s="36">
        <f>COUNTIF(AV34:CK34,"x")</f>
        <v>0</v>
      </c>
      <c r="OC34" s="81"/>
      <c r="OD34" s="32" t="str">
        <f>IF(OF34=0,"0",OF34/OF33)</f>
        <v>0</v>
      </c>
      <c r="OE34" s="37">
        <f>MOD(ROW(OE34),2)</f>
        <v>0</v>
      </c>
      <c r="OF34" s="36">
        <f>COUNTIF(CL34:EA34,"x")</f>
        <v>0</v>
      </c>
      <c r="OG34" s="81"/>
      <c r="OH34" s="32" t="str">
        <f>IF(OJ34=0,"0",OJ34/OJ33)</f>
        <v>0</v>
      </c>
      <c r="OI34" s="37">
        <f>MOD(ROW(OI34),2)</f>
        <v>0</v>
      </c>
      <c r="OJ34" s="36">
        <f>COUNTIF(EB34:FQ34,"x")</f>
        <v>0</v>
      </c>
      <c r="OK34" s="74"/>
      <c r="OL34" s="32" t="str">
        <f>IF(ON34=0,"0",ON34/ON33)</f>
        <v>0</v>
      </c>
      <c r="OM34" s="37">
        <f>MOD(ROW(OM34),2)</f>
        <v>0</v>
      </c>
      <c r="ON34" s="36">
        <f>COUNTIF(FR34:HG34,"x")</f>
        <v>0</v>
      </c>
      <c r="OO34" s="74"/>
      <c r="OP34" s="32" t="str">
        <f>IF(OR34=0,"0",OR34/OR33)</f>
        <v>0</v>
      </c>
      <c r="OQ34" s="37">
        <f>MOD(ROW(OQ34),2)</f>
        <v>0</v>
      </c>
      <c r="OR34" s="36">
        <f>COUNTIF(HH34:IW34,"x")</f>
        <v>0</v>
      </c>
      <c r="OS34" s="74"/>
      <c r="OT34" s="32" t="str">
        <f>IF(OV34=0,"0",OV34/OV33)</f>
        <v>0</v>
      </c>
      <c r="OU34" s="37">
        <f>MOD(ROW(OU34),2)</f>
        <v>0</v>
      </c>
      <c r="OV34" s="36">
        <f>COUNTIF(IX34:KM34,"x")</f>
        <v>0</v>
      </c>
      <c r="OW34" s="74"/>
      <c r="OX34" s="32" t="str">
        <f>IF(OZ34=0,"0",OZ34/OZ33)</f>
        <v>0</v>
      </c>
      <c r="OY34" s="37">
        <f>MOD(ROW(OY34),2)</f>
        <v>0</v>
      </c>
      <c r="OZ34" s="36">
        <f>COUNTIF(KN34:MC34,"x")</f>
        <v>0</v>
      </c>
      <c r="PA34" s="74"/>
      <c r="PB34" s="32" t="str">
        <f>IF(PD34=0,"0",PD34/PD33)</f>
        <v>0</v>
      </c>
      <c r="PC34" s="37">
        <f>MOD(ROW(PC34),2)</f>
        <v>0</v>
      </c>
      <c r="PD34" s="36">
        <f>COUNTIF(MD34:NS34,"x")</f>
        <v>0</v>
      </c>
      <c r="PE34" s="74"/>
    </row>
    <row r="35" spans="3:421" ht="15.75" customHeight="1" outlineLevel="1" x14ac:dyDescent="0.25">
      <c r="C35" s="88" t="s">
        <v>51</v>
      </c>
      <c r="D35" s="90" t="s">
        <v>108</v>
      </c>
      <c r="E35" s="53" t="s">
        <v>8</v>
      </c>
      <c r="F35" s="33"/>
      <c r="G35" s="33"/>
      <c r="H35" s="33"/>
      <c r="I35" s="33"/>
      <c r="J35" s="33"/>
      <c r="K35" s="33">
        <v>1</v>
      </c>
      <c r="L35" s="33"/>
      <c r="M35" s="33"/>
      <c r="N35" s="33"/>
      <c r="O35" s="33"/>
      <c r="P35" s="69"/>
      <c r="Q35" s="33"/>
      <c r="R35" s="33">
        <v>1</v>
      </c>
      <c r="S35" s="33"/>
      <c r="T35" s="33"/>
      <c r="U35" s="33"/>
      <c r="V35" s="33"/>
      <c r="W35" s="69"/>
      <c r="X35" s="33"/>
      <c r="Y35" s="33">
        <v>1</v>
      </c>
      <c r="Z35" s="33"/>
      <c r="AA35" s="33"/>
      <c r="AB35" s="33"/>
      <c r="AC35" s="33"/>
      <c r="AD35" s="33"/>
      <c r="AE35" s="33"/>
      <c r="AF35" s="33">
        <v>1</v>
      </c>
      <c r="AG35" s="33"/>
      <c r="AH35" s="33"/>
      <c r="AI35" s="33"/>
      <c r="AJ35" s="33"/>
      <c r="AK35" s="33"/>
      <c r="AL35" s="33"/>
      <c r="AM35" s="33">
        <v>1</v>
      </c>
      <c r="AN35" s="33">
        <v>1</v>
      </c>
      <c r="AO35" s="33"/>
      <c r="AP35" s="33"/>
      <c r="AQ35" s="33"/>
      <c r="AR35" s="33"/>
      <c r="AS35" s="33"/>
      <c r="AT35" s="33">
        <v>1</v>
      </c>
      <c r="AU35" s="33"/>
      <c r="AV35" s="33"/>
      <c r="AW35" s="33"/>
      <c r="AX35" s="33"/>
      <c r="AY35" s="33"/>
      <c r="AZ35" s="33"/>
      <c r="BA35" s="33">
        <v>1</v>
      </c>
      <c r="BB35" s="33"/>
      <c r="BC35" s="33"/>
      <c r="BD35" s="33"/>
      <c r="BE35" s="33"/>
      <c r="BF35" s="33"/>
      <c r="BG35" s="33"/>
      <c r="BH35" s="33">
        <v>1</v>
      </c>
      <c r="BI35" s="33"/>
      <c r="BJ35" s="33"/>
      <c r="BK35" s="33"/>
      <c r="BL35" s="33"/>
      <c r="BM35" s="33"/>
      <c r="BN35" s="33"/>
      <c r="BO35" s="33">
        <v>1</v>
      </c>
      <c r="BP35" s="33"/>
      <c r="BQ35" s="33"/>
      <c r="BR35" s="33"/>
      <c r="BS35" s="33"/>
      <c r="BT35" s="33"/>
      <c r="BU35" s="33"/>
      <c r="BV35" s="33">
        <v>1</v>
      </c>
      <c r="BW35" s="33"/>
      <c r="BX35" s="33"/>
      <c r="BY35" s="33"/>
      <c r="BZ35" s="33"/>
      <c r="CA35" s="33"/>
      <c r="CB35" s="33"/>
      <c r="CC35" s="33">
        <v>1</v>
      </c>
      <c r="CD35" s="33"/>
      <c r="CE35" s="33"/>
      <c r="CF35" s="33"/>
      <c r="CG35" s="33"/>
      <c r="CH35" s="33"/>
      <c r="CI35" s="33"/>
      <c r="CJ35" s="33">
        <v>1</v>
      </c>
      <c r="CK35" s="33"/>
      <c r="CL35" s="33"/>
      <c r="CM35" s="33"/>
      <c r="CN35" s="33"/>
      <c r="CO35" s="33"/>
      <c r="CP35" s="33"/>
      <c r="CQ35" s="33">
        <v>1</v>
      </c>
      <c r="CR35" s="33"/>
      <c r="CS35" s="33"/>
      <c r="CT35" s="33"/>
      <c r="CU35" s="33"/>
      <c r="CV35" s="33"/>
      <c r="CW35" s="33"/>
      <c r="CX35" s="33">
        <v>1</v>
      </c>
      <c r="CY35" s="33"/>
      <c r="CZ35" s="33"/>
      <c r="DA35" s="33"/>
      <c r="DB35" s="33"/>
      <c r="DC35" s="33"/>
      <c r="DD35" s="33"/>
      <c r="DE35" s="33">
        <v>1</v>
      </c>
      <c r="DF35" s="33"/>
      <c r="DG35" s="33"/>
      <c r="DH35" s="33"/>
      <c r="DI35" s="33"/>
      <c r="DJ35" s="33"/>
      <c r="DK35" s="33"/>
      <c r="DL35" s="33">
        <v>1</v>
      </c>
      <c r="DM35" s="33"/>
      <c r="DN35" s="33"/>
      <c r="DO35" s="33"/>
      <c r="DP35" s="33"/>
      <c r="DQ35" s="33"/>
      <c r="DR35" s="33"/>
      <c r="DS35" s="33">
        <v>1</v>
      </c>
      <c r="DT35" s="33"/>
      <c r="DU35" s="33"/>
      <c r="DV35" s="33"/>
      <c r="DW35" s="33"/>
      <c r="DX35" s="33"/>
      <c r="DY35" s="33"/>
      <c r="DZ35" s="33">
        <v>1</v>
      </c>
      <c r="EA35" s="33"/>
      <c r="EB35" s="33"/>
      <c r="EC35" s="33"/>
      <c r="ED35" s="33"/>
      <c r="EE35" s="33"/>
      <c r="EF35" s="33"/>
      <c r="EG35" s="33">
        <v>1</v>
      </c>
      <c r="EH35" s="33"/>
      <c r="EI35" s="33"/>
      <c r="EJ35" s="33"/>
      <c r="EK35" s="33"/>
      <c r="EL35" s="33"/>
      <c r="EM35" s="33"/>
      <c r="EN35" s="33">
        <v>1</v>
      </c>
      <c r="EO35" s="33"/>
      <c r="EP35" s="33"/>
      <c r="EQ35" s="33"/>
      <c r="ER35" s="33"/>
      <c r="ES35" s="33"/>
      <c r="ET35" s="33"/>
      <c r="EU35" s="33">
        <v>1</v>
      </c>
      <c r="EV35" s="33"/>
      <c r="EW35" s="33"/>
      <c r="EX35" s="33"/>
      <c r="EY35" s="33"/>
      <c r="EZ35" s="33"/>
      <c r="FA35" s="33"/>
      <c r="FB35" s="33">
        <v>1</v>
      </c>
      <c r="FC35" s="33"/>
      <c r="FD35" s="33"/>
      <c r="FE35" s="33"/>
      <c r="FF35" s="33"/>
      <c r="FG35" s="33"/>
      <c r="FH35" s="33"/>
      <c r="FI35" s="33">
        <v>1</v>
      </c>
      <c r="FJ35" s="33"/>
      <c r="FK35" s="33"/>
      <c r="FL35" s="33"/>
      <c r="FM35" s="33"/>
      <c r="FN35" s="33"/>
      <c r="FO35" s="33"/>
      <c r="FP35" s="33">
        <v>1</v>
      </c>
      <c r="FQ35" s="33"/>
      <c r="FR35" s="33"/>
      <c r="FS35" s="33"/>
      <c r="FT35" s="33"/>
      <c r="FU35" s="33"/>
      <c r="FV35" s="33"/>
      <c r="FW35" s="33">
        <v>1</v>
      </c>
      <c r="FX35" s="33"/>
      <c r="FY35" s="33"/>
      <c r="FZ35" s="33"/>
      <c r="GA35" s="33"/>
      <c r="GB35" s="33"/>
      <c r="GC35" s="33"/>
      <c r="GD35" s="33">
        <v>1</v>
      </c>
      <c r="GE35" s="33"/>
      <c r="GF35" s="33"/>
      <c r="GG35" s="33"/>
      <c r="GH35" s="33"/>
      <c r="GI35" s="33"/>
      <c r="GJ35" s="33"/>
      <c r="GK35" s="33">
        <v>1</v>
      </c>
      <c r="GL35" s="33"/>
      <c r="GM35" s="33"/>
      <c r="GN35" s="33"/>
      <c r="GO35" s="33"/>
      <c r="GP35" s="33"/>
      <c r="GQ35" s="33"/>
      <c r="GR35" s="33">
        <v>1</v>
      </c>
      <c r="GS35" s="33"/>
      <c r="GT35" s="33"/>
      <c r="GU35" s="33"/>
      <c r="GV35" s="33"/>
      <c r="GW35" s="33"/>
      <c r="GX35" s="33"/>
      <c r="GY35" s="33">
        <v>1</v>
      </c>
      <c r="GZ35" s="33"/>
      <c r="HA35" s="33"/>
      <c r="HB35" s="33"/>
      <c r="HC35" s="33"/>
      <c r="HD35" s="33"/>
      <c r="HE35" s="33"/>
      <c r="HF35" s="33">
        <v>1</v>
      </c>
      <c r="HG35" s="33"/>
      <c r="HH35" s="33"/>
      <c r="HI35" s="33"/>
      <c r="HJ35" s="33"/>
      <c r="HK35" s="33"/>
      <c r="HL35" s="33"/>
      <c r="HM35" s="33">
        <v>1</v>
      </c>
      <c r="HN35" s="33"/>
      <c r="HO35" s="33"/>
      <c r="HP35" s="33"/>
      <c r="HQ35" s="33"/>
      <c r="HR35" s="33"/>
      <c r="HS35" s="33"/>
      <c r="HT35" s="33">
        <v>1</v>
      </c>
      <c r="HU35" s="33"/>
      <c r="HV35" s="33"/>
      <c r="HW35" s="33"/>
      <c r="HX35" s="33"/>
      <c r="HY35" s="33"/>
      <c r="HZ35" s="33"/>
      <c r="IA35" s="33">
        <v>1</v>
      </c>
      <c r="IB35" s="33"/>
      <c r="IC35" s="33"/>
      <c r="ID35" s="33"/>
      <c r="IE35" s="33"/>
      <c r="IF35" s="33"/>
      <c r="IG35" s="33"/>
      <c r="IH35" s="33">
        <v>1</v>
      </c>
      <c r="II35" s="33"/>
      <c r="IJ35" s="33"/>
      <c r="IK35" s="33"/>
      <c r="IL35" s="33"/>
      <c r="IM35" s="33"/>
      <c r="IN35" s="33"/>
      <c r="IO35" s="33">
        <v>1</v>
      </c>
      <c r="IP35" s="33"/>
      <c r="IQ35" s="33"/>
      <c r="IR35" s="33"/>
      <c r="IS35" s="33"/>
      <c r="IT35" s="33"/>
      <c r="IU35" s="33"/>
      <c r="IV35" s="33">
        <v>1</v>
      </c>
      <c r="IW35" s="33"/>
      <c r="IX35" s="33"/>
      <c r="IY35" s="33"/>
      <c r="IZ35" s="33"/>
      <c r="JA35" s="33"/>
      <c r="JB35" s="33"/>
      <c r="JC35" s="33">
        <v>1</v>
      </c>
      <c r="JD35" s="33"/>
      <c r="JE35" s="33"/>
      <c r="JF35" s="33"/>
      <c r="JG35" s="33"/>
      <c r="JH35" s="33"/>
      <c r="JI35" s="33"/>
      <c r="JJ35" s="33">
        <v>1</v>
      </c>
      <c r="JK35" s="33"/>
      <c r="JL35" s="33"/>
      <c r="JM35" s="33"/>
      <c r="JN35" s="33"/>
      <c r="JO35" s="33"/>
      <c r="JP35" s="33"/>
      <c r="JQ35" s="33">
        <v>1</v>
      </c>
      <c r="JR35" s="33"/>
      <c r="JS35" s="33"/>
      <c r="JT35" s="33"/>
      <c r="JU35" s="33"/>
      <c r="JV35" s="33"/>
      <c r="JW35" s="33"/>
      <c r="JX35" s="33">
        <v>1</v>
      </c>
      <c r="JY35" s="33"/>
      <c r="JZ35" s="33"/>
      <c r="KA35" s="33"/>
      <c r="KB35" s="33"/>
      <c r="KC35" s="33"/>
      <c r="KD35" s="33"/>
      <c r="KE35" s="33">
        <v>1</v>
      </c>
      <c r="KF35" s="33"/>
      <c r="KG35" s="33"/>
      <c r="KH35" s="33"/>
      <c r="KI35" s="33"/>
      <c r="KJ35" s="33"/>
      <c r="KK35" s="33"/>
      <c r="KL35" s="33">
        <v>1</v>
      </c>
      <c r="KM35" s="33"/>
      <c r="KN35" s="33"/>
      <c r="KO35" s="33"/>
      <c r="KP35" s="33"/>
      <c r="KQ35" s="33"/>
      <c r="KR35" s="33"/>
      <c r="KS35" s="33">
        <v>1</v>
      </c>
      <c r="KT35" s="33"/>
      <c r="KU35" s="33"/>
      <c r="KV35" s="33"/>
      <c r="KW35" s="33"/>
      <c r="KX35" s="33"/>
      <c r="KY35" s="33"/>
      <c r="KZ35" s="33">
        <v>1</v>
      </c>
      <c r="LA35" s="33"/>
      <c r="LB35" s="33"/>
      <c r="LC35" s="33"/>
      <c r="LD35" s="33"/>
      <c r="LE35" s="33"/>
      <c r="LF35" s="33"/>
      <c r="LG35" s="33">
        <v>1</v>
      </c>
      <c r="LH35" s="33"/>
      <c r="LI35" s="33"/>
      <c r="LJ35" s="33"/>
      <c r="LK35" s="33"/>
      <c r="LL35" s="33"/>
      <c r="LM35" s="33"/>
      <c r="LN35" s="33">
        <v>1</v>
      </c>
      <c r="LO35" s="33"/>
      <c r="LP35" s="33"/>
      <c r="LQ35" s="33"/>
      <c r="LR35" s="33"/>
      <c r="LS35" s="33"/>
      <c r="LT35" s="33"/>
      <c r="LU35" s="33">
        <v>1</v>
      </c>
      <c r="LV35" s="33"/>
      <c r="LW35" s="33"/>
      <c r="LX35" s="33"/>
      <c r="LY35" s="33"/>
      <c r="LZ35" s="33"/>
      <c r="MA35" s="33"/>
      <c r="MB35" s="33">
        <v>1</v>
      </c>
      <c r="MC35" s="33"/>
      <c r="MD35" s="33"/>
      <c r="ME35" s="33"/>
      <c r="MF35" s="33"/>
      <c r="MG35" s="33"/>
      <c r="MH35" s="33"/>
      <c r="MI35" s="33">
        <v>1</v>
      </c>
      <c r="MJ35" s="33"/>
      <c r="MK35" s="33"/>
      <c r="ML35" s="33"/>
      <c r="MM35" s="33"/>
      <c r="MN35" s="33"/>
      <c r="MO35" s="33"/>
      <c r="MP35" s="33">
        <v>1</v>
      </c>
      <c r="MQ35" s="33"/>
      <c r="MR35" s="33"/>
      <c r="MS35" s="33"/>
      <c r="MT35" s="33"/>
      <c r="MU35" s="33"/>
      <c r="MV35" s="33"/>
      <c r="MW35" s="33">
        <v>1</v>
      </c>
      <c r="MX35" s="33"/>
      <c r="MY35" s="33"/>
      <c r="MZ35" s="33"/>
      <c r="NA35" s="33"/>
      <c r="NB35" s="33"/>
      <c r="NC35" s="33"/>
      <c r="ND35" s="33">
        <v>1</v>
      </c>
      <c r="NE35" s="33"/>
      <c r="NF35" s="33"/>
      <c r="NG35" s="33"/>
      <c r="NH35" s="33"/>
      <c r="NI35" s="33"/>
      <c r="NJ35" s="33"/>
      <c r="NK35" s="33">
        <v>1</v>
      </c>
      <c r="NL35" s="33"/>
      <c r="NM35" s="33"/>
      <c r="NN35" s="33"/>
      <c r="NO35" s="33"/>
      <c r="NP35" s="33"/>
      <c r="NQ35" s="33"/>
      <c r="NR35" s="33">
        <v>1</v>
      </c>
      <c r="NS35" s="33"/>
      <c r="NT35" s="31">
        <f>COUNTIF(F35:NS35,"1")</f>
        <v>55</v>
      </c>
      <c r="NU35" s="80">
        <f>NT36/NT35</f>
        <v>0.12727272727272726</v>
      </c>
      <c r="NV35" s="29" t="str">
        <f>+IF(NX35&gt;=1,"1",0)</f>
        <v>1</v>
      </c>
      <c r="NW35" s="38">
        <f t="shared" si="18"/>
        <v>1</v>
      </c>
      <c r="NX35" s="35">
        <f>COUNTIF(F35:AU35,"1")</f>
        <v>7</v>
      </c>
      <c r="NY35" s="80">
        <f>NX36/NX35</f>
        <v>1</v>
      </c>
      <c r="NZ35" s="29" t="str">
        <f>+IF(OB35&gt;=1,"1",0)</f>
        <v>1</v>
      </c>
      <c r="OA35" s="38">
        <f t="shared" si="19"/>
        <v>1</v>
      </c>
      <c r="OB35" s="35">
        <f>COUNTIF(AV35:CK35,"1")</f>
        <v>6</v>
      </c>
      <c r="OC35" s="80">
        <f>OB36/OB35</f>
        <v>0</v>
      </c>
      <c r="OD35" s="29" t="str">
        <f>+IF(OF35&gt;=1,"1",0)</f>
        <v>1</v>
      </c>
      <c r="OE35" s="38">
        <f t="shared" si="20"/>
        <v>1</v>
      </c>
      <c r="OF35" s="35">
        <f>COUNTIF(CL35:EA35,"1")</f>
        <v>6</v>
      </c>
      <c r="OG35" s="80">
        <f>OF36/OF35</f>
        <v>0</v>
      </c>
      <c r="OH35" s="29" t="str">
        <f>+IF(OJ35&gt;=1,"1",0)</f>
        <v>1</v>
      </c>
      <c r="OI35" s="38">
        <f t="shared" si="21"/>
        <v>1</v>
      </c>
      <c r="OJ35" s="35">
        <f>COUNTIF(EB35:FQ35,"1")</f>
        <v>6</v>
      </c>
      <c r="OK35" s="79">
        <f>OJ36/OJ35</f>
        <v>0</v>
      </c>
      <c r="OL35" s="29" t="str">
        <f>+IF(ON35&gt;=1,"1",0)</f>
        <v>1</v>
      </c>
      <c r="OM35" s="38">
        <f t="shared" si="22"/>
        <v>1</v>
      </c>
      <c r="ON35" s="35">
        <f>COUNTIF(FR35:HG35,"1")</f>
        <v>6</v>
      </c>
      <c r="OO35" s="79">
        <f>ON36/ON35</f>
        <v>0</v>
      </c>
      <c r="OP35" s="29" t="str">
        <f>+IF(OR35&gt;=1,"1",0)</f>
        <v>1</v>
      </c>
      <c r="OQ35" s="38">
        <f t="shared" si="23"/>
        <v>1</v>
      </c>
      <c r="OR35" s="35">
        <f>COUNTIF(HH35:IW35,"1")</f>
        <v>6</v>
      </c>
      <c r="OS35" s="79">
        <f>OR36/OR35</f>
        <v>0</v>
      </c>
      <c r="OT35" s="29" t="str">
        <f>+IF(OV35&gt;=1,"1",0)</f>
        <v>1</v>
      </c>
      <c r="OU35" s="38">
        <f t="shared" si="24"/>
        <v>1</v>
      </c>
      <c r="OV35" s="35">
        <f>COUNTIF(IX35:KM35,"1")</f>
        <v>6</v>
      </c>
      <c r="OW35" s="79">
        <f>OV36/OV35</f>
        <v>0</v>
      </c>
      <c r="OX35" s="29" t="str">
        <f>+IF(OZ35&gt;=1,"1",0)</f>
        <v>1</v>
      </c>
      <c r="OY35" s="38">
        <f t="shared" si="25"/>
        <v>1</v>
      </c>
      <c r="OZ35" s="35">
        <f>COUNTIF(KN35:MC35,"1")</f>
        <v>6</v>
      </c>
      <c r="PA35" s="79">
        <f>OZ36/OZ35</f>
        <v>0</v>
      </c>
      <c r="PB35" s="29" t="str">
        <f>+IF(PD35&gt;=1,"1",0)</f>
        <v>1</v>
      </c>
      <c r="PC35" s="38">
        <f t="shared" si="26"/>
        <v>1</v>
      </c>
      <c r="PD35" s="35">
        <f>COUNTIF(MD35:NS35,"1")</f>
        <v>6</v>
      </c>
      <c r="PE35" s="79">
        <f>PD36/PD35</f>
        <v>0</v>
      </c>
    </row>
    <row r="36" spans="3:421" ht="15.75" customHeight="1" outlineLevel="1" thickBot="1" x14ac:dyDescent="0.3">
      <c r="C36" s="89"/>
      <c r="D36" s="91"/>
      <c r="E36" s="54" t="s">
        <v>9</v>
      </c>
      <c r="F36" s="34"/>
      <c r="G36" s="34"/>
      <c r="H36" s="34"/>
      <c r="I36" s="34"/>
      <c r="J36" s="34"/>
      <c r="K36" s="34" t="s">
        <v>75</v>
      </c>
      <c r="L36" s="34"/>
      <c r="M36" s="34"/>
      <c r="N36" s="34"/>
      <c r="O36" s="34"/>
      <c r="P36" s="70"/>
      <c r="Q36" s="34"/>
      <c r="R36" s="34" t="s">
        <v>75</v>
      </c>
      <c r="S36" s="34"/>
      <c r="T36" s="34"/>
      <c r="U36" s="34"/>
      <c r="V36" s="34"/>
      <c r="W36" s="70"/>
      <c r="X36" s="34"/>
      <c r="Y36" s="34"/>
      <c r="Z36" s="34" t="s">
        <v>75</v>
      </c>
      <c r="AA36" s="34"/>
      <c r="AB36" s="34"/>
      <c r="AC36" s="34"/>
      <c r="AD36" s="34"/>
      <c r="AE36" s="34"/>
      <c r="AF36" s="34"/>
      <c r="AG36" s="34" t="s">
        <v>75</v>
      </c>
      <c r="AH36" s="34"/>
      <c r="AI36" s="34"/>
      <c r="AJ36" s="34"/>
      <c r="AK36" s="34" t="s">
        <v>75</v>
      </c>
      <c r="AL36" s="34"/>
      <c r="AM36" s="34"/>
      <c r="AN36" s="34" t="s">
        <v>75</v>
      </c>
      <c r="AO36" s="34"/>
      <c r="AP36" s="34"/>
      <c r="AQ36" s="34"/>
      <c r="AR36" s="34"/>
      <c r="AS36" s="34"/>
      <c r="AT36" s="34" t="s">
        <v>116</v>
      </c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4"/>
      <c r="JC36" s="34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  <c r="KW36" s="34"/>
      <c r="KX36" s="34"/>
      <c r="KY36" s="34"/>
      <c r="KZ36" s="34"/>
      <c r="LA36" s="34"/>
      <c r="LB36" s="34"/>
      <c r="LC36" s="34"/>
      <c r="LD36" s="34"/>
      <c r="LE36" s="34"/>
      <c r="LF36" s="34"/>
      <c r="LG36" s="34"/>
      <c r="LH36" s="34"/>
      <c r="LI36" s="34"/>
      <c r="LJ36" s="34"/>
      <c r="LK36" s="34"/>
      <c r="LL36" s="34"/>
      <c r="LM36" s="34"/>
      <c r="LN36" s="34"/>
      <c r="LO36" s="34"/>
      <c r="LP36" s="34"/>
      <c r="LQ36" s="34"/>
      <c r="LR36" s="34"/>
      <c r="LS36" s="34"/>
      <c r="LT36" s="34"/>
      <c r="LU36" s="34"/>
      <c r="LV36" s="34"/>
      <c r="LW36" s="34"/>
      <c r="LX36" s="34"/>
      <c r="LY36" s="34"/>
      <c r="LZ36" s="34"/>
      <c r="MA36" s="34"/>
      <c r="MB36" s="34"/>
      <c r="MC36" s="34"/>
      <c r="MD36" s="34"/>
      <c r="ME36" s="34"/>
      <c r="MF36" s="34"/>
      <c r="MG36" s="34"/>
      <c r="MH36" s="34"/>
      <c r="MI36" s="34"/>
      <c r="MJ36" s="34"/>
      <c r="MK36" s="34"/>
      <c r="ML36" s="34"/>
      <c r="MM36" s="34"/>
      <c r="MN36" s="34"/>
      <c r="MO36" s="34"/>
      <c r="MP36" s="34"/>
      <c r="MQ36" s="34"/>
      <c r="MR36" s="34"/>
      <c r="MS36" s="34"/>
      <c r="MT36" s="34"/>
      <c r="MU36" s="34"/>
      <c r="MV36" s="34"/>
      <c r="MW36" s="34"/>
      <c r="MX36" s="34"/>
      <c r="MY36" s="34"/>
      <c r="MZ36" s="34"/>
      <c r="NA36" s="34"/>
      <c r="NB36" s="34"/>
      <c r="NC36" s="34"/>
      <c r="ND36" s="34"/>
      <c r="NE36" s="34"/>
      <c r="NF36" s="34"/>
      <c r="NG36" s="34"/>
      <c r="NH36" s="34"/>
      <c r="NI36" s="34"/>
      <c r="NJ36" s="34"/>
      <c r="NK36" s="34"/>
      <c r="NL36" s="34"/>
      <c r="NM36" s="34"/>
      <c r="NN36" s="34"/>
      <c r="NO36" s="34"/>
      <c r="NP36" s="34"/>
      <c r="NQ36" s="34"/>
      <c r="NR36" s="34"/>
      <c r="NS36" s="34"/>
      <c r="NT36" s="7">
        <f>COUNTIF(F36:NS36,"x")</f>
        <v>7</v>
      </c>
      <c r="NU36" s="81"/>
      <c r="NV36" s="32">
        <f>IF(NX36=0,"0",NX36/NX35)</f>
        <v>1</v>
      </c>
      <c r="NW36" s="37">
        <f t="shared" si="18"/>
        <v>0</v>
      </c>
      <c r="NX36" s="36">
        <f>COUNTIF(F36:AU36,"x")</f>
        <v>7</v>
      </c>
      <c r="NY36" s="81"/>
      <c r="NZ36" s="32" t="str">
        <f>IF(OB36=0,"0",OB36/OB35)</f>
        <v>0</v>
      </c>
      <c r="OA36" s="37">
        <f t="shared" si="19"/>
        <v>0</v>
      </c>
      <c r="OB36" s="36">
        <f>COUNTIF(AV36:CK36,"x")</f>
        <v>0</v>
      </c>
      <c r="OC36" s="81"/>
      <c r="OD36" s="32" t="str">
        <f>IF(OF36=0,"0",OF36/OF35)</f>
        <v>0</v>
      </c>
      <c r="OE36" s="37">
        <f t="shared" si="20"/>
        <v>0</v>
      </c>
      <c r="OF36" s="36">
        <f>COUNTIF(CL36:EA36,"x")</f>
        <v>0</v>
      </c>
      <c r="OG36" s="81"/>
      <c r="OH36" s="32" t="str">
        <f>IF(OJ36=0,"0",OJ36/OJ35)</f>
        <v>0</v>
      </c>
      <c r="OI36" s="37">
        <f t="shared" si="21"/>
        <v>0</v>
      </c>
      <c r="OJ36" s="36">
        <f>COUNTIF(EB36:FQ36,"x")</f>
        <v>0</v>
      </c>
      <c r="OK36" s="74"/>
      <c r="OL36" s="32" t="str">
        <f>IF(ON36=0,"0",ON36/ON35)</f>
        <v>0</v>
      </c>
      <c r="OM36" s="37">
        <f t="shared" si="22"/>
        <v>0</v>
      </c>
      <c r="ON36" s="36">
        <f>COUNTIF(FR36:HG36,"x")</f>
        <v>0</v>
      </c>
      <c r="OO36" s="74"/>
      <c r="OP36" s="32" t="str">
        <f>IF(OR36=0,"0",OR36/OR35)</f>
        <v>0</v>
      </c>
      <c r="OQ36" s="37">
        <f t="shared" si="23"/>
        <v>0</v>
      </c>
      <c r="OR36" s="36">
        <f>COUNTIF(HH36:IW36,"x")</f>
        <v>0</v>
      </c>
      <c r="OS36" s="74"/>
      <c r="OT36" s="32" t="str">
        <f>IF(OV36=0,"0",OV36/OV35)</f>
        <v>0</v>
      </c>
      <c r="OU36" s="37">
        <f t="shared" si="24"/>
        <v>0</v>
      </c>
      <c r="OV36" s="36">
        <f>COUNTIF(IX36:KM36,"x")</f>
        <v>0</v>
      </c>
      <c r="OW36" s="74"/>
      <c r="OX36" s="32" t="str">
        <f>IF(OZ36=0,"0",OZ36/OZ35)</f>
        <v>0</v>
      </c>
      <c r="OY36" s="37">
        <f t="shared" si="25"/>
        <v>0</v>
      </c>
      <c r="OZ36" s="36">
        <f>COUNTIF(KN36:MC36,"x")</f>
        <v>0</v>
      </c>
      <c r="PA36" s="74"/>
      <c r="PB36" s="32" t="str">
        <f>IF(PD36=0,"0",PD36/PD35)</f>
        <v>0</v>
      </c>
      <c r="PC36" s="37">
        <f t="shared" si="26"/>
        <v>0</v>
      </c>
      <c r="PD36" s="36">
        <f>COUNTIF(MD36:NS36,"x")</f>
        <v>0</v>
      </c>
      <c r="PE36" s="74"/>
    </row>
    <row r="37" spans="3:421" ht="15.75" customHeight="1" outlineLevel="1" x14ac:dyDescent="0.25">
      <c r="C37" s="88" t="s">
        <v>52</v>
      </c>
      <c r="D37" s="90" t="s">
        <v>108</v>
      </c>
      <c r="E37" s="53" t="s">
        <v>8</v>
      </c>
      <c r="F37" s="33"/>
      <c r="G37" s="33"/>
      <c r="H37" s="33"/>
      <c r="I37" s="33"/>
      <c r="J37" s="33" t="s">
        <v>74</v>
      </c>
      <c r="K37" s="33"/>
      <c r="L37" s="33"/>
      <c r="M37" s="33"/>
      <c r="N37" s="33"/>
      <c r="O37" s="33"/>
      <c r="P37" s="69"/>
      <c r="Q37" s="33" t="s">
        <v>74</v>
      </c>
      <c r="R37" s="33"/>
      <c r="S37" s="33"/>
      <c r="T37" s="33"/>
      <c r="U37" s="33"/>
      <c r="V37" s="33"/>
      <c r="W37" s="69"/>
      <c r="X37" s="33" t="s">
        <v>74</v>
      </c>
      <c r="Y37" s="33"/>
      <c r="Z37" s="33"/>
      <c r="AA37" s="33"/>
      <c r="AB37" s="33"/>
      <c r="AC37" s="33"/>
      <c r="AD37" s="33"/>
      <c r="AE37" s="33">
        <v>1</v>
      </c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33"/>
      <c r="JA37" s="33"/>
      <c r="JB37" s="33"/>
      <c r="JC37" s="33"/>
      <c r="JD37" s="33"/>
      <c r="JE37" s="33"/>
      <c r="JF37" s="33"/>
      <c r="JG37" s="33"/>
      <c r="JH37" s="33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3"/>
      <c r="JX37" s="33"/>
      <c r="JY37" s="33"/>
      <c r="JZ37" s="33"/>
      <c r="KA37" s="33"/>
      <c r="KB37" s="33"/>
      <c r="KC37" s="33"/>
      <c r="KD37" s="33"/>
      <c r="KE37" s="33"/>
      <c r="KF37" s="33"/>
      <c r="KG37" s="33"/>
      <c r="KH37" s="33"/>
      <c r="KI37" s="33"/>
      <c r="KJ37" s="33"/>
      <c r="KK37" s="33"/>
      <c r="KL37" s="33"/>
      <c r="KM37" s="33"/>
      <c r="KN37" s="33"/>
      <c r="KO37" s="33"/>
      <c r="KP37" s="33"/>
      <c r="KQ37" s="33"/>
      <c r="KR37" s="33"/>
      <c r="KS37" s="33"/>
      <c r="KT37" s="33"/>
      <c r="KU37" s="33"/>
      <c r="KV37" s="33"/>
      <c r="KW37" s="33"/>
      <c r="KX37" s="33"/>
      <c r="KY37" s="33"/>
      <c r="KZ37" s="33"/>
      <c r="LA37" s="33"/>
      <c r="LB37" s="33"/>
      <c r="LC37" s="33"/>
      <c r="LD37" s="33"/>
      <c r="LE37" s="33"/>
      <c r="LF37" s="33"/>
      <c r="LG37" s="33"/>
      <c r="LH37" s="33"/>
      <c r="LI37" s="33"/>
      <c r="LJ37" s="33"/>
      <c r="LK37" s="33"/>
      <c r="LL37" s="33"/>
      <c r="LM37" s="33"/>
      <c r="LN37" s="33"/>
      <c r="LO37" s="33"/>
      <c r="LP37" s="33"/>
      <c r="LQ37" s="33"/>
      <c r="LR37" s="33"/>
      <c r="LS37" s="33"/>
      <c r="LT37" s="33"/>
      <c r="LU37" s="33"/>
      <c r="LV37" s="33"/>
      <c r="LW37" s="33"/>
      <c r="LX37" s="33"/>
      <c r="LY37" s="33"/>
      <c r="LZ37" s="33"/>
      <c r="MA37" s="33"/>
      <c r="MB37" s="33"/>
      <c r="MC37" s="33"/>
      <c r="MD37" s="33"/>
      <c r="ME37" s="33"/>
      <c r="MF37" s="33"/>
      <c r="MG37" s="33"/>
      <c r="MH37" s="33"/>
      <c r="MI37" s="33"/>
      <c r="MJ37" s="33"/>
      <c r="MK37" s="33"/>
      <c r="ML37" s="33"/>
      <c r="MM37" s="33"/>
      <c r="MN37" s="33"/>
      <c r="MO37" s="33"/>
      <c r="MP37" s="33"/>
      <c r="MQ37" s="33"/>
      <c r="MR37" s="33"/>
      <c r="MS37" s="33"/>
      <c r="MT37" s="33"/>
      <c r="MU37" s="33"/>
      <c r="MV37" s="33"/>
      <c r="MW37" s="33"/>
      <c r="MX37" s="33"/>
      <c r="MY37" s="33"/>
      <c r="MZ37" s="33"/>
      <c r="NA37" s="33"/>
      <c r="NB37" s="33"/>
      <c r="NC37" s="33"/>
      <c r="ND37" s="33"/>
      <c r="NE37" s="33"/>
      <c r="NF37" s="33"/>
      <c r="NG37" s="33"/>
      <c r="NH37" s="33"/>
      <c r="NI37" s="33"/>
      <c r="NJ37" s="33"/>
      <c r="NK37" s="33"/>
      <c r="NL37" s="33"/>
      <c r="NM37" s="33"/>
      <c r="NN37" s="33"/>
      <c r="NO37" s="33"/>
      <c r="NP37" s="33"/>
      <c r="NQ37" s="33"/>
      <c r="NR37" s="33"/>
      <c r="NS37" s="33"/>
      <c r="NT37" s="31">
        <f>COUNTIF(F37:NS37,"1")</f>
        <v>1</v>
      </c>
      <c r="NU37" s="80">
        <f>NT38/NT37</f>
        <v>1</v>
      </c>
      <c r="NV37" s="29" t="str">
        <f>+IF(NX37&gt;=1,"1",0)</f>
        <v>1</v>
      </c>
      <c r="NW37" s="38">
        <f t="shared" si="18"/>
        <v>1</v>
      </c>
      <c r="NX37" s="35">
        <f>COUNTIF(F37:AU37,"1")</f>
        <v>1</v>
      </c>
      <c r="NY37" s="80">
        <f>NX38/NX37</f>
        <v>1</v>
      </c>
      <c r="NZ37" s="29">
        <f>+IF(OB37&gt;=1,"1",0)</f>
        <v>0</v>
      </c>
      <c r="OA37" s="38">
        <f t="shared" si="19"/>
        <v>1</v>
      </c>
      <c r="OB37" s="35">
        <f>COUNTIF(AV37:CK37,"1")</f>
        <v>0</v>
      </c>
      <c r="OC37" s="80" t="e">
        <f>OB38/OB37</f>
        <v>#DIV/0!</v>
      </c>
      <c r="OD37" s="29">
        <f>+IF(OF37&gt;=1,"1",0)</f>
        <v>0</v>
      </c>
      <c r="OE37" s="38">
        <f t="shared" si="20"/>
        <v>1</v>
      </c>
      <c r="OF37" s="35">
        <f>COUNTIF(CL37:EA37,"1")</f>
        <v>0</v>
      </c>
      <c r="OG37" s="80" t="e">
        <f>OF38/OF37</f>
        <v>#DIV/0!</v>
      </c>
      <c r="OH37" s="29">
        <f>+IF(OJ37&gt;=1,"1",0)</f>
        <v>0</v>
      </c>
      <c r="OI37" s="38">
        <f t="shared" si="21"/>
        <v>1</v>
      </c>
      <c r="OJ37" s="35">
        <f>COUNTIF(EB37:FQ37,"1")</f>
        <v>0</v>
      </c>
      <c r="OK37" s="79" t="e">
        <f>OJ38/OJ37</f>
        <v>#DIV/0!</v>
      </c>
      <c r="OL37" s="29">
        <f>+IF(ON37&gt;=1,"1",0)</f>
        <v>0</v>
      </c>
      <c r="OM37" s="38">
        <f t="shared" si="22"/>
        <v>1</v>
      </c>
      <c r="ON37" s="35">
        <f>COUNTIF(FR37:HG37,"1")</f>
        <v>0</v>
      </c>
      <c r="OO37" s="79" t="e">
        <f>ON38/ON37</f>
        <v>#DIV/0!</v>
      </c>
      <c r="OP37" s="29">
        <f>+IF(OR37&gt;=1,"1",0)</f>
        <v>0</v>
      </c>
      <c r="OQ37" s="38">
        <f t="shared" si="23"/>
        <v>1</v>
      </c>
      <c r="OR37" s="35">
        <f>COUNTIF(HH37:IW37,"1")</f>
        <v>0</v>
      </c>
      <c r="OS37" s="79" t="e">
        <f>OR38/OR37</f>
        <v>#DIV/0!</v>
      </c>
      <c r="OT37" s="29">
        <f>+IF(OV37&gt;=1,"1",0)</f>
        <v>0</v>
      </c>
      <c r="OU37" s="38">
        <f t="shared" si="24"/>
        <v>1</v>
      </c>
      <c r="OV37" s="35">
        <f>COUNTIF(IX37:KM37,"1")</f>
        <v>0</v>
      </c>
      <c r="OW37" s="79" t="e">
        <f>OV38/OV37</f>
        <v>#DIV/0!</v>
      </c>
      <c r="OX37" s="29">
        <f>+IF(OZ37&gt;=1,"1",0)</f>
        <v>0</v>
      </c>
      <c r="OY37" s="38">
        <f t="shared" si="25"/>
        <v>1</v>
      </c>
      <c r="OZ37" s="35">
        <f>COUNTIF(KN37:MC37,"1")</f>
        <v>0</v>
      </c>
      <c r="PA37" s="79" t="e">
        <f>OZ38/OZ37</f>
        <v>#DIV/0!</v>
      </c>
      <c r="PB37" s="29">
        <f>+IF(PD37&gt;=1,"1",0)</f>
        <v>0</v>
      </c>
      <c r="PC37" s="38">
        <f t="shared" si="26"/>
        <v>1</v>
      </c>
      <c r="PD37" s="35">
        <f>COUNTIF(MD37:NS37,"1")</f>
        <v>0</v>
      </c>
      <c r="PE37" s="79" t="e">
        <f>PD38/PD37</f>
        <v>#DIV/0!</v>
      </c>
    </row>
    <row r="38" spans="3:421" ht="15.75" customHeight="1" outlineLevel="1" thickBot="1" x14ac:dyDescent="0.3">
      <c r="C38" s="89"/>
      <c r="D38" s="91"/>
      <c r="E38" s="54" t="s">
        <v>9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70"/>
      <c r="Q38" s="34"/>
      <c r="R38" s="34"/>
      <c r="S38" s="34"/>
      <c r="T38" s="34"/>
      <c r="U38" s="34"/>
      <c r="V38" s="34"/>
      <c r="W38" s="70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 t="s">
        <v>75</v>
      </c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34"/>
      <c r="JB38" s="34"/>
      <c r="JC38" s="34"/>
      <c r="JD38" s="34"/>
      <c r="JE38" s="34"/>
      <c r="JF38" s="34"/>
      <c r="JG38" s="34"/>
      <c r="JH38" s="34"/>
      <c r="JI38" s="34"/>
      <c r="JJ38" s="34"/>
      <c r="JK38" s="34"/>
      <c r="JL38" s="34"/>
      <c r="JM38" s="34"/>
      <c r="JN38" s="34"/>
      <c r="JO38" s="34"/>
      <c r="JP38" s="34"/>
      <c r="JQ38" s="34"/>
      <c r="JR38" s="34"/>
      <c r="JS38" s="34"/>
      <c r="JT38" s="34"/>
      <c r="JU38" s="34"/>
      <c r="JV38" s="34"/>
      <c r="JW38" s="34"/>
      <c r="JX38" s="34"/>
      <c r="JY38" s="34"/>
      <c r="JZ38" s="34"/>
      <c r="KA38" s="34"/>
      <c r="KB38" s="34"/>
      <c r="KC38" s="34"/>
      <c r="KD38" s="34"/>
      <c r="KE38" s="34"/>
      <c r="KF38" s="34"/>
      <c r="KG38" s="34"/>
      <c r="KH38" s="34"/>
      <c r="KI38" s="34"/>
      <c r="KJ38" s="34"/>
      <c r="KK38" s="34"/>
      <c r="KL38" s="34"/>
      <c r="KM38" s="34"/>
      <c r="KN38" s="34"/>
      <c r="KO38" s="34"/>
      <c r="KP38" s="34"/>
      <c r="KQ38" s="34"/>
      <c r="KR38" s="34"/>
      <c r="KS38" s="34"/>
      <c r="KT38" s="34"/>
      <c r="KU38" s="34"/>
      <c r="KV38" s="34"/>
      <c r="KW38" s="34"/>
      <c r="KX38" s="34"/>
      <c r="KY38" s="34"/>
      <c r="KZ38" s="34"/>
      <c r="LA38" s="34"/>
      <c r="LB38" s="34"/>
      <c r="LC38" s="34"/>
      <c r="LD38" s="34"/>
      <c r="LE38" s="34"/>
      <c r="LF38" s="34"/>
      <c r="LG38" s="34"/>
      <c r="LH38" s="34"/>
      <c r="LI38" s="34"/>
      <c r="LJ38" s="34"/>
      <c r="LK38" s="34"/>
      <c r="LL38" s="34"/>
      <c r="LM38" s="34"/>
      <c r="LN38" s="34"/>
      <c r="LO38" s="34"/>
      <c r="LP38" s="34"/>
      <c r="LQ38" s="34"/>
      <c r="LR38" s="34"/>
      <c r="LS38" s="34"/>
      <c r="LT38" s="34"/>
      <c r="LU38" s="34"/>
      <c r="LV38" s="34"/>
      <c r="LW38" s="34"/>
      <c r="LX38" s="34"/>
      <c r="LY38" s="34"/>
      <c r="LZ38" s="34"/>
      <c r="MA38" s="34"/>
      <c r="MB38" s="34"/>
      <c r="MC38" s="34"/>
      <c r="MD38" s="34"/>
      <c r="ME38" s="34"/>
      <c r="MF38" s="34"/>
      <c r="MG38" s="34"/>
      <c r="MH38" s="34"/>
      <c r="MI38" s="34"/>
      <c r="MJ38" s="34"/>
      <c r="MK38" s="34"/>
      <c r="ML38" s="34"/>
      <c r="MM38" s="34"/>
      <c r="MN38" s="34"/>
      <c r="MO38" s="34"/>
      <c r="MP38" s="34"/>
      <c r="MQ38" s="34"/>
      <c r="MR38" s="34"/>
      <c r="MS38" s="34"/>
      <c r="MT38" s="34"/>
      <c r="MU38" s="34"/>
      <c r="MV38" s="34"/>
      <c r="MW38" s="34"/>
      <c r="MX38" s="34"/>
      <c r="MY38" s="34"/>
      <c r="MZ38" s="34"/>
      <c r="NA38" s="34"/>
      <c r="NB38" s="34"/>
      <c r="NC38" s="34"/>
      <c r="ND38" s="34"/>
      <c r="NE38" s="34"/>
      <c r="NF38" s="34"/>
      <c r="NG38" s="34"/>
      <c r="NH38" s="34"/>
      <c r="NI38" s="34"/>
      <c r="NJ38" s="34"/>
      <c r="NK38" s="34"/>
      <c r="NL38" s="34"/>
      <c r="NM38" s="34"/>
      <c r="NN38" s="34"/>
      <c r="NO38" s="34"/>
      <c r="NP38" s="34"/>
      <c r="NQ38" s="34"/>
      <c r="NR38" s="34"/>
      <c r="NS38" s="34"/>
      <c r="NT38" s="7">
        <f>COUNTIF(F38:NS38,"x")</f>
        <v>1</v>
      </c>
      <c r="NU38" s="81"/>
      <c r="NV38" s="32">
        <f>IF(NX38=0,"0",NX38/NX37)</f>
        <v>1</v>
      </c>
      <c r="NW38" s="37">
        <f t="shared" si="18"/>
        <v>0</v>
      </c>
      <c r="NX38" s="36">
        <f>COUNTIF(F38:AU38,"x")</f>
        <v>1</v>
      </c>
      <c r="NY38" s="81"/>
      <c r="NZ38" s="32" t="str">
        <f>IF(OB38=0,"0",OB38/OB37)</f>
        <v>0</v>
      </c>
      <c r="OA38" s="37">
        <f t="shared" si="19"/>
        <v>0</v>
      </c>
      <c r="OB38" s="36">
        <f>COUNTIF(AV38:CK38,"x")</f>
        <v>0</v>
      </c>
      <c r="OC38" s="81"/>
      <c r="OD38" s="32" t="str">
        <f>IF(OF38=0,"0",OF38/OF37)</f>
        <v>0</v>
      </c>
      <c r="OE38" s="37">
        <f t="shared" si="20"/>
        <v>0</v>
      </c>
      <c r="OF38" s="36">
        <f>COUNTIF(CL38:EA38,"x")</f>
        <v>0</v>
      </c>
      <c r="OG38" s="81"/>
      <c r="OH38" s="32" t="str">
        <f>IF(OJ38=0,"0",OJ38/OJ37)</f>
        <v>0</v>
      </c>
      <c r="OI38" s="37">
        <f t="shared" si="21"/>
        <v>0</v>
      </c>
      <c r="OJ38" s="36">
        <f>COUNTIF(EB38:FQ38,"x")</f>
        <v>0</v>
      </c>
      <c r="OK38" s="74"/>
      <c r="OL38" s="32" t="str">
        <f>IF(ON38=0,"0",ON38/ON37)</f>
        <v>0</v>
      </c>
      <c r="OM38" s="37">
        <f t="shared" si="22"/>
        <v>0</v>
      </c>
      <c r="ON38" s="36">
        <f>COUNTIF(FR38:HG38,"x")</f>
        <v>0</v>
      </c>
      <c r="OO38" s="74"/>
      <c r="OP38" s="32" t="str">
        <f>IF(OR38=0,"0",OR38/OR37)</f>
        <v>0</v>
      </c>
      <c r="OQ38" s="37">
        <f t="shared" si="23"/>
        <v>0</v>
      </c>
      <c r="OR38" s="36">
        <f>COUNTIF(HH38:IW38,"x")</f>
        <v>0</v>
      </c>
      <c r="OS38" s="74"/>
      <c r="OT38" s="32" t="str">
        <f>IF(OV38=0,"0",OV38/OV37)</f>
        <v>0</v>
      </c>
      <c r="OU38" s="37">
        <f t="shared" si="24"/>
        <v>0</v>
      </c>
      <c r="OV38" s="36">
        <f>COUNTIF(IX38:KM38,"x")</f>
        <v>0</v>
      </c>
      <c r="OW38" s="74"/>
      <c r="OX38" s="32" t="str">
        <f>IF(OZ38=0,"0",OZ38/OZ37)</f>
        <v>0</v>
      </c>
      <c r="OY38" s="37">
        <f t="shared" si="25"/>
        <v>0</v>
      </c>
      <c r="OZ38" s="36">
        <f>COUNTIF(KN38:MC38,"x")</f>
        <v>0</v>
      </c>
      <c r="PA38" s="74"/>
      <c r="PB38" s="32" t="str">
        <f>IF(PD38=0,"0",PD38/PD37)</f>
        <v>0</v>
      </c>
      <c r="PC38" s="37">
        <f t="shared" si="26"/>
        <v>0</v>
      </c>
      <c r="PD38" s="36">
        <f>COUNTIF(MD38:NS38,"x")</f>
        <v>0</v>
      </c>
      <c r="PE38" s="74"/>
    </row>
    <row r="39" spans="3:421" ht="15.75" customHeight="1" outlineLevel="1" x14ac:dyDescent="0.25">
      <c r="C39" s="88" t="s">
        <v>53</v>
      </c>
      <c r="D39" s="90" t="s">
        <v>108</v>
      </c>
      <c r="E39" s="53" t="s">
        <v>8</v>
      </c>
      <c r="F39" s="33"/>
      <c r="G39" s="33"/>
      <c r="H39" s="33"/>
      <c r="I39" s="33"/>
      <c r="J39" s="33"/>
      <c r="K39" s="33"/>
      <c r="L39" s="33"/>
      <c r="M39" s="33" t="s">
        <v>74</v>
      </c>
      <c r="N39" s="33"/>
      <c r="O39" s="33"/>
      <c r="P39" s="69"/>
      <c r="Q39" s="33"/>
      <c r="R39" s="33"/>
      <c r="S39" s="33"/>
      <c r="T39" s="33" t="s">
        <v>74</v>
      </c>
      <c r="U39" s="33"/>
      <c r="V39" s="33"/>
      <c r="W39" s="69"/>
      <c r="X39" s="33"/>
      <c r="Y39" s="33"/>
      <c r="Z39" s="33"/>
      <c r="AA39" s="33" t="s">
        <v>74</v>
      </c>
      <c r="AB39" s="33"/>
      <c r="AC39" s="33"/>
      <c r="AD39" s="33"/>
      <c r="AE39" s="33"/>
      <c r="AF39" s="33"/>
      <c r="AG39" s="33"/>
      <c r="AH39" s="33" t="s">
        <v>74</v>
      </c>
      <c r="AI39" s="33"/>
      <c r="AJ39" s="33"/>
      <c r="AK39" s="33"/>
      <c r="AL39" s="33"/>
      <c r="AM39" s="33"/>
      <c r="AN39" s="33"/>
      <c r="AO39" s="33" t="s">
        <v>74</v>
      </c>
      <c r="AP39" s="33"/>
      <c r="AQ39" s="33"/>
      <c r="AR39" s="33"/>
      <c r="AS39" s="33"/>
      <c r="AT39" s="33"/>
      <c r="AU39" s="33"/>
      <c r="AV39" s="33" t="s">
        <v>74</v>
      </c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33"/>
      <c r="NI39" s="33"/>
      <c r="NJ39" s="33"/>
      <c r="NK39" s="33"/>
      <c r="NL39" s="33"/>
      <c r="NM39" s="33"/>
      <c r="NN39" s="33"/>
      <c r="NO39" s="33"/>
      <c r="NP39" s="33"/>
      <c r="NQ39" s="33"/>
      <c r="NR39" s="33"/>
      <c r="NS39" s="33"/>
      <c r="NT39" s="31">
        <f>COUNTIF(F39:NS39,"1")</f>
        <v>0</v>
      </c>
      <c r="NU39" s="80" t="e">
        <f>NT40/NT39</f>
        <v>#DIV/0!</v>
      </c>
      <c r="NV39" s="29">
        <f>+IF(NX39&gt;=1,"1",0)</f>
        <v>0</v>
      </c>
      <c r="NW39" s="38">
        <f t="shared" si="18"/>
        <v>1</v>
      </c>
      <c r="NX39" s="35">
        <f>COUNTIF(F39:AU39,"1")</f>
        <v>0</v>
      </c>
      <c r="NY39" s="80" t="e">
        <f>NX40/NX39</f>
        <v>#DIV/0!</v>
      </c>
      <c r="NZ39" s="29">
        <f>+IF(OB39&gt;=1,"1",0)</f>
        <v>0</v>
      </c>
      <c r="OA39" s="38">
        <f t="shared" si="19"/>
        <v>1</v>
      </c>
      <c r="OB39" s="35">
        <f>COUNTIF(AV39:CK39,"1")</f>
        <v>0</v>
      </c>
      <c r="OC39" s="80" t="e">
        <f>OB40/OB39</f>
        <v>#DIV/0!</v>
      </c>
      <c r="OD39" s="29">
        <f>+IF(OF39&gt;=1,"1",0)</f>
        <v>0</v>
      </c>
      <c r="OE39" s="38">
        <f t="shared" si="20"/>
        <v>1</v>
      </c>
      <c r="OF39" s="35">
        <f>COUNTIF(CL39:EA39,"1")</f>
        <v>0</v>
      </c>
      <c r="OG39" s="80" t="e">
        <f>OF40/OF39</f>
        <v>#DIV/0!</v>
      </c>
      <c r="OH39" s="29">
        <f>+IF(OJ39&gt;=1,"1",0)</f>
        <v>0</v>
      </c>
      <c r="OI39" s="38">
        <f t="shared" si="21"/>
        <v>1</v>
      </c>
      <c r="OJ39" s="35">
        <f>COUNTIF(EB39:FQ39,"1")</f>
        <v>0</v>
      </c>
      <c r="OK39" s="79" t="e">
        <f>OJ40/OJ39</f>
        <v>#DIV/0!</v>
      </c>
      <c r="OL39" s="29">
        <f>+IF(ON39&gt;=1,"1",0)</f>
        <v>0</v>
      </c>
      <c r="OM39" s="38">
        <f t="shared" si="22"/>
        <v>1</v>
      </c>
      <c r="ON39" s="35">
        <f>COUNTIF(FR39:HG39,"1")</f>
        <v>0</v>
      </c>
      <c r="OO39" s="79" t="e">
        <f>ON40/ON39</f>
        <v>#DIV/0!</v>
      </c>
      <c r="OP39" s="29">
        <f>+IF(OR39&gt;=1,"1",0)</f>
        <v>0</v>
      </c>
      <c r="OQ39" s="38">
        <f t="shared" si="23"/>
        <v>1</v>
      </c>
      <c r="OR39" s="35">
        <f>COUNTIF(HH39:IW39,"1")</f>
        <v>0</v>
      </c>
      <c r="OS39" s="79" t="e">
        <f>OR40/OR39</f>
        <v>#DIV/0!</v>
      </c>
      <c r="OT39" s="29">
        <f>+IF(OV39&gt;=1,"1",0)</f>
        <v>0</v>
      </c>
      <c r="OU39" s="38">
        <f t="shared" si="24"/>
        <v>1</v>
      </c>
      <c r="OV39" s="35">
        <f>COUNTIF(IX39:KM39,"1")</f>
        <v>0</v>
      </c>
      <c r="OW39" s="79" t="e">
        <f>OV40/OV39</f>
        <v>#DIV/0!</v>
      </c>
      <c r="OX39" s="29">
        <f>+IF(OZ39&gt;=1,"1",0)</f>
        <v>0</v>
      </c>
      <c r="OY39" s="38">
        <f t="shared" si="25"/>
        <v>1</v>
      </c>
      <c r="OZ39" s="35">
        <f>COUNTIF(KN39:MC39,"1")</f>
        <v>0</v>
      </c>
      <c r="PA39" s="79" t="e">
        <f>OZ40/OZ39</f>
        <v>#DIV/0!</v>
      </c>
      <c r="PB39" s="29">
        <f>+IF(PD39&gt;=1,"1",0)</f>
        <v>0</v>
      </c>
      <c r="PC39" s="38">
        <f t="shared" si="26"/>
        <v>1</v>
      </c>
      <c r="PD39" s="35">
        <f>COUNTIF(MD39:NS39,"1")</f>
        <v>0</v>
      </c>
      <c r="PE39" s="79" t="e">
        <f>PD40/PD39</f>
        <v>#DIV/0!</v>
      </c>
    </row>
    <row r="40" spans="3:421" ht="15.75" customHeight="1" outlineLevel="1" thickBot="1" x14ac:dyDescent="0.3">
      <c r="C40" s="89"/>
      <c r="D40" s="91"/>
      <c r="E40" s="54" t="s">
        <v>9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70"/>
      <c r="Q40" s="34"/>
      <c r="R40" s="34"/>
      <c r="S40" s="34"/>
      <c r="T40" s="34"/>
      <c r="U40" s="34"/>
      <c r="V40" s="34"/>
      <c r="W40" s="70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4"/>
      <c r="HC40" s="34"/>
      <c r="HD40" s="34"/>
      <c r="HE40" s="34"/>
      <c r="HF40" s="34"/>
      <c r="HG40" s="34"/>
      <c r="HH40" s="34"/>
      <c r="HI40" s="34"/>
      <c r="HJ40" s="34"/>
      <c r="HK40" s="34"/>
      <c r="HL40" s="34"/>
      <c r="HM40" s="34"/>
      <c r="HN40" s="34"/>
      <c r="HO40" s="34"/>
      <c r="HP40" s="34"/>
      <c r="HQ40" s="34"/>
      <c r="HR40" s="34"/>
      <c r="HS40" s="34"/>
      <c r="HT40" s="34"/>
      <c r="HU40" s="34"/>
      <c r="HV40" s="34"/>
      <c r="HW40" s="34"/>
      <c r="HX40" s="34"/>
      <c r="HY40" s="34"/>
      <c r="HZ40" s="34"/>
      <c r="IA40" s="34"/>
      <c r="IB40" s="34"/>
      <c r="IC40" s="34"/>
      <c r="ID40" s="34"/>
      <c r="IE40" s="34"/>
      <c r="IF40" s="34"/>
      <c r="IG40" s="34"/>
      <c r="IH40" s="34"/>
      <c r="II40" s="34"/>
      <c r="IJ40" s="34"/>
      <c r="IK40" s="34"/>
      <c r="IL40" s="34"/>
      <c r="IM40" s="34"/>
      <c r="IN40" s="34"/>
      <c r="IO40" s="34"/>
      <c r="IP40" s="34"/>
      <c r="IQ40" s="34"/>
      <c r="IR40" s="34"/>
      <c r="IS40" s="34"/>
      <c r="IT40" s="34"/>
      <c r="IU40" s="34"/>
      <c r="IV40" s="34"/>
      <c r="IW40" s="34"/>
      <c r="IX40" s="34"/>
      <c r="IY40" s="34"/>
      <c r="IZ40" s="34"/>
      <c r="JA40" s="34"/>
      <c r="JB40" s="34"/>
      <c r="JC40" s="34"/>
      <c r="JD40" s="34"/>
      <c r="JE40" s="34"/>
      <c r="JF40" s="34"/>
      <c r="JG40" s="34"/>
      <c r="JH40" s="34"/>
      <c r="JI40" s="34"/>
      <c r="JJ40" s="34"/>
      <c r="JK40" s="34"/>
      <c r="JL40" s="34"/>
      <c r="JM40" s="34"/>
      <c r="JN40" s="34"/>
      <c r="JO40" s="34"/>
      <c r="JP40" s="34"/>
      <c r="JQ40" s="34"/>
      <c r="JR40" s="34"/>
      <c r="JS40" s="34"/>
      <c r="JT40" s="34"/>
      <c r="JU40" s="34"/>
      <c r="JV40" s="34"/>
      <c r="JW40" s="34"/>
      <c r="JX40" s="34"/>
      <c r="JY40" s="34"/>
      <c r="JZ40" s="34"/>
      <c r="KA40" s="34"/>
      <c r="KB40" s="34"/>
      <c r="KC40" s="34"/>
      <c r="KD40" s="34"/>
      <c r="KE40" s="34"/>
      <c r="KF40" s="34"/>
      <c r="KG40" s="34"/>
      <c r="KH40" s="34"/>
      <c r="KI40" s="34"/>
      <c r="KJ40" s="34"/>
      <c r="KK40" s="34"/>
      <c r="KL40" s="34"/>
      <c r="KM40" s="34"/>
      <c r="KN40" s="34"/>
      <c r="KO40" s="34"/>
      <c r="KP40" s="34"/>
      <c r="KQ40" s="34"/>
      <c r="KR40" s="34"/>
      <c r="KS40" s="34"/>
      <c r="KT40" s="34"/>
      <c r="KU40" s="34"/>
      <c r="KV40" s="34"/>
      <c r="KW40" s="34"/>
      <c r="KX40" s="34"/>
      <c r="KY40" s="34"/>
      <c r="KZ40" s="34"/>
      <c r="LA40" s="34"/>
      <c r="LB40" s="34"/>
      <c r="LC40" s="34"/>
      <c r="LD40" s="34"/>
      <c r="LE40" s="34"/>
      <c r="LF40" s="34"/>
      <c r="LG40" s="34"/>
      <c r="LH40" s="34"/>
      <c r="LI40" s="34"/>
      <c r="LJ40" s="34"/>
      <c r="LK40" s="34"/>
      <c r="LL40" s="34"/>
      <c r="LM40" s="34"/>
      <c r="LN40" s="34"/>
      <c r="LO40" s="34"/>
      <c r="LP40" s="34"/>
      <c r="LQ40" s="34"/>
      <c r="LR40" s="34"/>
      <c r="LS40" s="34"/>
      <c r="LT40" s="34"/>
      <c r="LU40" s="34"/>
      <c r="LV40" s="34"/>
      <c r="LW40" s="34"/>
      <c r="LX40" s="34"/>
      <c r="LY40" s="34"/>
      <c r="LZ40" s="34"/>
      <c r="MA40" s="34"/>
      <c r="MB40" s="34"/>
      <c r="MC40" s="34"/>
      <c r="MD40" s="34"/>
      <c r="ME40" s="34"/>
      <c r="MF40" s="34"/>
      <c r="MG40" s="34"/>
      <c r="MH40" s="34"/>
      <c r="MI40" s="34"/>
      <c r="MJ40" s="34"/>
      <c r="MK40" s="34"/>
      <c r="ML40" s="34"/>
      <c r="MM40" s="34"/>
      <c r="MN40" s="34"/>
      <c r="MO40" s="34"/>
      <c r="MP40" s="34"/>
      <c r="MQ40" s="34"/>
      <c r="MR40" s="34"/>
      <c r="MS40" s="34"/>
      <c r="MT40" s="34"/>
      <c r="MU40" s="34"/>
      <c r="MV40" s="34"/>
      <c r="MW40" s="34"/>
      <c r="MX40" s="34"/>
      <c r="MY40" s="34"/>
      <c r="MZ40" s="34"/>
      <c r="NA40" s="34"/>
      <c r="NB40" s="34"/>
      <c r="NC40" s="34"/>
      <c r="ND40" s="34"/>
      <c r="NE40" s="34"/>
      <c r="NF40" s="34"/>
      <c r="NG40" s="34"/>
      <c r="NH40" s="34"/>
      <c r="NI40" s="34"/>
      <c r="NJ40" s="34"/>
      <c r="NK40" s="34"/>
      <c r="NL40" s="34"/>
      <c r="NM40" s="34"/>
      <c r="NN40" s="34"/>
      <c r="NO40" s="34"/>
      <c r="NP40" s="34"/>
      <c r="NQ40" s="34"/>
      <c r="NR40" s="34"/>
      <c r="NS40" s="34"/>
      <c r="NT40" s="7">
        <f>COUNTIF(F40:NS40,"x")</f>
        <v>0</v>
      </c>
      <c r="NU40" s="81"/>
      <c r="NV40" s="32" t="str">
        <f>IF(NX40=0,"0",NX40/NX39)</f>
        <v>0</v>
      </c>
      <c r="NW40" s="37">
        <f t="shared" si="18"/>
        <v>0</v>
      </c>
      <c r="NX40" s="36">
        <f>COUNTIF(F40:AU40,"x")</f>
        <v>0</v>
      </c>
      <c r="NY40" s="81"/>
      <c r="NZ40" s="32" t="str">
        <f>IF(OB40=0,"0",OB40/OB39)</f>
        <v>0</v>
      </c>
      <c r="OA40" s="37">
        <f t="shared" si="19"/>
        <v>0</v>
      </c>
      <c r="OB40" s="36">
        <f>COUNTIF(AV40:CK40,"x")</f>
        <v>0</v>
      </c>
      <c r="OC40" s="81"/>
      <c r="OD40" s="32" t="str">
        <f>IF(OF40=0,"0",OF40/OF39)</f>
        <v>0</v>
      </c>
      <c r="OE40" s="37">
        <f t="shared" si="20"/>
        <v>0</v>
      </c>
      <c r="OF40" s="36">
        <f>COUNTIF(CL40:EA40,"x")</f>
        <v>0</v>
      </c>
      <c r="OG40" s="81"/>
      <c r="OH40" s="32" t="str">
        <f>IF(OJ40=0,"0",OJ40/OJ39)</f>
        <v>0</v>
      </c>
      <c r="OI40" s="37">
        <f t="shared" si="21"/>
        <v>0</v>
      </c>
      <c r="OJ40" s="36">
        <f>COUNTIF(EB40:FQ40,"x")</f>
        <v>0</v>
      </c>
      <c r="OK40" s="74"/>
      <c r="OL40" s="32" t="str">
        <f>IF(ON40=0,"0",ON40/ON39)</f>
        <v>0</v>
      </c>
      <c r="OM40" s="37">
        <f t="shared" si="22"/>
        <v>0</v>
      </c>
      <c r="ON40" s="36">
        <f>COUNTIF(FR40:HG40,"x")</f>
        <v>0</v>
      </c>
      <c r="OO40" s="74"/>
      <c r="OP40" s="32" t="str">
        <f>IF(OR40=0,"0",OR40/OR39)</f>
        <v>0</v>
      </c>
      <c r="OQ40" s="37">
        <f t="shared" si="23"/>
        <v>0</v>
      </c>
      <c r="OR40" s="36">
        <f>COUNTIF(HH40:IW40,"x")</f>
        <v>0</v>
      </c>
      <c r="OS40" s="74"/>
      <c r="OT40" s="32" t="str">
        <f>IF(OV40=0,"0",OV40/OV39)</f>
        <v>0</v>
      </c>
      <c r="OU40" s="37">
        <f t="shared" si="24"/>
        <v>0</v>
      </c>
      <c r="OV40" s="36">
        <f>COUNTIF(IX40:KM40,"x")</f>
        <v>0</v>
      </c>
      <c r="OW40" s="74"/>
      <c r="OX40" s="32" t="str">
        <f>IF(OZ40=0,"0",OZ40/OZ39)</f>
        <v>0</v>
      </c>
      <c r="OY40" s="37">
        <f t="shared" si="25"/>
        <v>0</v>
      </c>
      <c r="OZ40" s="36">
        <f>COUNTIF(KN40:MC40,"x")</f>
        <v>0</v>
      </c>
      <c r="PA40" s="74"/>
      <c r="PB40" s="32" t="str">
        <f>IF(PD40=0,"0",PD40/PD39)</f>
        <v>0</v>
      </c>
      <c r="PC40" s="37">
        <f t="shared" si="26"/>
        <v>0</v>
      </c>
      <c r="PD40" s="36">
        <f>COUNTIF(MD40:NS40,"x")</f>
        <v>0</v>
      </c>
      <c r="PE40" s="74"/>
    </row>
    <row r="41" spans="3:421" ht="15.75" customHeight="1" outlineLevel="1" x14ac:dyDescent="0.25">
      <c r="C41" s="86" t="s">
        <v>90</v>
      </c>
      <c r="D41" s="90" t="s">
        <v>108</v>
      </c>
      <c r="E41" s="53" t="s">
        <v>8</v>
      </c>
      <c r="F41" s="33" t="s">
        <v>74</v>
      </c>
      <c r="G41" s="33"/>
      <c r="H41" s="33"/>
      <c r="I41" s="33" t="s">
        <v>74</v>
      </c>
      <c r="J41" s="33"/>
      <c r="K41" s="33"/>
      <c r="L41" s="33"/>
      <c r="M41" s="33" t="s">
        <v>74</v>
      </c>
      <c r="N41" s="33"/>
      <c r="O41" s="33"/>
      <c r="P41" s="69"/>
      <c r="Q41" s="33"/>
      <c r="R41" s="33"/>
      <c r="S41" s="33"/>
      <c r="T41" s="33" t="s">
        <v>74</v>
      </c>
      <c r="U41" s="33"/>
      <c r="V41" s="33"/>
      <c r="W41" s="69"/>
      <c r="X41" s="33" t="s">
        <v>74</v>
      </c>
      <c r="Y41" s="33"/>
      <c r="Z41" s="33"/>
      <c r="AA41" s="33" t="s">
        <v>74</v>
      </c>
      <c r="AB41" s="33"/>
      <c r="AC41" s="33"/>
      <c r="AD41" s="33" t="s">
        <v>74</v>
      </c>
      <c r="AE41" s="33"/>
      <c r="AF41" s="33"/>
      <c r="AG41" s="33"/>
      <c r="AH41" s="33">
        <v>1</v>
      </c>
      <c r="AI41" s="33"/>
      <c r="AJ41" s="33"/>
      <c r="AK41" s="33">
        <v>1</v>
      </c>
      <c r="AL41" s="33"/>
      <c r="AM41" s="33"/>
      <c r="AN41" s="33"/>
      <c r="AO41" s="33" t="s">
        <v>74</v>
      </c>
      <c r="AP41" s="33"/>
      <c r="AQ41" s="33"/>
      <c r="AR41" s="33">
        <v>1</v>
      </c>
      <c r="AS41" s="33"/>
      <c r="AT41" s="33"/>
      <c r="AU41" s="33"/>
      <c r="AV41" s="33">
        <v>1</v>
      </c>
      <c r="AW41" s="33"/>
      <c r="AX41" s="33"/>
      <c r="AY41" s="33">
        <v>1</v>
      </c>
      <c r="AZ41" s="33"/>
      <c r="BA41" s="33"/>
      <c r="BB41" s="33"/>
      <c r="BC41" s="33">
        <v>1</v>
      </c>
      <c r="BD41" s="33"/>
      <c r="BE41" s="33"/>
      <c r="BF41" s="33">
        <v>1</v>
      </c>
      <c r="BG41" s="33"/>
      <c r="BH41" s="33"/>
      <c r="BI41" s="33"/>
      <c r="BJ41" s="33">
        <v>1</v>
      </c>
      <c r="BK41" s="33"/>
      <c r="BL41" s="33"/>
      <c r="BM41" s="33">
        <v>1</v>
      </c>
      <c r="BN41" s="33"/>
      <c r="BO41" s="33"/>
      <c r="BP41" s="33"/>
      <c r="BQ41" s="33">
        <v>1</v>
      </c>
      <c r="BR41" s="33"/>
      <c r="BS41" s="33"/>
      <c r="BT41" s="33">
        <v>1</v>
      </c>
      <c r="BU41" s="33"/>
      <c r="BV41" s="33"/>
      <c r="BW41" s="33"/>
      <c r="BX41" s="33">
        <v>1</v>
      </c>
      <c r="BY41" s="33"/>
      <c r="BZ41" s="33"/>
      <c r="CA41" s="33">
        <v>1</v>
      </c>
      <c r="CB41" s="33"/>
      <c r="CC41" s="33"/>
      <c r="CD41" s="33"/>
      <c r="CE41" s="33">
        <v>1</v>
      </c>
      <c r="CF41" s="33"/>
      <c r="CG41" s="33"/>
      <c r="CH41" s="33">
        <v>1</v>
      </c>
      <c r="CI41" s="33"/>
      <c r="CJ41" s="33"/>
      <c r="CK41" s="33"/>
      <c r="CL41" s="33">
        <v>1</v>
      </c>
      <c r="CM41" s="33"/>
      <c r="CN41" s="33"/>
      <c r="CO41" s="33">
        <v>1</v>
      </c>
      <c r="CP41" s="33"/>
      <c r="CQ41" s="33"/>
      <c r="CR41" s="33"/>
      <c r="CS41" s="33">
        <v>1</v>
      </c>
      <c r="CT41" s="33"/>
      <c r="CU41" s="33"/>
      <c r="CV41" s="33">
        <v>1</v>
      </c>
      <c r="CW41" s="33"/>
      <c r="CX41" s="33"/>
      <c r="CY41" s="33"/>
      <c r="CZ41" s="33">
        <v>1</v>
      </c>
      <c r="DA41" s="33"/>
      <c r="DB41" s="33"/>
      <c r="DC41" s="33">
        <v>1</v>
      </c>
      <c r="DD41" s="33"/>
      <c r="DE41" s="33"/>
      <c r="DF41" s="33"/>
      <c r="DG41" s="33">
        <v>1</v>
      </c>
      <c r="DH41" s="33"/>
      <c r="DI41" s="33"/>
      <c r="DJ41" s="33">
        <v>1</v>
      </c>
      <c r="DK41" s="33"/>
      <c r="DL41" s="33"/>
      <c r="DM41" s="33"/>
      <c r="DN41" s="33">
        <v>1</v>
      </c>
      <c r="DO41" s="33"/>
      <c r="DP41" s="33"/>
      <c r="DQ41" s="33">
        <v>1</v>
      </c>
      <c r="DR41" s="33"/>
      <c r="DS41" s="33"/>
      <c r="DT41" s="33"/>
      <c r="DU41" s="33">
        <v>1</v>
      </c>
      <c r="DV41" s="33"/>
      <c r="DW41" s="33"/>
      <c r="DX41" s="33">
        <v>1</v>
      </c>
      <c r="DY41" s="33"/>
      <c r="DZ41" s="33"/>
      <c r="EA41" s="33"/>
      <c r="EB41" s="33">
        <v>1</v>
      </c>
      <c r="EC41" s="33"/>
      <c r="ED41" s="33"/>
      <c r="EE41" s="33">
        <v>1</v>
      </c>
      <c r="EF41" s="33"/>
      <c r="EG41" s="33"/>
      <c r="EH41" s="33"/>
      <c r="EI41" s="33">
        <v>1</v>
      </c>
      <c r="EJ41" s="33"/>
      <c r="EK41" s="33"/>
      <c r="EL41" s="33">
        <v>1</v>
      </c>
      <c r="EM41" s="33"/>
      <c r="EN41" s="33"/>
      <c r="EO41" s="33"/>
      <c r="EP41" s="33">
        <v>1</v>
      </c>
      <c r="EQ41" s="33"/>
      <c r="ER41" s="33"/>
      <c r="ES41" s="33">
        <v>1</v>
      </c>
      <c r="ET41" s="33"/>
      <c r="EU41" s="33"/>
      <c r="EV41" s="33"/>
      <c r="EW41" s="33">
        <v>1</v>
      </c>
      <c r="EX41" s="33"/>
      <c r="EY41" s="33"/>
      <c r="EZ41" s="33">
        <v>1</v>
      </c>
      <c r="FA41" s="33"/>
      <c r="FB41" s="33"/>
      <c r="FC41" s="33"/>
      <c r="FD41" s="33">
        <v>1</v>
      </c>
      <c r="FE41" s="33"/>
      <c r="FF41" s="33"/>
      <c r="FG41" s="33">
        <v>1</v>
      </c>
      <c r="FH41" s="33"/>
      <c r="FI41" s="33"/>
      <c r="FJ41" s="33"/>
      <c r="FK41" s="33">
        <v>1</v>
      </c>
      <c r="FL41" s="33"/>
      <c r="FM41" s="33"/>
      <c r="FN41" s="33">
        <v>1</v>
      </c>
      <c r="FO41" s="33"/>
      <c r="FP41" s="33"/>
      <c r="FQ41" s="33"/>
      <c r="FR41" s="33">
        <v>1</v>
      </c>
      <c r="FS41" s="33"/>
      <c r="FT41" s="33"/>
      <c r="FU41" s="33">
        <v>1</v>
      </c>
      <c r="FV41" s="33"/>
      <c r="FW41" s="33"/>
      <c r="FX41" s="33"/>
      <c r="FY41" s="33">
        <v>1</v>
      </c>
      <c r="FZ41" s="33"/>
      <c r="GA41" s="33"/>
      <c r="GB41" s="33">
        <v>1</v>
      </c>
      <c r="GC41" s="33"/>
      <c r="GD41" s="33"/>
      <c r="GE41" s="33"/>
      <c r="GF41" s="33">
        <v>1</v>
      </c>
      <c r="GG41" s="33"/>
      <c r="GH41" s="33"/>
      <c r="GI41" s="33">
        <v>1</v>
      </c>
      <c r="GJ41" s="33"/>
      <c r="GK41" s="33"/>
      <c r="GL41" s="33"/>
      <c r="GM41" s="33">
        <v>1</v>
      </c>
      <c r="GN41" s="33"/>
      <c r="GO41" s="33"/>
      <c r="GP41" s="33">
        <v>1</v>
      </c>
      <c r="GQ41" s="33"/>
      <c r="GR41" s="33"/>
      <c r="GS41" s="33"/>
      <c r="GT41" s="33">
        <v>1</v>
      </c>
      <c r="GU41" s="33"/>
      <c r="GV41" s="33"/>
      <c r="GW41" s="33">
        <v>1</v>
      </c>
      <c r="GX41" s="33"/>
      <c r="GY41" s="33"/>
      <c r="GZ41" s="33"/>
      <c r="HA41" s="33">
        <v>1</v>
      </c>
      <c r="HB41" s="33"/>
      <c r="HC41" s="33"/>
      <c r="HD41" s="33">
        <v>1</v>
      </c>
      <c r="HE41" s="33"/>
      <c r="HF41" s="33"/>
      <c r="HG41" s="33"/>
      <c r="HH41" s="33">
        <v>1</v>
      </c>
      <c r="HI41" s="33"/>
      <c r="HJ41" s="33"/>
      <c r="HK41" s="33">
        <v>1</v>
      </c>
      <c r="HL41" s="33"/>
      <c r="HM41" s="33"/>
      <c r="HN41" s="33"/>
      <c r="HO41" s="33">
        <v>1</v>
      </c>
      <c r="HP41" s="33"/>
      <c r="HQ41" s="33"/>
      <c r="HR41" s="33">
        <v>1</v>
      </c>
      <c r="HS41" s="33"/>
      <c r="HT41" s="33"/>
      <c r="HU41" s="33"/>
      <c r="HV41" s="33">
        <v>1</v>
      </c>
      <c r="HW41" s="33"/>
      <c r="HX41" s="33"/>
      <c r="HY41" s="33">
        <v>1</v>
      </c>
      <c r="HZ41" s="33"/>
      <c r="IA41" s="33"/>
      <c r="IB41" s="33"/>
      <c r="IC41" s="33">
        <v>1</v>
      </c>
      <c r="ID41" s="33"/>
      <c r="IE41" s="33"/>
      <c r="IF41" s="33">
        <v>1</v>
      </c>
      <c r="IG41" s="33"/>
      <c r="IH41" s="33"/>
      <c r="II41" s="33"/>
      <c r="IJ41" s="33">
        <v>1</v>
      </c>
      <c r="IK41" s="33"/>
      <c r="IL41" s="33"/>
      <c r="IM41" s="33">
        <v>1</v>
      </c>
      <c r="IN41" s="33"/>
      <c r="IO41" s="33"/>
      <c r="IP41" s="33"/>
      <c r="IQ41" s="33">
        <v>1</v>
      </c>
      <c r="IR41" s="33"/>
      <c r="IS41" s="33"/>
      <c r="IT41" s="33">
        <v>1</v>
      </c>
      <c r="IU41" s="33"/>
      <c r="IV41" s="33"/>
      <c r="IW41" s="33"/>
      <c r="IX41" s="33">
        <v>1</v>
      </c>
      <c r="IY41" s="33"/>
      <c r="IZ41" s="33"/>
      <c r="JA41" s="33">
        <v>1</v>
      </c>
      <c r="JB41" s="33"/>
      <c r="JC41" s="33"/>
      <c r="JD41" s="33"/>
      <c r="JE41" s="33">
        <v>1</v>
      </c>
      <c r="JF41" s="33"/>
      <c r="JG41" s="33"/>
      <c r="JH41" s="33">
        <v>1</v>
      </c>
      <c r="JI41" s="33"/>
      <c r="JJ41" s="33"/>
      <c r="JK41" s="33"/>
      <c r="JL41" s="33">
        <v>1</v>
      </c>
      <c r="JM41" s="33"/>
      <c r="JN41" s="33"/>
      <c r="JO41" s="33">
        <v>1</v>
      </c>
      <c r="JP41" s="33"/>
      <c r="JQ41" s="33"/>
      <c r="JR41" s="33"/>
      <c r="JS41" s="33">
        <v>1</v>
      </c>
      <c r="JT41" s="33"/>
      <c r="JU41" s="33"/>
      <c r="JV41" s="33">
        <v>1</v>
      </c>
      <c r="JW41" s="33"/>
      <c r="JX41" s="33"/>
      <c r="JY41" s="33"/>
      <c r="JZ41" s="33">
        <v>1</v>
      </c>
      <c r="KA41" s="33"/>
      <c r="KB41" s="33"/>
      <c r="KC41" s="33">
        <v>1</v>
      </c>
      <c r="KD41" s="33"/>
      <c r="KE41" s="33"/>
      <c r="KF41" s="33"/>
      <c r="KG41" s="33">
        <v>1</v>
      </c>
      <c r="KH41" s="33"/>
      <c r="KI41" s="33"/>
      <c r="KJ41" s="33">
        <v>1</v>
      </c>
      <c r="KK41" s="33"/>
      <c r="KL41" s="33"/>
      <c r="KM41" s="33"/>
      <c r="KN41" s="33">
        <v>1</v>
      </c>
      <c r="KO41" s="33"/>
      <c r="KP41" s="33"/>
      <c r="KQ41" s="33">
        <v>1</v>
      </c>
      <c r="KR41" s="33"/>
      <c r="KS41" s="33"/>
      <c r="KT41" s="33"/>
      <c r="KU41" s="33">
        <v>1</v>
      </c>
      <c r="KV41" s="33"/>
      <c r="KW41" s="33"/>
      <c r="KX41" s="33">
        <v>1</v>
      </c>
      <c r="KY41" s="33"/>
      <c r="KZ41" s="33"/>
      <c r="LA41" s="33"/>
      <c r="LB41" s="33">
        <v>1</v>
      </c>
      <c r="LC41" s="33"/>
      <c r="LD41" s="33"/>
      <c r="LE41" s="33">
        <v>1</v>
      </c>
      <c r="LF41" s="33"/>
      <c r="LG41" s="33"/>
      <c r="LH41" s="33"/>
      <c r="LI41" s="33">
        <v>1</v>
      </c>
      <c r="LJ41" s="33"/>
      <c r="LK41" s="33"/>
      <c r="LL41" s="33">
        <v>1</v>
      </c>
      <c r="LM41" s="33"/>
      <c r="LN41" s="33"/>
      <c r="LO41" s="33"/>
      <c r="LP41" s="33">
        <v>1</v>
      </c>
      <c r="LQ41" s="33"/>
      <c r="LR41" s="33"/>
      <c r="LS41" s="33">
        <v>1</v>
      </c>
      <c r="LT41" s="33"/>
      <c r="LU41" s="33"/>
      <c r="LV41" s="33"/>
      <c r="LW41" s="33">
        <v>1</v>
      </c>
      <c r="LX41" s="33"/>
      <c r="LY41" s="33"/>
      <c r="LZ41" s="33">
        <v>1</v>
      </c>
      <c r="MA41" s="33"/>
      <c r="MB41" s="33"/>
      <c r="MC41" s="33"/>
      <c r="MD41" s="33">
        <v>1</v>
      </c>
      <c r="ME41" s="33"/>
      <c r="MF41" s="33"/>
      <c r="MG41" s="33">
        <v>1</v>
      </c>
      <c r="MH41" s="33"/>
      <c r="MI41" s="33"/>
      <c r="MJ41" s="33"/>
      <c r="MK41" s="33">
        <v>1</v>
      </c>
      <c r="ML41" s="33"/>
      <c r="MM41" s="33"/>
      <c r="MN41" s="33">
        <v>1</v>
      </c>
      <c r="MO41" s="33"/>
      <c r="MP41" s="33"/>
      <c r="MQ41" s="33"/>
      <c r="MR41" s="33">
        <v>1</v>
      </c>
      <c r="MS41" s="33"/>
      <c r="MT41" s="33"/>
      <c r="MU41" s="33">
        <v>1</v>
      </c>
      <c r="MV41" s="33"/>
      <c r="MW41" s="33"/>
      <c r="MX41" s="33"/>
      <c r="MY41" s="33">
        <v>1</v>
      </c>
      <c r="MZ41" s="33"/>
      <c r="NA41" s="33"/>
      <c r="NB41" s="33">
        <v>1</v>
      </c>
      <c r="NC41" s="33"/>
      <c r="ND41" s="33"/>
      <c r="NE41" s="33"/>
      <c r="NF41" s="33">
        <v>1</v>
      </c>
      <c r="NG41" s="33"/>
      <c r="NH41" s="33"/>
      <c r="NI41" s="33">
        <v>1</v>
      </c>
      <c r="NJ41" s="33"/>
      <c r="NK41" s="33"/>
      <c r="NL41" s="33"/>
      <c r="NM41" s="33">
        <v>1</v>
      </c>
      <c r="NN41" s="33"/>
      <c r="NO41" s="33"/>
      <c r="NP41" s="33">
        <v>1</v>
      </c>
      <c r="NQ41" s="33"/>
      <c r="NR41" s="33"/>
      <c r="NS41" s="33"/>
      <c r="NT41" s="31">
        <f>COUNTIF(F41:NS41,"1")</f>
        <v>99</v>
      </c>
      <c r="NU41" s="73">
        <f>NT42/NT41</f>
        <v>3.0303030303030304E-2</v>
      </c>
      <c r="NV41" s="29" t="str">
        <f>+IF(NX41&gt;=1,"1",0)</f>
        <v>1</v>
      </c>
      <c r="NW41" s="38">
        <f>MOD(ROW(NW41),2)</f>
        <v>1</v>
      </c>
      <c r="NX41" s="35">
        <f>COUNTIF(F41:AU41,"1")</f>
        <v>3</v>
      </c>
      <c r="NY41" s="73">
        <f>NX42/NX41</f>
        <v>1</v>
      </c>
      <c r="NZ41" s="29" t="str">
        <f>+IF(OB41&gt;=1,"1",0)</f>
        <v>1</v>
      </c>
      <c r="OA41" s="38">
        <f>MOD(ROW(OA41),2)</f>
        <v>1</v>
      </c>
      <c r="OB41" s="35">
        <f>COUNTIF(AV41:CK41,"1")</f>
        <v>12</v>
      </c>
      <c r="OC41" s="73">
        <f>OB42/OB41</f>
        <v>0</v>
      </c>
      <c r="OD41" s="29" t="str">
        <f>+IF(OF41&gt;=1,"1",0)</f>
        <v>1</v>
      </c>
      <c r="OE41" s="38">
        <f>MOD(ROW(OE41),2)</f>
        <v>1</v>
      </c>
      <c r="OF41" s="35">
        <f>COUNTIF(CL41:EA41,"1")</f>
        <v>12</v>
      </c>
      <c r="OG41" s="73">
        <f>OF42/OF41</f>
        <v>0</v>
      </c>
      <c r="OH41" s="29" t="str">
        <f>+IF(OJ41&gt;=1,"1",0)</f>
        <v>1</v>
      </c>
      <c r="OI41" s="38">
        <f>MOD(ROW(OI41),2)</f>
        <v>1</v>
      </c>
      <c r="OJ41" s="35">
        <f>COUNTIF(EB41:FQ41,"1")</f>
        <v>12</v>
      </c>
      <c r="OK41" s="79">
        <f>OJ42/OJ41</f>
        <v>0</v>
      </c>
      <c r="OL41" s="29" t="str">
        <f>+IF(ON41&gt;=1,"1",0)</f>
        <v>1</v>
      </c>
      <c r="OM41" s="38">
        <f>MOD(ROW(OM41),2)</f>
        <v>1</v>
      </c>
      <c r="ON41" s="35">
        <f>COUNTIF(FR41:HG41,"1")</f>
        <v>12</v>
      </c>
      <c r="OO41" s="79">
        <f>ON42/ON41</f>
        <v>0</v>
      </c>
      <c r="OP41" s="29" t="str">
        <f>+IF(OR41&gt;=1,"1",0)</f>
        <v>1</v>
      </c>
      <c r="OQ41" s="38">
        <f>MOD(ROW(OQ41),2)</f>
        <v>1</v>
      </c>
      <c r="OR41" s="35">
        <f>COUNTIF(HH41:IW41,"1")</f>
        <v>12</v>
      </c>
      <c r="OS41" s="79">
        <f>OR42/OR41</f>
        <v>0</v>
      </c>
      <c r="OT41" s="29" t="str">
        <f>+IF(OV41&gt;=1,"1",0)</f>
        <v>1</v>
      </c>
      <c r="OU41" s="38">
        <f>MOD(ROW(OU41),2)</f>
        <v>1</v>
      </c>
      <c r="OV41" s="35">
        <f>COUNTIF(IX41:KM41,"1")</f>
        <v>12</v>
      </c>
      <c r="OW41" s="79">
        <f>OV42/OV41</f>
        <v>0</v>
      </c>
      <c r="OX41" s="29" t="str">
        <f>+IF(OZ41&gt;=1,"1",0)</f>
        <v>1</v>
      </c>
      <c r="OY41" s="38">
        <f>MOD(ROW(OY41),2)</f>
        <v>1</v>
      </c>
      <c r="OZ41" s="35">
        <f>COUNTIF(KN41:MC41,"1")</f>
        <v>12</v>
      </c>
      <c r="PA41" s="79">
        <f>OZ42/OZ41</f>
        <v>0</v>
      </c>
      <c r="PB41" s="29" t="str">
        <f>+IF(PD41&gt;=1,"1",0)</f>
        <v>1</v>
      </c>
      <c r="PC41" s="38">
        <f>MOD(ROW(PC41),2)</f>
        <v>1</v>
      </c>
      <c r="PD41" s="35">
        <f>COUNTIF(MD41:NS41,"1")</f>
        <v>12</v>
      </c>
      <c r="PE41" s="79">
        <f>PD42/PD41</f>
        <v>0</v>
      </c>
    </row>
    <row r="42" spans="3:421" ht="15.75" customHeight="1" outlineLevel="1" thickBot="1" x14ac:dyDescent="0.3">
      <c r="C42" s="87"/>
      <c r="D42" s="91"/>
      <c r="E42" s="54" t="s">
        <v>9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70"/>
      <c r="Q42" s="34"/>
      <c r="R42" s="34"/>
      <c r="S42" s="34"/>
      <c r="T42" s="34"/>
      <c r="U42" s="34"/>
      <c r="V42" s="34"/>
      <c r="W42" s="70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 t="s">
        <v>75</v>
      </c>
      <c r="AI42" s="34"/>
      <c r="AJ42" s="34"/>
      <c r="AK42" s="34" t="s">
        <v>75</v>
      </c>
      <c r="AL42" s="34"/>
      <c r="AM42" s="34"/>
      <c r="AN42" s="34"/>
      <c r="AO42" s="34"/>
      <c r="AP42" s="34"/>
      <c r="AQ42" s="34"/>
      <c r="AR42" s="34" t="s">
        <v>116</v>
      </c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4"/>
      <c r="HH42" s="34"/>
      <c r="HI42" s="34"/>
      <c r="HJ42" s="34"/>
      <c r="HK42" s="34"/>
      <c r="HL42" s="34"/>
      <c r="HM42" s="34"/>
      <c r="HN42" s="34"/>
      <c r="HO42" s="34"/>
      <c r="HP42" s="34"/>
      <c r="HQ42" s="34"/>
      <c r="HR42" s="34"/>
      <c r="HS42" s="34"/>
      <c r="HT42" s="34"/>
      <c r="HU42" s="34"/>
      <c r="HV42" s="34"/>
      <c r="HW42" s="34"/>
      <c r="HX42" s="34"/>
      <c r="HY42" s="34"/>
      <c r="HZ42" s="34"/>
      <c r="IA42" s="34"/>
      <c r="IB42" s="34"/>
      <c r="IC42" s="34"/>
      <c r="ID42" s="34"/>
      <c r="IE42" s="34"/>
      <c r="IF42" s="34"/>
      <c r="IG42" s="34"/>
      <c r="IH42" s="34"/>
      <c r="II42" s="34"/>
      <c r="IJ42" s="34"/>
      <c r="IK42" s="34"/>
      <c r="IL42" s="34"/>
      <c r="IM42" s="34"/>
      <c r="IN42" s="34"/>
      <c r="IO42" s="34"/>
      <c r="IP42" s="34"/>
      <c r="IQ42" s="34"/>
      <c r="IR42" s="34"/>
      <c r="IS42" s="34"/>
      <c r="IT42" s="34"/>
      <c r="IU42" s="34"/>
      <c r="IV42" s="34"/>
      <c r="IW42" s="34"/>
      <c r="IX42" s="34"/>
      <c r="IY42" s="34"/>
      <c r="IZ42" s="34"/>
      <c r="JA42" s="34"/>
      <c r="JB42" s="34"/>
      <c r="JC42" s="34"/>
      <c r="JD42" s="34"/>
      <c r="JE42" s="34"/>
      <c r="JF42" s="34"/>
      <c r="JG42" s="34"/>
      <c r="JH42" s="34"/>
      <c r="JI42" s="34"/>
      <c r="JJ42" s="34"/>
      <c r="JK42" s="34"/>
      <c r="JL42" s="34"/>
      <c r="JM42" s="34"/>
      <c r="JN42" s="34"/>
      <c r="JO42" s="34"/>
      <c r="JP42" s="34"/>
      <c r="JQ42" s="34"/>
      <c r="JR42" s="34"/>
      <c r="JS42" s="34"/>
      <c r="JT42" s="34"/>
      <c r="JU42" s="34"/>
      <c r="JV42" s="34"/>
      <c r="JW42" s="34"/>
      <c r="JX42" s="34"/>
      <c r="JY42" s="34"/>
      <c r="JZ42" s="34"/>
      <c r="KA42" s="34"/>
      <c r="KB42" s="34"/>
      <c r="KC42" s="34"/>
      <c r="KD42" s="34"/>
      <c r="KE42" s="34"/>
      <c r="KF42" s="34"/>
      <c r="KG42" s="34"/>
      <c r="KH42" s="34"/>
      <c r="KI42" s="34"/>
      <c r="KJ42" s="34"/>
      <c r="KK42" s="34"/>
      <c r="KL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  <c r="KW42" s="34"/>
      <c r="KX42" s="34"/>
      <c r="KY42" s="34"/>
      <c r="KZ42" s="34"/>
      <c r="LA42" s="34"/>
      <c r="LB42" s="34"/>
      <c r="LC42" s="34"/>
      <c r="LD42" s="34"/>
      <c r="LE42" s="34"/>
      <c r="LF42" s="34"/>
      <c r="LG42" s="34"/>
      <c r="LH42" s="34"/>
      <c r="LI42" s="34"/>
      <c r="LJ42" s="34"/>
      <c r="LK42" s="34"/>
      <c r="LL42" s="34"/>
      <c r="LM42" s="34"/>
      <c r="LN42" s="34"/>
      <c r="LO42" s="34"/>
      <c r="LP42" s="34"/>
      <c r="LQ42" s="34"/>
      <c r="LR42" s="34"/>
      <c r="LS42" s="34"/>
      <c r="LT42" s="34"/>
      <c r="LU42" s="34"/>
      <c r="LV42" s="34"/>
      <c r="LW42" s="34"/>
      <c r="LX42" s="34"/>
      <c r="LY42" s="34"/>
      <c r="LZ42" s="34"/>
      <c r="MA42" s="34"/>
      <c r="MB42" s="34"/>
      <c r="MC42" s="34"/>
      <c r="MD42" s="34"/>
      <c r="ME42" s="34"/>
      <c r="MF42" s="34"/>
      <c r="MG42" s="34"/>
      <c r="MH42" s="34"/>
      <c r="MI42" s="34"/>
      <c r="MJ42" s="34"/>
      <c r="MK42" s="34"/>
      <c r="ML42" s="34"/>
      <c r="MM42" s="34"/>
      <c r="MN42" s="34"/>
      <c r="MO42" s="34"/>
      <c r="MP42" s="34"/>
      <c r="MQ42" s="34"/>
      <c r="MR42" s="34"/>
      <c r="MS42" s="34"/>
      <c r="MT42" s="34"/>
      <c r="MU42" s="34"/>
      <c r="MV42" s="34"/>
      <c r="MW42" s="34"/>
      <c r="MX42" s="34"/>
      <c r="MY42" s="34"/>
      <c r="MZ42" s="34"/>
      <c r="NA42" s="34"/>
      <c r="NB42" s="34"/>
      <c r="NC42" s="34"/>
      <c r="ND42" s="34"/>
      <c r="NE42" s="34"/>
      <c r="NF42" s="34"/>
      <c r="NG42" s="34"/>
      <c r="NH42" s="34"/>
      <c r="NI42" s="34"/>
      <c r="NJ42" s="34"/>
      <c r="NK42" s="34"/>
      <c r="NL42" s="34"/>
      <c r="NM42" s="34"/>
      <c r="NN42" s="34"/>
      <c r="NO42" s="34"/>
      <c r="NP42" s="34"/>
      <c r="NQ42" s="34"/>
      <c r="NR42" s="34"/>
      <c r="NS42" s="34"/>
      <c r="NT42" s="7">
        <f>COUNTIF(F42:NS42,"x")</f>
        <v>3</v>
      </c>
      <c r="NU42" s="74"/>
      <c r="NV42" s="32">
        <f>IF(NX42=0,"0",NX42/NX41)</f>
        <v>1</v>
      </c>
      <c r="NW42" s="37">
        <f>MOD(ROW(NW42),2)</f>
        <v>0</v>
      </c>
      <c r="NX42" s="36">
        <f>COUNTIF(F42:AU42,"x")</f>
        <v>3</v>
      </c>
      <c r="NY42" s="74"/>
      <c r="NZ42" s="32" t="str">
        <f>IF(OB42=0,"0",OB42/OB41)</f>
        <v>0</v>
      </c>
      <c r="OA42" s="37">
        <f>MOD(ROW(OA42),2)</f>
        <v>0</v>
      </c>
      <c r="OB42" s="36">
        <f>COUNTIF(AV42:CK42,"x")</f>
        <v>0</v>
      </c>
      <c r="OC42" s="74"/>
      <c r="OD42" s="32" t="str">
        <f>IF(OF42=0,"0",OF42/OF41)</f>
        <v>0</v>
      </c>
      <c r="OE42" s="37">
        <f>MOD(ROW(OE42),2)</f>
        <v>0</v>
      </c>
      <c r="OF42" s="36">
        <f>COUNTIF(CL42:EA42,"x")</f>
        <v>0</v>
      </c>
      <c r="OG42" s="74"/>
      <c r="OH42" s="32" t="str">
        <f>IF(OJ42=0,"0",OJ42/OJ41)</f>
        <v>0</v>
      </c>
      <c r="OI42" s="37">
        <f>MOD(ROW(OI42),2)</f>
        <v>0</v>
      </c>
      <c r="OJ42" s="36">
        <f>COUNTIF(EB42:FQ42,"x")</f>
        <v>0</v>
      </c>
      <c r="OK42" s="74"/>
      <c r="OL42" s="32" t="str">
        <f>IF(ON42=0,"0",ON42/ON41)</f>
        <v>0</v>
      </c>
      <c r="OM42" s="37">
        <f>MOD(ROW(OM42),2)</f>
        <v>0</v>
      </c>
      <c r="ON42" s="36">
        <f>COUNTIF(FR42:HG42,"x")</f>
        <v>0</v>
      </c>
      <c r="OO42" s="74"/>
      <c r="OP42" s="32" t="str">
        <f>IF(OR42=0,"0",OR42/OR41)</f>
        <v>0</v>
      </c>
      <c r="OQ42" s="37">
        <f>MOD(ROW(OQ42),2)</f>
        <v>0</v>
      </c>
      <c r="OR42" s="36">
        <f>COUNTIF(HH42:IW42,"x")</f>
        <v>0</v>
      </c>
      <c r="OS42" s="74"/>
      <c r="OT42" s="32" t="str">
        <f>IF(OV42=0,"0",OV42/OV41)</f>
        <v>0</v>
      </c>
      <c r="OU42" s="37">
        <f>MOD(ROW(OU42),2)</f>
        <v>0</v>
      </c>
      <c r="OV42" s="36">
        <f>COUNTIF(IX42:KM42,"x")</f>
        <v>0</v>
      </c>
      <c r="OW42" s="74"/>
      <c r="OX42" s="32" t="str">
        <f>IF(OZ42=0,"0",OZ42/OZ41)</f>
        <v>0</v>
      </c>
      <c r="OY42" s="37">
        <f>MOD(ROW(OY42),2)</f>
        <v>0</v>
      </c>
      <c r="OZ42" s="36">
        <f>COUNTIF(KN42:MC42,"x")</f>
        <v>0</v>
      </c>
      <c r="PA42" s="74"/>
      <c r="PB42" s="32" t="str">
        <f>IF(PD42=0,"0",PD42/PD41)</f>
        <v>0</v>
      </c>
      <c r="PC42" s="37">
        <f>MOD(ROW(PC42),2)</f>
        <v>0</v>
      </c>
      <c r="PD42" s="36">
        <f>COUNTIF(MD42:NS42,"x")</f>
        <v>0</v>
      </c>
      <c r="PE42" s="74"/>
    </row>
    <row r="43" spans="3:421" ht="15.75" customHeight="1" outlineLevel="1" x14ac:dyDescent="0.25">
      <c r="C43" s="88" t="s">
        <v>49</v>
      </c>
      <c r="D43" s="119" t="s">
        <v>92</v>
      </c>
      <c r="E43" s="53" t="s">
        <v>8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69"/>
      <c r="Q43" s="33"/>
      <c r="R43" s="33"/>
      <c r="S43" s="33"/>
      <c r="T43" s="33"/>
      <c r="U43" s="33"/>
      <c r="V43" s="33"/>
      <c r="W43" s="69"/>
      <c r="X43" s="33"/>
      <c r="Y43" s="33"/>
      <c r="Z43" s="33"/>
      <c r="AA43" s="33"/>
      <c r="AB43" s="33"/>
      <c r="AC43" s="33"/>
      <c r="AD43" s="33"/>
      <c r="AE43" s="33"/>
      <c r="AF43" s="33"/>
      <c r="AG43" s="33">
        <v>1</v>
      </c>
      <c r="AH43" s="33">
        <v>1</v>
      </c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>
        <v>1</v>
      </c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>
        <v>1</v>
      </c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>
        <v>1</v>
      </c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>
        <v>1</v>
      </c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>
        <v>1</v>
      </c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>
        <v>1</v>
      </c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  <c r="JW43" s="33"/>
      <c r="JX43" s="33"/>
      <c r="JY43" s="33"/>
      <c r="JZ43" s="33"/>
      <c r="KA43" s="33"/>
      <c r="KB43" s="33"/>
      <c r="KC43" s="33"/>
      <c r="KD43" s="33">
        <v>1</v>
      </c>
      <c r="KE43" s="33"/>
      <c r="KF43" s="33"/>
      <c r="KG43" s="33"/>
      <c r="KH43" s="33"/>
      <c r="KI43" s="33"/>
      <c r="KJ43" s="33"/>
      <c r="KK43" s="33"/>
      <c r="KL43" s="33"/>
      <c r="KM43" s="33"/>
      <c r="KN43" s="33"/>
      <c r="KO43" s="33"/>
      <c r="KP43" s="33"/>
      <c r="KQ43" s="33"/>
      <c r="KR43" s="33"/>
      <c r="KS43" s="33"/>
      <c r="KT43" s="33"/>
      <c r="KU43" s="33"/>
      <c r="KV43" s="33"/>
      <c r="KW43" s="33"/>
      <c r="KX43" s="33"/>
      <c r="KY43" s="33"/>
      <c r="KZ43" s="33"/>
      <c r="LA43" s="33"/>
      <c r="LB43" s="33"/>
      <c r="LC43" s="33"/>
      <c r="LD43" s="33"/>
      <c r="LE43" s="33"/>
      <c r="LF43" s="33"/>
      <c r="LG43" s="33"/>
      <c r="LH43" s="33"/>
      <c r="LI43" s="33"/>
      <c r="LJ43" s="33"/>
      <c r="LK43" s="33"/>
      <c r="LL43" s="33"/>
      <c r="LM43" s="33">
        <v>1</v>
      </c>
      <c r="LN43" s="33"/>
      <c r="LO43" s="33"/>
      <c r="LP43" s="33"/>
      <c r="LQ43" s="33"/>
      <c r="LR43" s="33"/>
      <c r="LS43" s="33"/>
      <c r="LT43" s="33"/>
      <c r="LU43" s="33"/>
      <c r="LV43" s="33"/>
      <c r="LW43" s="33"/>
      <c r="LX43" s="33"/>
      <c r="LY43" s="33"/>
      <c r="LZ43" s="33"/>
      <c r="MA43" s="33"/>
      <c r="MB43" s="33"/>
      <c r="MC43" s="33"/>
      <c r="MD43" s="33"/>
      <c r="ME43" s="33"/>
      <c r="MF43" s="33"/>
      <c r="MG43" s="33"/>
      <c r="MH43" s="33"/>
      <c r="MI43" s="33"/>
      <c r="MJ43" s="33"/>
      <c r="MK43" s="33"/>
      <c r="ML43" s="33"/>
      <c r="MM43" s="33"/>
      <c r="MN43" s="33"/>
      <c r="MO43" s="33"/>
      <c r="MP43" s="33"/>
      <c r="MQ43" s="33"/>
      <c r="MR43" s="33"/>
      <c r="MS43" s="33"/>
      <c r="MT43" s="33"/>
      <c r="MU43" s="33"/>
      <c r="MV43" s="33">
        <v>1</v>
      </c>
      <c r="MW43" s="33"/>
      <c r="MX43" s="33"/>
      <c r="MY43" s="33"/>
      <c r="MZ43" s="33"/>
      <c r="NA43" s="33"/>
      <c r="NB43" s="33"/>
      <c r="NC43" s="33"/>
      <c r="ND43" s="33"/>
      <c r="NE43" s="33"/>
      <c r="NF43" s="33"/>
      <c r="NG43" s="33"/>
      <c r="NH43" s="33"/>
      <c r="NI43" s="33"/>
      <c r="NJ43" s="33"/>
      <c r="NK43" s="33"/>
      <c r="NL43" s="33"/>
      <c r="NM43" s="33"/>
      <c r="NN43" s="33"/>
      <c r="NO43" s="33"/>
      <c r="NP43" s="33"/>
      <c r="NQ43" s="33"/>
      <c r="NR43" s="33"/>
      <c r="NS43" s="33"/>
      <c r="NT43" s="31">
        <f>COUNTIF(F43:NS43,"1")</f>
        <v>11</v>
      </c>
      <c r="NU43" s="80">
        <f>NT44/NT43</f>
        <v>0.18181818181818182</v>
      </c>
      <c r="NV43" s="29" t="str">
        <f>+IF(NX43&gt;=1,"1",0)</f>
        <v>1</v>
      </c>
      <c r="NW43" s="38">
        <f>MOD(ROW(NW43),2)</f>
        <v>1</v>
      </c>
      <c r="NX43" s="35">
        <f>COUNTIF(F43:AU43,"1")</f>
        <v>2</v>
      </c>
      <c r="NY43" s="80">
        <f>NX44/NX43</f>
        <v>1</v>
      </c>
      <c r="NZ43" s="29" t="str">
        <f>+IF(OB43&gt;=1,"1",0)</f>
        <v>1</v>
      </c>
      <c r="OA43" s="38">
        <f>MOD(ROW(OA43),2)</f>
        <v>1</v>
      </c>
      <c r="OB43" s="35">
        <f>COUNTIF(AV43:CK43,"1")</f>
        <v>1</v>
      </c>
      <c r="OC43" s="80">
        <f>OB44/OB43</f>
        <v>0</v>
      </c>
      <c r="OD43" s="29" t="str">
        <f>+IF(OF43&gt;=1,"1",0)</f>
        <v>1</v>
      </c>
      <c r="OE43" s="38">
        <f>MOD(ROW(OE43),2)</f>
        <v>1</v>
      </c>
      <c r="OF43" s="35">
        <f>COUNTIF(CL43:EA43,"1")</f>
        <v>1</v>
      </c>
      <c r="OG43" s="80">
        <f>OF44/OF43</f>
        <v>0</v>
      </c>
      <c r="OH43" s="29" t="str">
        <f>+IF(OJ43&gt;=1,"1",0)</f>
        <v>1</v>
      </c>
      <c r="OI43" s="38">
        <f>MOD(ROW(OI43),2)</f>
        <v>1</v>
      </c>
      <c r="OJ43" s="45">
        <f>COUNTIF(EB43:FQ43,"1")</f>
        <v>1</v>
      </c>
      <c r="OK43" s="79">
        <f>OJ44/OJ43</f>
        <v>0</v>
      </c>
      <c r="OL43" s="29" t="str">
        <f>+IF(ON43&gt;=1,"1",0)</f>
        <v>1</v>
      </c>
      <c r="OM43" s="38">
        <f>MOD(ROW(OM43),2)</f>
        <v>1</v>
      </c>
      <c r="ON43" s="35">
        <f>COUNTIF(FR43:HG43,"1")</f>
        <v>1</v>
      </c>
      <c r="OO43" s="79">
        <f>ON44/ON43</f>
        <v>0</v>
      </c>
      <c r="OP43" s="29" t="str">
        <f>+IF(OR43&gt;=1,"1",0)</f>
        <v>1</v>
      </c>
      <c r="OQ43" s="38">
        <f>MOD(ROW(OQ43),2)</f>
        <v>1</v>
      </c>
      <c r="OR43" s="35">
        <f>COUNTIF(HH43:IW43,"1")</f>
        <v>2</v>
      </c>
      <c r="OS43" s="79">
        <f>OR44/OR43</f>
        <v>0</v>
      </c>
      <c r="OT43" s="29" t="str">
        <f>+IF(OV43&gt;=1,"1",0)</f>
        <v>1</v>
      </c>
      <c r="OU43" s="38">
        <f>MOD(ROW(OU43),2)</f>
        <v>1</v>
      </c>
      <c r="OV43" s="35">
        <f>COUNTIF(IX43:KM43,"1")</f>
        <v>1</v>
      </c>
      <c r="OW43" s="79">
        <f>OV44/OV43</f>
        <v>0</v>
      </c>
      <c r="OX43" s="29" t="str">
        <f>+IF(OZ43&gt;=1,"1",0)</f>
        <v>1</v>
      </c>
      <c r="OY43" s="38">
        <f>MOD(ROW(OY43),2)</f>
        <v>1</v>
      </c>
      <c r="OZ43" s="35">
        <f>COUNTIF(KN43:MC43,"1")</f>
        <v>1</v>
      </c>
      <c r="PA43" s="79">
        <f>OZ44/OZ43</f>
        <v>0</v>
      </c>
      <c r="PB43" s="29" t="str">
        <f>+IF(PD43&gt;=1,"1",0)</f>
        <v>1</v>
      </c>
      <c r="PC43" s="38">
        <f>MOD(ROW(PC43),2)</f>
        <v>1</v>
      </c>
      <c r="PD43" s="35">
        <f>COUNTIF(MD43:NS43,"1")</f>
        <v>1</v>
      </c>
      <c r="PE43" s="79">
        <f>PD44/PD43</f>
        <v>0</v>
      </c>
    </row>
    <row r="44" spans="3:421" ht="15.75" customHeight="1" outlineLevel="1" thickBot="1" x14ac:dyDescent="0.3">
      <c r="C44" s="89"/>
      <c r="D44" s="120"/>
      <c r="E44" s="54" t="s">
        <v>9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70"/>
      <c r="Q44" s="34"/>
      <c r="R44" s="34"/>
      <c r="S44" s="34"/>
      <c r="T44" s="34"/>
      <c r="U44" s="34"/>
      <c r="V44" s="34"/>
      <c r="W44" s="70"/>
      <c r="X44" s="34"/>
      <c r="Y44" s="34"/>
      <c r="Z44" s="34"/>
      <c r="AA44" s="34"/>
      <c r="AB44" s="34"/>
      <c r="AC44" s="34"/>
      <c r="AD44" s="34"/>
      <c r="AE44" s="34"/>
      <c r="AF44" s="34"/>
      <c r="AG44" s="34" t="s">
        <v>75</v>
      </c>
      <c r="AH44" s="34" t="s">
        <v>75</v>
      </c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  <c r="HB44" s="34"/>
      <c r="HC44" s="34"/>
      <c r="HD44" s="34"/>
      <c r="HE44" s="34"/>
      <c r="HF44" s="34"/>
      <c r="HG44" s="34"/>
      <c r="HH44" s="34"/>
      <c r="HI44" s="34"/>
      <c r="HJ44" s="34"/>
      <c r="HK44" s="34"/>
      <c r="HL44" s="34"/>
      <c r="HM44" s="34"/>
      <c r="HN44" s="34"/>
      <c r="HO44" s="34"/>
      <c r="HP44" s="34"/>
      <c r="HQ44" s="34"/>
      <c r="HR44" s="34"/>
      <c r="HS44" s="34"/>
      <c r="HT44" s="34"/>
      <c r="HU44" s="34"/>
      <c r="HV44" s="34"/>
      <c r="HW44" s="34"/>
      <c r="HX44" s="34"/>
      <c r="HY44" s="34"/>
      <c r="HZ44" s="34"/>
      <c r="IA44" s="34"/>
      <c r="IB44" s="34"/>
      <c r="IC44" s="34"/>
      <c r="ID44" s="34"/>
      <c r="IE44" s="34"/>
      <c r="IF44" s="34"/>
      <c r="IG44" s="34"/>
      <c r="IH44" s="34"/>
      <c r="II44" s="34"/>
      <c r="IJ44" s="34"/>
      <c r="IK44" s="34"/>
      <c r="IL44" s="34"/>
      <c r="IM44" s="34"/>
      <c r="IN44" s="34"/>
      <c r="IO44" s="34"/>
      <c r="IP44" s="34"/>
      <c r="IQ44" s="34"/>
      <c r="IR44" s="34"/>
      <c r="IS44" s="34"/>
      <c r="IT44" s="34"/>
      <c r="IU44" s="34"/>
      <c r="IV44" s="34"/>
      <c r="IW44" s="34"/>
      <c r="IX44" s="34"/>
      <c r="IY44" s="34"/>
      <c r="IZ44" s="34"/>
      <c r="JA44" s="34"/>
      <c r="JB44" s="34"/>
      <c r="JC44" s="34"/>
      <c r="JD44" s="34"/>
      <c r="JE44" s="34"/>
      <c r="JF44" s="34"/>
      <c r="JG44" s="34"/>
      <c r="JH44" s="34"/>
      <c r="JI44" s="34"/>
      <c r="JJ44" s="34"/>
      <c r="JK44" s="34"/>
      <c r="JL44" s="34"/>
      <c r="JM44" s="34"/>
      <c r="JN44" s="34"/>
      <c r="JO44" s="34"/>
      <c r="JP44" s="34"/>
      <c r="JQ44" s="34"/>
      <c r="JR44" s="34"/>
      <c r="JS44" s="34"/>
      <c r="JT44" s="34"/>
      <c r="JU44" s="34"/>
      <c r="JV44" s="34"/>
      <c r="JW44" s="34"/>
      <c r="JX44" s="34"/>
      <c r="JY44" s="34"/>
      <c r="JZ44" s="34"/>
      <c r="KA44" s="34"/>
      <c r="KB44" s="34"/>
      <c r="KC44" s="34"/>
      <c r="KD44" s="34"/>
      <c r="KE44" s="34"/>
      <c r="KF44" s="34"/>
      <c r="KG44" s="34"/>
      <c r="KH44" s="34"/>
      <c r="KI44" s="34"/>
      <c r="KJ44" s="34"/>
      <c r="KK44" s="34"/>
      <c r="KL44" s="34"/>
      <c r="KM44" s="34"/>
      <c r="KN44" s="34"/>
      <c r="KO44" s="34"/>
      <c r="KP44" s="34"/>
      <c r="KQ44" s="34"/>
      <c r="KR44" s="34"/>
      <c r="KS44" s="34"/>
      <c r="KT44" s="34"/>
      <c r="KU44" s="34"/>
      <c r="KV44" s="34"/>
      <c r="KW44" s="34"/>
      <c r="KX44" s="34"/>
      <c r="KY44" s="34"/>
      <c r="KZ44" s="34"/>
      <c r="LA44" s="34"/>
      <c r="LB44" s="34"/>
      <c r="LC44" s="34"/>
      <c r="LD44" s="34"/>
      <c r="LE44" s="34"/>
      <c r="LF44" s="34"/>
      <c r="LG44" s="34"/>
      <c r="LH44" s="34"/>
      <c r="LI44" s="34"/>
      <c r="LJ44" s="34"/>
      <c r="LK44" s="34"/>
      <c r="LL44" s="34"/>
      <c r="LM44" s="34"/>
      <c r="LN44" s="34"/>
      <c r="LO44" s="34"/>
      <c r="LP44" s="34"/>
      <c r="LQ44" s="34"/>
      <c r="LR44" s="34"/>
      <c r="LS44" s="34"/>
      <c r="LT44" s="34"/>
      <c r="LU44" s="34"/>
      <c r="LV44" s="34"/>
      <c r="LW44" s="34"/>
      <c r="LX44" s="34"/>
      <c r="LY44" s="34"/>
      <c r="LZ44" s="34"/>
      <c r="MA44" s="34"/>
      <c r="MB44" s="34"/>
      <c r="MC44" s="34"/>
      <c r="MD44" s="34"/>
      <c r="ME44" s="34"/>
      <c r="MF44" s="34"/>
      <c r="MG44" s="34"/>
      <c r="MH44" s="34"/>
      <c r="MI44" s="34"/>
      <c r="MJ44" s="34"/>
      <c r="MK44" s="34"/>
      <c r="ML44" s="34"/>
      <c r="MM44" s="34"/>
      <c r="MN44" s="34"/>
      <c r="MO44" s="34"/>
      <c r="MP44" s="34"/>
      <c r="MQ44" s="34"/>
      <c r="MR44" s="34"/>
      <c r="MS44" s="34"/>
      <c r="MT44" s="34"/>
      <c r="MU44" s="34"/>
      <c r="MV44" s="34"/>
      <c r="MW44" s="34"/>
      <c r="MX44" s="34"/>
      <c r="MY44" s="34"/>
      <c r="MZ44" s="34"/>
      <c r="NA44" s="34"/>
      <c r="NB44" s="34"/>
      <c r="NC44" s="34"/>
      <c r="ND44" s="34"/>
      <c r="NE44" s="34"/>
      <c r="NF44" s="34"/>
      <c r="NG44" s="34"/>
      <c r="NH44" s="34"/>
      <c r="NI44" s="34"/>
      <c r="NJ44" s="34"/>
      <c r="NK44" s="34"/>
      <c r="NL44" s="34"/>
      <c r="NM44" s="34"/>
      <c r="NN44" s="34"/>
      <c r="NO44" s="34"/>
      <c r="NP44" s="34"/>
      <c r="NQ44" s="34"/>
      <c r="NR44" s="34"/>
      <c r="NS44" s="34"/>
      <c r="NT44" s="7">
        <f>COUNTIF(F44:NS44,"x")</f>
        <v>2</v>
      </c>
      <c r="NU44" s="81"/>
      <c r="NV44" s="32">
        <f>IF(NX44=0,"0",NX44/NX43)</f>
        <v>1</v>
      </c>
      <c r="NW44" s="37">
        <f>MOD(ROW(NW44),2)</f>
        <v>0</v>
      </c>
      <c r="NX44" s="36">
        <f>COUNTIF(F44:AU44,"x")</f>
        <v>2</v>
      </c>
      <c r="NY44" s="81"/>
      <c r="NZ44" s="32" t="str">
        <f>IF(OB44=0,"0",OB44/OB43)</f>
        <v>0</v>
      </c>
      <c r="OA44" s="37">
        <f>MOD(ROW(OA44),2)</f>
        <v>0</v>
      </c>
      <c r="OB44" s="36">
        <f>COUNTIF(AV44:CK44,"x")</f>
        <v>0</v>
      </c>
      <c r="OC44" s="81"/>
      <c r="OD44" s="32" t="str">
        <f>IF(OF44=0,"0",OF44/OF43)</f>
        <v>0</v>
      </c>
      <c r="OE44" s="37">
        <f>MOD(ROW(OE44),2)</f>
        <v>0</v>
      </c>
      <c r="OF44" s="36">
        <f>COUNTIF(CL44:EA44,"x")</f>
        <v>0</v>
      </c>
      <c r="OG44" s="81"/>
      <c r="OH44" s="32" t="str">
        <f>IF(OJ44=0,"0",OJ44/OJ43)</f>
        <v>0</v>
      </c>
      <c r="OI44" s="37">
        <f>MOD(ROW(OI44),2)</f>
        <v>0</v>
      </c>
      <c r="OJ44" s="46">
        <f>COUNTIF(EB44:FQ44,"x")</f>
        <v>0</v>
      </c>
      <c r="OK44" s="74"/>
      <c r="OL44" s="32" t="str">
        <f>IF(ON44=0,"0",ON44/ON43)</f>
        <v>0</v>
      </c>
      <c r="OM44" s="37">
        <f>MOD(ROW(OM44),2)</f>
        <v>0</v>
      </c>
      <c r="ON44" s="36">
        <f>COUNTIF(FR44:HG44,"x")</f>
        <v>0</v>
      </c>
      <c r="OO44" s="74"/>
      <c r="OP44" s="32" t="str">
        <f>IF(OR44=0,"0",OR44/OR43)</f>
        <v>0</v>
      </c>
      <c r="OQ44" s="37">
        <f>MOD(ROW(OQ44),2)</f>
        <v>0</v>
      </c>
      <c r="OR44" s="36">
        <f>COUNTIF(HH44:IW44,"x")</f>
        <v>0</v>
      </c>
      <c r="OS44" s="74"/>
      <c r="OT44" s="32" t="str">
        <f>IF(OV44=0,"0",OV44/OV43)</f>
        <v>0</v>
      </c>
      <c r="OU44" s="37">
        <f>MOD(ROW(OU44),2)</f>
        <v>0</v>
      </c>
      <c r="OV44" s="36">
        <f>COUNTIF(IX44:KM44,"x")</f>
        <v>0</v>
      </c>
      <c r="OW44" s="74"/>
      <c r="OX44" s="32" t="str">
        <f>IF(OZ44=0,"0",OZ44/OZ43)</f>
        <v>0</v>
      </c>
      <c r="OY44" s="37">
        <f>MOD(ROW(OY44),2)</f>
        <v>0</v>
      </c>
      <c r="OZ44" s="36">
        <f>COUNTIF(KN44:MC44,"x")</f>
        <v>0</v>
      </c>
      <c r="PA44" s="74"/>
      <c r="PB44" s="32" t="str">
        <f>IF(PD44=0,"0",PD44/PD43)</f>
        <v>0</v>
      </c>
      <c r="PC44" s="37">
        <f>MOD(ROW(PC44),2)</f>
        <v>0</v>
      </c>
      <c r="PD44" s="36">
        <f>COUNTIF(MD44:NS44,"x")</f>
        <v>0</v>
      </c>
      <c r="PE44" s="74"/>
    </row>
    <row r="45" spans="3:421" ht="15.75" customHeight="1" outlineLevel="1" x14ac:dyDescent="0.25">
      <c r="C45" s="88" t="s">
        <v>61</v>
      </c>
      <c r="D45" s="119" t="s">
        <v>92</v>
      </c>
      <c r="E45" s="53" t="s">
        <v>8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69"/>
      <c r="Q45" s="33"/>
      <c r="R45" s="33"/>
      <c r="S45" s="33"/>
      <c r="T45" s="33"/>
      <c r="U45" s="33"/>
      <c r="V45" s="33"/>
      <c r="W45" s="69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>
        <v>1</v>
      </c>
      <c r="AT45" s="33">
        <v>1</v>
      </c>
      <c r="AU45" s="33">
        <v>1</v>
      </c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>
        <v>1</v>
      </c>
      <c r="CC45" s="33">
        <v>1</v>
      </c>
      <c r="CD45" s="33">
        <v>1</v>
      </c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>
        <v>1</v>
      </c>
      <c r="DL45" s="33">
        <v>1</v>
      </c>
      <c r="DM45" s="33">
        <v>1</v>
      </c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>
        <v>1</v>
      </c>
      <c r="EU45" s="33">
        <v>1</v>
      </c>
      <c r="EV45" s="33">
        <v>1</v>
      </c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>
        <v>1</v>
      </c>
      <c r="GD45" s="33">
        <v>1</v>
      </c>
      <c r="GE45" s="33">
        <v>1</v>
      </c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>
        <v>1</v>
      </c>
      <c r="HM45" s="33">
        <v>1</v>
      </c>
      <c r="HN45" s="33">
        <v>1</v>
      </c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>
        <v>1</v>
      </c>
      <c r="IV45" s="33">
        <v>1</v>
      </c>
      <c r="IW45" s="33">
        <v>1</v>
      </c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33"/>
      <c r="KC45" s="33"/>
      <c r="KD45" s="33">
        <v>1</v>
      </c>
      <c r="KE45" s="33">
        <v>1</v>
      </c>
      <c r="KF45" s="33">
        <v>1</v>
      </c>
      <c r="KG45" s="33"/>
      <c r="KH45" s="33"/>
      <c r="KI45" s="33"/>
      <c r="KJ45" s="33"/>
      <c r="KK45" s="33"/>
      <c r="KL45" s="33"/>
      <c r="KM45" s="33"/>
      <c r="KN45" s="33"/>
      <c r="KO45" s="33"/>
      <c r="KP45" s="33"/>
      <c r="KQ45" s="33"/>
      <c r="KR45" s="33"/>
      <c r="KS45" s="33"/>
      <c r="KT45" s="33"/>
      <c r="KU45" s="33"/>
      <c r="KV45" s="33"/>
      <c r="KW45" s="33"/>
      <c r="KX45" s="33"/>
      <c r="KY45" s="33"/>
      <c r="KZ45" s="33"/>
      <c r="LA45" s="33"/>
      <c r="LB45" s="33"/>
      <c r="LC45" s="33"/>
      <c r="LD45" s="33"/>
      <c r="LE45" s="33"/>
      <c r="LF45" s="33"/>
      <c r="LG45" s="33"/>
      <c r="LH45" s="33"/>
      <c r="LI45" s="33"/>
      <c r="LJ45" s="33"/>
      <c r="LK45" s="33"/>
      <c r="LL45" s="33"/>
      <c r="LM45" s="33">
        <v>1</v>
      </c>
      <c r="LN45" s="33">
        <v>1</v>
      </c>
      <c r="LO45" s="33">
        <v>1</v>
      </c>
      <c r="LP45" s="33"/>
      <c r="LQ45" s="33"/>
      <c r="LR45" s="33"/>
      <c r="LS45" s="33"/>
      <c r="LT45" s="33"/>
      <c r="LU45" s="33"/>
      <c r="LV45" s="33"/>
      <c r="LW45" s="33"/>
      <c r="LX45" s="33"/>
      <c r="LY45" s="33"/>
      <c r="LZ45" s="33"/>
      <c r="MA45" s="33"/>
      <c r="MB45" s="33"/>
      <c r="MC45" s="33"/>
      <c r="MD45" s="33"/>
      <c r="ME45" s="33"/>
      <c r="MF45" s="33"/>
      <c r="MG45" s="33"/>
      <c r="MH45" s="33"/>
      <c r="MI45" s="33"/>
      <c r="MJ45" s="33"/>
      <c r="MK45" s="33"/>
      <c r="ML45" s="33"/>
      <c r="MM45" s="33"/>
      <c r="MN45" s="33"/>
      <c r="MO45" s="33"/>
      <c r="MP45" s="33"/>
      <c r="MQ45" s="33"/>
      <c r="MR45" s="33"/>
      <c r="MS45" s="33"/>
      <c r="MT45" s="33"/>
      <c r="MU45" s="33"/>
      <c r="MV45" s="33">
        <v>1</v>
      </c>
      <c r="MW45" s="33">
        <v>1</v>
      </c>
      <c r="MX45" s="33">
        <v>1</v>
      </c>
      <c r="MY45" s="33"/>
      <c r="MZ45" s="33"/>
      <c r="NA45" s="33"/>
      <c r="NB45" s="33"/>
      <c r="NC45" s="33"/>
      <c r="ND45" s="33"/>
      <c r="NE45" s="33"/>
      <c r="NF45" s="33"/>
      <c r="NG45" s="33"/>
      <c r="NH45" s="33"/>
      <c r="NI45" s="33"/>
      <c r="NJ45" s="33"/>
      <c r="NK45" s="33"/>
      <c r="NL45" s="33"/>
      <c r="NM45" s="33"/>
      <c r="NN45" s="33"/>
      <c r="NO45" s="33"/>
      <c r="NP45" s="33"/>
      <c r="NQ45" s="33"/>
      <c r="NR45" s="33"/>
      <c r="NS45" s="33"/>
      <c r="NT45" s="31">
        <f>COUNTIF(F45:NS45,"1")</f>
        <v>30</v>
      </c>
      <c r="NU45" s="79">
        <f>NT46/NT45</f>
        <v>0</v>
      </c>
      <c r="NV45" s="29" t="str">
        <f>+IF(NX45&gt;=1,"1",0)</f>
        <v>1</v>
      </c>
      <c r="NW45" s="38">
        <f t="shared" si="18"/>
        <v>1</v>
      </c>
      <c r="NX45" s="35">
        <f>COUNTIF(F45:AU45,"1")</f>
        <v>3</v>
      </c>
      <c r="NY45" s="79">
        <f>NX46/NX45</f>
        <v>0</v>
      </c>
      <c r="NZ45" s="29" t="str">
        <f>+IF(OB45&gt;=1,"1",0)</f>
        <v>1</v>
      </c>
      <c r="OA45" s="38">
        <f t="shared" si="19"/>
        <v>1</v>
      </c>
      <c r="OB45" s="35">
        <f>COUNTIF(AV45:CK45,"1")</f>
        <v>3</v>
      </c>
      <c r="OC45" s="79">
        <f>OB46/OB45</f>
        <v>0</v>
      </c>
      <c r="OD45" s="29" t="str">
        <f>+IF(OF45&gt;=1,"1",0)</f>
        <v>1</v>
      </c>
      <c r="OE45" s="38">
        <f t="shared" si="20"/>
        <v>1</v>
      </c>
      <c r="OF45" s="35">
        <f>COUNTIF(CL45:EA45,"1")</f>
        <v>3</v>
      </c>
      <c r="OG45" s="80">
        <f>OF46/OF45</f>
        <v>0</v>
      </c>
      <c r="OH45" s="29" t="str">
        <f>+IF(OJ45&gt;=1,"1",0)</f>
        <v>1</v>
      </c>
      <c r="OI45" s="38">
        <f t="shared" si="21"/>
        <v>1</v>
      </c>
      <c r="OJ45" s="35">
        <f>COUNTIF(EB45:FQ45,"1")</f>
        <v>3</v>
      </c>
      <c r="OK45" s="79">
        <f>OJ46/OJ45</f>
        <v>0</v>
      </c>
      <c r="OL45" s="29" t="str">
        <f>+IF(ON45&gt;=1,"1",0)</f>
        <v>1</v>
      </c>
      <c r="OM45" s="38">
        <f t="shared" si="22"/>
        <v>1</v>
      </c>
      <c r="ON45" s="35">
        <f>COUNTIF(FR45:HG45,"1")</f>
        <v>3</v>
      </c>
      <c r="OO45" s="79">
        <f>ON46/ON45</f>
        <v>0</v>
      </c>
      <c r="OP45" s="29" t="str">
        <f>+IF(OR45&gt;=1,"1",0)</f>
        <v>1</v>
      </c>
      <c r="OQ45" s="38">
        <f t="shared" si="23"/>
        <v>1</v>
      </c>
      <c r="OR45" s="35">
        <f>COUNTIF(HH45:IW45,"1")</f>
        <v>6</v>
      </c>
      <c r="OS45" s="79">
        <f>OR46/OR45</f>
        <v>0</v>
      </c>
      <c r="OT45" s="29" t="str">
        <f>+IF(OV45&gt;=1,"1",0)</f>
        <v>1</v>
      </c>
      <c r="OU45" s="38">
        <f t="shared" si="24"/>
        <v>1</v>
      </c>
      <c r="OV45" s="35">
        <f>COUNTIF(IX45:KM45,"1")</f>
        <v>3</v>
      </c>
      <c r="OW45" s="79">
        <f>OV46/OV45</f>
        <v>0</v>
      </c>
      <c r="OX45" s="29" t="str">
        <f>+IF(OZ45&gt;=1,"1",0)</f>
        <v>1</v>
      </c>
      <c r="OY45" s="38">
        <f t="shared" si="25"/>
        <v>1</v>
      </c>
      <c r="OZ45" s="35">
        <f>COUNTIF(KN45:MC45,"1")</f>
        <v>3</v>
      </c>
      <c r="PA45" s="79">
        <f>OZ46/OZ45</f>
        <v>0</v>
      </c>
      <c r="PB45" s="29" t="str">
        <f>+IF(PD45&gt;=1,"1",0)</f>
        <v>1</v>
      </c>
      <c r="PC45" s="38">
        <f t="shared" si="26"/>
        <v>1</v>
      </c>
      <c r="PD45" s="35">
        <f>COUNTIF(MD45:NS45,"1")</f>
        <v>3</v>
      </c>
      <c r="PE45" s="79">
        <f>PD46/PD45</f>
        <v>0</v>
      </c>
    </row>
    <row r="46" spans="3:421" ht="15.75" customHeight="1" outlineLevel="1" thickBot="1" x14ac:dyDescent="0.3">
      <c r="C46" s="89"/>
      <c r="D46" s="120"/>
      <c r="E46" s="54" t="s">
        <v>9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70"/>
      <c r="Q46" s="34"/>
      <c r="R46" s="34"/>
      <c r="S46" s="34"/>
      <c r="T46" s="34"/>
      <c r="U46" s="34"/>
      <c r="V46" s="34"/>
      <c r="W46" s="70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>
        <v>1</v>
      </c>
      <c r="AV46" s="34">
        <v>1</v>
      </c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  <c r="HB46" s="34"/>
      <c r="HC46" s="34"/>
      <c r="HD46" s="34"/>
      <c r="HE46" s="34"/>
      <c r="HF46" s="34"/>
      <c r="HG46" s="34"/>
      <c r="HH46" s="34"/>
      <c r="HI46" s="34"/>
      <c r="HJ46" s="34"/>
      <c r="HK46" s="34"/>
      <c r="HL46" s="34"/>
      <c r="HM46" s="34"/>
      <c r="HN46" s="34"/>
      <c r="HO46" s="34"/>
      <c r="HP46" s="34"/>
      <c r="HQ46" s="34"/>
      <c r="HR46" s="34"/>
      <c r="HS46" s="34"/>
      <c r="HT46" s="34"/>
      <c r="HU46" s="34"/>
      <c r="HV46" s="34"/>
      <c r="HW46" s="34"/>
      <c r="HX46" s="34"/>
      <c r="HY46" s="34"/>
      <c r="HZ46" s="34"/>
      <c r="IA46" s="34"/>
      <c r="IB46" s="34"/>
      <c r="IC46" s="34"/>
      <c r="ID46" s="34"/>
      <c r="IE46" s="34"/>
      <c r="IF46" s="34"/>
      <c r="IG46" s="34"/>
      <c r="IH46" s="34"/>
      <c r="II46" s="34"/>
      <c r="IJ46" s="34"/>
      <c r="IK46" s="34"/>
      <c r="IL46" s="34"/>
      <c r="IM46" s="34"/>
      <c r="IN46" s="34"/>
      <c r="IO46" s="34"/>
      <c r="IP46" s="34"/>
      <c r="IQ46" s="34"/>
      <c r="IR46" s="34"/>
      <c r="IS46" s="34"/>
      <c r="IT46" s="34"/>
      <c r="IU46" s="34"/>
      <c r="IV46" s="34"/>
      <c r="IW46" s="34"/>
      <c r="IX46" s="34"/>
      <c r="IY46" s="34"/>
      <c r="IZ46" s="34"/>
      <c r="JA46" s="34"/>
      <c r="JB46" s="34"/>
      <c r="JC46" s="34"/>
      <c r="JD46" s="34"/>
      <c r="JE46" s="34"/>
      <c r="JF46" s="34"/>
      <c r="JG46" s="34"/>
      <c r="JH46" s="34"/>
      <c r="JI46" s="34"/>
      <c r="JJ46" s="34"/>
      <c r="JK46" s="34"/>
      <c r="JL46" s="34"/>
      <c r="JM46" s="34"/>
      <c r="JN46" s="34"/>
      <c r="JO46" s="34"/>
      <c r="JP46" s="34"/>
      <c r="JQ46" s="34"/>
      <c r="JR46" s="34"/>
      <c r="JS46" s="34"/>
      <c r="JT46" s="34"/>
      <c r="JU46" s="34"/>
      <c r="JV46" s="34"/>
      <c r="JW46" s="34"/>
      <c r="JX46" s="34"/>
      <c r="JY46" s="34"/>
      <c r="JZ46" s="34"/>
      <c r="KA46" s="34"/>
      <c r="KB46" s="34"/>
      <c r="KC46" s="34"/>
      <c r="KD46" s="34"/>
      <c r="KE46" s="34"/>
      <c r="KF46" s="34"/>
      <c r="KG46" s="34"/>
      <c r="KH46" s="34"/>
      <c r="KI46" s="34"/>
      <c r="KJ46" s="34"/>
      <c r="KK46" s="34"/>
      <c r="KL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  <c r="KW46" s="34"/>
      <c r="KX46" s="34"/>
      <c r="KY46" s="34"/>
      <c r="KZ46" s="34"/>
      <c r="LA46" s="34"/>
      <c r="LB46" s="34"/>
      <c r="LC46" s="34"/>
      <c r="LD46" s="34"/>
      <c r="LE46" s="34"/>
      <c r="LF46" s="34"/>
      <c r="LG46" s="34"/>
      <c r="LH46" s="34"/>
      <c r="LI46" s="34"/>
      <c r="LJ46" s="34"/>
      <c r="LK46" s="34"/>
      <c r="LL46" s="34"/>
      <c r="LM46" s="34"/>
      <c r="LN46" s="34"/>
      <c r="LO46" s="34"/>
      <c r="LP46" s="34"/>
      <c r="LQ46" s="34"/>
      <c r="LR46" s="34"/>
      <c r="LS46" s="34"/>
      <c r="LT46" s="34"/>
      <c r="LU46" s="34"/>
      <c r="LV46" s="34"/>
      <c r="LW46" s="34"/>
      <c r="LX46" s="34"/>
      <c r="LY46" s="34"/>
      <c r="LZ46" s="34"/>
      <c r="MA46" s="34"/>
      <c r="MB46" s="34"/>
      <c r="MC46" s="34"/>
      <c r="MD46" s="34"/>
      <c r="ME46" s="34"/>
      <c r="MF46" s="34"/>
      <c r="MG46" s="34"/>
      <c r="MH46" s="34"/>
      <c r="MI46" s="34"/>
      <c r="MJ46" s="34"/>
      <c r="MK46" s="34"/>
      <c r="ML46" s="34"/>
      <c r="MM46" s="34"/>
      <c r="MN46" s="34"/>
      <c r="MO46" s="34"/>
      <c r="MP46" s="34"/>
      <c r="MQ46" s="34"/>
      <c r="MR46" s="34"/>
      <c r="MS46" s="34"/>
      <c r="MT46" s="34"/>
      <c r="MU46" s="34"/>
      <c r="MV46" s="34"/>
      <c r="MW46" s="34"/>
      <c r="MX46" s="34"/>
      <c r="MY46" s="34"/>
      <c r="MZ46" s="34"/>
      <c r="NA46" s="34"/>
      <c r="NB46" s="34"/>
      <c r="NC46" s="34"/>
      <c r="ND46" s="34"/>
      <c r="NE46" s="34"/>
      <c r="NF46" s="34"/>
      <c r="NG46" s="34"/>
      <c r="NH46" s="34"/>
      <c r="NI46" s="34"/>
      <c r="NJ46" s="34"/>
      <c r="NK46" s="34"/>
      <c r="NL46" s="34"/>
      <c r="NM46" s="34"/>
      <c r="NN46" s="34"/>
      <c r="NO46" s="34"/>
      <c r="NP46" s="34"/>
      <c r="NQ46" s="34"/>
      <c r="NR46" s="34"/>
      <c r="NS46" s="34"/>
      <c r="NT46" s="7">
        <f>COUNTIF(F46:NS46,"x")</f>
        <v>0</v>
      </c>
      <c r="NU46" s="74"/>
      <c r="NV46" s="32" t="str">
        <f>IF(NX46=0,"0",NX46/NX45)</f>
        <v>0</v>
      </c>
      <c r="NW46" s="37">
        <f t="shared" si="18"/>
        <v>0</v>
      </c>
      <c r="NX46" s="36">
        <f>COUNTIF(F46:AU46,"x")</f>
        <v>0</v>
      </c>
      <c r="NY46" s="74"/>
      <c r="NZ46" s="32" t="str">
        <f>IF(OB46=0,"0",OB46/OB45)</f>
        <v>0</v>
      </c>
      <c r="OA46" s="37">
        <f t="shared" si="19"/>
        <v>0</v>
      </c>
      <c r="OB46" s="36">
        <f>COUNTIF(AV46:CK46,"x")</f>
        <v>0</v>
      </c>
      <c r="OC46" s="74"/>
      <c r="OD46" s="32" t="str">
        <f>IF(OF46=0,"0",OF46/OF45)</f>
        <v>0</v>
      </c>
      <c r="OE46" s="37">
        <f t="shared" si="20"/>
        <v>0</v>
      </c>
      <c r="OF46" s="36">
        <f>COUNTIF(CL46:EA46,"x")</f>
        <v>0</v>
      </c>
      <c r="OG46" s="81"/>
      <c r="OH46" s="32" t="str">
        <f>IF(OJ46=0,"0",OJ46/OJ45)</f>
        <v>0</v>
      </c>
      <c r="OI46" s="37">
        <f t="shared" si="21"/>
        <v>0</v>
      </c>
      <c r="OJ46" s="36">
        <f>COUNTIF(EB46:FQ46,"x")</f>
        <v>0</v>
      </c>
      <c r="OK46" s="74"/>
      <c r="OL46" s="32" t="str">
        <f>IF(ON46=0,"0",ON46/ON45)</f>
        <v>0</v>
      </c>
      <c r="OM46" s="37">
        <f t="shared" si="22"/>
        <v>0</v>
      </c>
      <c r="ON46" s="36">
        <f>COUNTIF(FR46:HG46,"x")</f>
        <v>0</v>
      </c>
      <c r="OO46" s="74"/>
      <c r="OP46" s="32" t="str">
        <f>IF(OR46=0,"0",OR46/OR45)</f>
        <v>0</v>
      </c>
      <c r="OQ46" s="37">
        <f t="shared" si="23"/>
        <v>0</v>
      </c>
      <c r="OR46" s="36">
        <f>COUNTIF(HH46:IW46,"x")</f>
        <v>0</v>
      </c>
      <c r="OS46" s="74"/>
      <c r="OT46" s="32" t="str">
        <f>IF(OV46=0,"0",OV46/OV45)</f>
        <v>0</v>
      </c>
      <c r="OU46" s="37">
        <f t="shared" si="24"/>
        <v>0</v>
      </c>
      <c r="OV46" s="36">
        <f>COUNTIF(IX46:KM46,"x")</f>
        <v>0</v>
      </c>
      <c r="OW46" s="74"/>
      <c r="OX46" s="32" t="str">
        <f>IF(OZ46=0,"0",OZ46/OZ45)</f>
        <v>0</v>
      </c>
      <c r="OY46" s="37">
        <f t="shared" si="25"/>
        <v>0</v>
      </c>
      <c r="OZ46" s="36">
        <f>COUNTIF(KN46:MC46,"x")</f>
        <v>0</v>
      </c>
      <c r="PA46" s="74"/>
      <c r="PB46" s="32" t="str">
        <f>IF(PD46=0,"0",PD46/PD45)</f>
        <v>0</v>
      </c>
      <c r="PC46" s="37">
        <f t="shared" si="26"/>
        <v>0</v>
      </c>
      <c r="PD46" s="36">
        <f>COUNTIF(MD46:NS46,"x")</f>
        <v>0</v>
      </c>
      <c r="PE46" s="74"/>
    </row>
    <row r="47" spans="3:421" ht="15.75" customHeight="1" outlineLevel="1" x14ac:dyDescent="0.25">
      <c r="C47" s="88" t="s">
        <v>65</v>
      </c>
      <c r="D47" s="119" t="s">
        <v>92</v>
      </c>
      <c r="E47" s="53" t="s">
        <v>8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69"/>
      <c r="Q47" s="33"/>
      <c r="R47" s="33"/>
      <c r="S47" s="33"/>
      <c r="T47" s="33"/>
      <c r="U47" s="33"/>
      <c r="V47" s="33"/>
      <c r="W47" s="69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 t="s">
        <v>116</v>
      </c>
      <c r="AT47" s="33" t="s">
        <v>116</v>
      </c>
      <c r="AU47" s="33" t="s">
        <v>116</v>
      </c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>
        <v>1</v>
      </c>
      <c r="BP47" s="33">
        <v>1</v>
      </c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33"/>
      <c r="HP47" s="33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33"/>
      <c r="IH47" s="33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33"/>
      <c r="IZ47" s="33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33"/>
      <c r="JR47" s="33"/>
      <c r="JS47" s="33"/>
      <c r="JT47" s="33"/>
      <c r="JU47" s="33"/>
      <c r="JV47" s="33"/>
      <c r="JW47" s="33"/>
      <c r="JX47" s="33"/>
      <c r="JY47" s="33"/>
      <c r="JZ47" s="33"/>
      <c r="KA47" s="33"/>
      <c r="KB47" s="33"/>
      <c r="KC47" s="33"/>
      <c r="KD47" s="33"/>
      <c r="KE47" s="33"/>
      <c r="KF47" s="33"/>
      <c r="KG47" s="33"/>
      <c r="KH47" s="33"/>
      <c r="KI47" s="33"/>
      <c r="KJ47" s="33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33"/>
      <c r="LB47" s="33"/>
      <c r="LC47" s="33"/>
      <c r="LD47" s="33"/>
      <c r="LE47" s="33"/>
      <c r="LF47" s="33"/>
      <c r="LG47" s="33"/>
      <c r="LH47" s="33"/>
      <c r="LI47" s="33"/>
      <c r="LJ47" s="33"/>
      <c r="LK47" s="33"/>
      <c r="LL47" s="33"/>
      <c r="LM47" s="33"/>
      <c r="LN47" s="33"/>
      <c r="LO47" s="33"/>
      <c r="LP47" s="33"/>
      <c r="LQ47" s="33"/>
      <c r="LR47" s="33"/>
      <c r="LS47" s="33"/>
      <c r="LT47" s="33"/>
      <c r="LU47" s="33"/>
      <c r="LV47" s="33"/>
      <c r="LW47" s="33"/>
      <c r="LX47" s="33"/>
      <c r="LY47" s="33"/>
      <c r="LZ47" s="33"/>
      <c r="MA47" s="33"/>
      <c r="MB47" s="33"/>
      <c r="MC47" s="33"/>
      <c r="MD47" s="33"/>
      <c r="ME47" s="33"/>
      <c r="MF47" s="33"/>
      <c r="MG47" s="33"/>
      <c r="MH47" s="33"/>
      <c r="MI47" s="33"/>
      <c r="MJ47" s="33"/>
      <c r="MK47" s="33"/>
      <c r="ML47" s="33"/>
      <c r="MM47" s="33"/>
      <c r="MN47" s="33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33"/>
      <c r="ND47" s="33"/>
      <c r="NE47" s="33"/>
      <c r="NF47" s="33"/>
      <c r="NG47" s="33"/>
      <c r="NH47" s="33"/>
      <c r="NI47" s="33"/>
      <c r="NJ47" s="33"/>
      <c r="NK47" s="33"/>
      <c r="NL47" s="33"/>
      <c r="NM47" s="33"/>
      <c r="NN47" s="33"/>
      <c r="NO47" s="33"/>
      <c r="NP47" s="33"/>
      <c r="NQ47" s="33"/>
      <c r="NR47" s="33"/>
      <c r="NS47" s="33"/>
      <c r="NT47" s="31">
        <f>COUNTIF(F47:NS47,"1")</f>
        <v>2</v>
      </c>
      <c r="NU47" s="80">
        <f>NT48/NT47</f>
        <v>0</v>
      </c>
      <c r="NV47" s="29">
        <f>+IF(NX47&gt;=1,"1",0)</f>
        <v>0</v>
      </c>
      <c r="NW47" s="38">
        <f t="shared" si="18"/>
        <v>1</v>
      </c>
      <c r="NX47" s="35">
        <f>COUNTIF(F47:AU47,"1")</f>
        <v>0</v>
      </c>
      <c r="NY47" s="80" t="e">
        <f>NX48/NX47</f>
        <v>#DIV/0!</v>
      </c>
      <c r="NZ47" s="29" t="str">
        <f>+IF(OB47&gt;=1,"1",0)</f>
        <v>1</v>
      </c>
      <c r="OA47" s="38">
        <f t="shared" si="19"/>
        <v>1</v>
      </c>
      <c r="OB47" s="35">
        <f>COUNTIF(AV47:CK47,"1")</f>
        <v>2</v>
      </c>
      <c r="OC47" s="80">
        <f>OB48/OB47</f>
        <v>0</v>
      </c>
      <c r="OD47" s="29">
        <f>+IF(OF47&gt;=1,"1",0)</f>
        <v>0</v>
      </c>
      <c r="OE47" s="38">
        <f t="shared" si="20"/>
        <v>1</v>
      </c>
      <c r="OF47" s="35">
        <f>COUNTIF(CL47:EA47,"1")</f>
        <v>0</v>
      </c>
      <c r="OG47" s="80" t="e">
        <f>OF48/OF47</f>
        <v>#DIV/0!</v>
      </c>
      <c r="OH47" s="29">
        <f>+IF(OJ47&gt;=1,"1",0)</f>
        <v>0</v>
      </c>
      <c r="OI47" s="38">
        <f t="shared" si="21"/>
        <v>1</v>
      </c>
      <c r="OJ47" s="35">
        <f>COUNTIF(EB47:FQ47,"1")</f>
        <v>0</v>
      </c>
      <c r="OK47" s="79" t="e">
        <f>OJ48/OJ47</f>
        <v>#DIV/0!</v>
      </c>
      <c r="OL47" s="29">
        <f>+IF(ON47&gt;=1,"1",0)</f>
        <v>0</v>
      </c>
      <c r="OM47" s="38">
        <f t="shared" si="22"/>
        <v>1</v>
      </c>
      <c r="ON47" s="35">
        <f>COUNTIF(FR47:HG47,"1")</f>
        <v>0</v>
      </c>
      <c r="OO47" s="79" t="e">
        <f>ON48/ON47</f>
        <v>#DIV/0!</v>
      </c>
      <c r="OP47" s="29">
        <f>+IF(OR47&gt;=1,"1",0)</f>
        <v>0</v>
      </c>
      <c r="OQ47" s="38">
        <f t="shared" si="23"/>
        <v>1</v>
      </c>
      <c r="OR47" s="35">
        <f>COUNTIF(HH47:IW47,"1")</f>
        <v>0</v>
      </c>
      <c r="OS47" s="79" t="e">
        <f>OR48/OR47</f>
        <v>#DIV/0!</v>
      </c>
      <c r="OT47" s="29">
        <f>+IF(OV47&gt;=1,"1",0)</f>
        <v>0</v>
      </c>
      <c r="OU47" s="38">
        <f t="shared" si="24"/>
        <v>1</v>
      </c>
      <c r="OV47" s="35">
        <f>COUNTIF(IX47:KM47,"1")</f>
        <v>0</v>
      </c>
      <c r="OW47" s="79" t="e">
        <f>OV48/OV47</f>
        <v>#DIV/0!</v>
      </c>
      <c r="OX47" s="29">
        <f>+IF(OZ47&gt;=1,"1",0)</f>
        <v>0</v>
      </c>
      <c r="OY47" s="38">
        <f t="shared" si="25"/>
        <v>1</v>
      </c>
      <c r="OZ47" s="35">
        <f>COUNTIF(KN47:MC47,"1")</f>
        <v>0</v>
      </c>
      <c r="PA47" s="79" t="e">
        <f>OZ48/OZ47</f>
        <v>#DIV/0!</v>
      </c>
      <c r="PB47" s="29">
        <f>+IF(PD47&gt;=1,"1",0)</f>
        <v>0</v>
      </c>
      <c r="PC47" s="38">
        <f t="shared" si="26"/>
        <v>1</v>
      </c>
      <c r="PD47" s="35">
        <f>COUNTIF(MD47:NS47,"1")</f>
        <v>0</v>
      </c>
      <c r="PE47" s="79" t="e">
        <f>PD48/PD47</f>
        <v>#DIV/0!</v>
      </c>
    </row>
    <row r="48" spans="3:421" ht="15.75" customHeight="1" outlineLevel="1" thickBot="1" x14ac:dyDescent="0.3">
      <c r="C48" s="89"/>
      <c r="D48" s="120"/>
      <c r="E48" s="54" t="s">
        <v>9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70"/>
      <c r="Q48" s="34"/>
      <c r="R48" s="34"/>
      <c r="S48" s="34"/>
      <c r="T48" s="34"/>
      <c r="U48" s="34"/>
      <c r="V48" s="34"/>
      <c r="W48" s="70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 t="s">
        <v>74</v>
      </c>
      <c r="AV48" s="34" t="s">
        <v>74</v>
      </c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  <c r="HB48" s="34"/>
      <c r="HC48" s="34"/>
      <c r="HD48" s="34"/>
      <c r="HE48" s="34"/>
      <c r="HF48" s="34"/>
      <c r="HG48" s="34"/>
      <c r="HH48" s="34"/>
      <c r="HI48" s="34"/>
      <c r="HJ48" s="34"/>
      <c r="HK48" s="34"/>
      <c r="HL48" s="34"/>
      <c r="HM48" s="34"/>
      <c r="HN48" s="34"/>
      <c r="HO48" s="34"/>
      <c r="HP48" s="34"/>
      <c r="HQ48" s="34"/>
      <c r="HR48" s="34"/>
      <c r="HS48" s="34"/>
      <c r="HT48" s="34"/>
      <c r="HU48" s="34"/>
      <c r="HV48" s="34"/>
      <c r="HW48" s="34"/>
      <c r="HX48" s="34"/>
      <c r="HY48" s="34"/>
      <c r="HZ48" s="34"/>
      <c r="IA48" s="34"/>
      <c r="IB48" s="34"/>
      <c r="IC48" s="34"/>
      <c r="ID48" s="34"/>
      <c r="IE48" s="34"/>
      <c r="IF48" s="34"/>
      <c r="IG48" s="34"/>
      <c r="IH48" s="34"/>
      <c r="II48" s="34"/>
      <c r="IJ48" s="34"/>
      <c r="IK48" s="34"/>
      <c r="IL48" s="34"/>
      <c r="IM48" s="34"/>
      <c r="IN48" s="34"/>
      <c r="IO48" s="34"/>
      <c r="IP48" s="34"/>
      <c r="IQ48" s="34"/>
      <c r="IR48" s="34"/>
      <c r="IS48" s="34"/>
      <c r="IT48" s="34"/>
      <c r="IU48" s="34"/>
      <c r="IV48" s="34"/>
      <c r="IW48" s="34"/>
      <c r="IX48" s="34"/>
      <c r="IY48" s="34"/>
      <c r="IZ48" s="34"/>
      <c r="JA48" s="34"/>
      <c r="JB48" s="34"/>
      <c r="JC48" s="34"/>
      <c r="JD48" s="34"/>
      <c r="JE48" s="34"/>
      <c r="JF48" s="34"/>
      <c r="JG48" s="34"/>
      <c r="JH48" s="34"/>
      <c r="JI48" s="34"/>
      <c r="JJ48" s="34"/>
      <c r="JK48" s="34"/>
      <c r="JL48" s="34"/>
      <c r="JM48" s="34"/>
      <c r="JN48" s="34"/>
      <c r="JO48" s="34"/>
      <c r="JP48" s="34"/>
      <c r="JQ48" s="34"/>
      <c r="JR48" s="34"/>
      <c r="JS48" s="34"/>
      <c r="JT48" s="34"/>
      <c r="JU48" s="34"/>
      <c r="JV48" s="34"/>
      <c r="JW48" s="34"/>
      <c r="JX48" s="34"/>
      <c r="JY48" s="34"/>
      <c r="JZ48" s="34"/>
      <c r="KA48" s="34"/>
      <c r="KB48" s="34"/>
      <c r="KC48" s="34"/>
      <c r="KD48" s="34"/>
      <c r="KE48" s="34"/>
      <c r="KF48" s="34"/>
      <c r="KG48" s="34"/>
      <c r="KH48" s="34"/>
      <c r="KI48" s="34"/>
      <c r="KJ48" s="34"/>
      <c r="KK48" s="34"/>
      <c r="KL48" s="34"/>
      <c r="KM48" s="34"/>
      <c r="KN48" s="34"/>
      <c r="KO48" s="34"/>
      <c r="KP48" s="34"/>
      <c r="KQ48" s="34"/>
      <c r="KR48" s="34"/>
      <c r="KS48" s="34"/>
      <c r="KT48" s="34"/>
      <c r="KU48" s="34"/>
      <c r="KV48" s="34"/>
      <c r="KW48" s="34"/>
      <c r="KX48" s="34"/>
      <c r="KY48" s="34"/>
      <c r="KZ48" s="34"/>
      <c r="LA48" s="34"/>
      <c r="LB48" s="34"/>
      <c r="LC48" s="34"/>
      <c r="LD48" s="34"/>
      <c r="LE48" s="34"/>
      <c r="LF48" s="34"/>
      <c r="LG48" s="34"/>
      <c r="LH48" s="34"/>
      <c r="LI48" s="34"/>
      <c r="LJ48" s="34"/>
      <c r="LK48" s="34"/>
      <c r="LL48" s="34"/>
      <c r="LM48" s="34"/>
      <c r="LN48" s="34"/>
      <c r="LO48" s="34"/>
      <c r="LP48" s="34"/>
      <c r="LQ48" s="34"/>
      <c r="LR48" s="34"/>
      <c r="LS48" s="34"/>
      <c r="LT48" s="34"/>
      <c r="LU48" s="34"/>
      <c r="LV48" s="34"/>
      <c r="LW48" s="34"/>
      <c r="LX48" s="34"/>
      <c r="LY48" s="34"/>
      <c r="LZ48" s="34"/>
      <c r="MA48" s="34"/>
      <c r="MB48" s="34"/>
      <c r="MC48" s="34"/>
      <c r="MD48" s="34"/>
      <c r="ME48" s="34"/>
      <c r="MF48" s="34"/>
      <c r="MG48" s="34"/>
      <c r="MH48" s="34"/>
      <c r="MI48" s="34"/>
      <c r="MJ48" s="34"/>
      <c r="MK48" s="34"/>
      <c r="ML48" s="34"/>
      <c r="MM48" s="34"/>
      <c r="MN48" s="34"/>
      <c r="MO48" s="34"/>
      <c r="MP48" s="34"/>
      <c r="MQ48" s="34"/>
      <c r="MR48" s="34"/>
      <c r="MS48" s="34"/>
      <c r="MT48" s="34"/>
      <c r="MU48" s="34"/>
      <c r="MV48" s="34"/>
      <c r="MW48" s="34"/>
      <c r="MX48" s="34"/>
      <c r="MY48" s="34"/>
      <c r="MZ48" s="34"/>
      <c r="NA48" s="34"/>
      <c r="NB48" s="34"/>
      <c r="NC48" s="34"/>
      <c r="ND48" s="34"/>
      <c r="NE48" s="34"/>
      <c r="NF48" s="34"/>
      <c r="NG48" s="34"/>
      <c r="NH48" s="34"/>
      <c r="NI48" s="34"/>
      <c r="NJ48" s="34"/>
      <c r="NK48" s="34"/>
      <c r="NL48" s="34"/>
      <c r="NM48" s="34"/>
      <c r="NN48" s="34"/>
      <c r="NO48" s="34"/>
      <c r="NP48" s="34"/>
      <c r="NQ48" s="34"/>
      <c r="NR48" s="34"/>
      <c r="NS48" s="34"/>
      <c r="NT48" s="7">
        <f>COUNTIF(F48:NS48,"x")</f>
        <v>0</v>
      </c>
      <c r="NU48" s="81"/>
      <c r="NV48" s="32" t="str">
        <f>IF(NX48=0,"0",NX48/NX47)</f>
        <v>0</v>
      </c>
      <c r="NW48" s="37">
        <f t="shared" si="18"/>
        <v>0</v>
      </c>
      <c r="NX48" s="36">
        <f>COUNTIF(F48:AU48,"x")</f>
        <v>0</v>
      </c>
      <c r="NY48" s="81"/>
      <c r="NZ48" s="32" t="str">
        <f>IF(OB48=0,"0",OB48/OB47)</f>
        <v>0</v>
      </c>
      <c r="OA48" s="37">
        <f t="shared" si="19"/>
        <v>0</v>
      </c>
      <c r="OB48" s="36">
        <f>COUNTIF(AV48:CK48,"x")</f>
        <v>0</v>
      </c>
      <c r="OC48" s="81"/>
      <c r="OD48" s="32" t="str">
        <f>IF(OF48=0,"0",OF48/OF47)</f>
        <v>0</v>
      </c>
      <c r="OE48" s="37">
        <f t="shared" si="20"/>
        <v>0</v>
      </c>
      <c r="OF48" s="36">
        <f>COUNTIF(CL48:EA48,"x")</f>
        <v>0</v>
      </c>
      <c r="OG48" s="81"/>
      <c r="OH48" s="32" t="str">
        <f>IF(OJ48=0,"0",OJ48/OJ47)</f>
        <v>0</v>
      </c>
      <c r="OI48" s="37">
        <f t="shared" si="21"/>
        <v>0</v>
      </c>
      <c r="OJ48" s="36">
        <f>COUNTIF(EB48:FQ48,"x")</f>
        <v>0</v>
      </c>
      <c r="OK48" s="74"/>
      <c r="OL48" s="32" t="str">
        <f>IF(ON48=0,"0",ON48/ON47)</f>
        <v>0</v>
      </c>
      <c r="OM48" s="37">
        <f t="shared" si="22"/>
        <v>0</v>
      </c>
      <c r="ON48" s="36">
        <f>COUNTIF(FR48:HG48,"x")</f>
        <v>0</v>
      </c>
      <c r="OO48" s="74"/>
      <c r="OP48" s="32" t="str">
        <f>IF(OR48=0,"0",OR48/OR47)</f>
        <v>0</v>
      </c>
      <c r="OQ48" s="37">
        <f t="shared" si="23"/>
        <v>0</v>
      </c>
      <c r="OR48" s="36">
        <f>COUNTIF(HH48:IW48,"x")</f>
        <v>0</v>
      </c>
      <c r="OS48" s="74"/>
      <c r="OT48" s="32" t="str">
        <f>IF(OV48=0,"0",OV48/OV47)</f>
        <v>0</v>
      </c>
      <c r="OU48" s="37">
        <f t="shared" si="24"/>
        <v>0</v>
      </c>
      <c r="OV48" s="36">
        <f>COUNTIF(IX48:KM48,"x")</f>
        <v>0</v>
      </c>
      <c r="OW48" s="74"/>
      <c r="OX48" s="32" t="str">
        <f>IF(OZ48=0,"0",OZ48/OZ47)</f>
        <v>0</v>
      </c>
      <c r="OY48" s="37">
        <f t="shared" si="25"/>
        <v>0</v>
      </c>
      <c r="OZ48" s="36">
        <f>COUNTIF(KN48:MC48,"x")</f>
        <v>0</v>
      </c>
      <c r="PA48" s="74"/>
      <c r="PB48" s="32" t="str">
        <f>IF(PD48=0,"0",PD48/PD47)</f>
        <v>0</v>
      </c>
      <c r="PC48" s="37">
        <f t="shared" si="26"/>
        <v>0</v>
      </c>
      <c r="PD48" s="36">
        <f>COUNTIF(MD48:NS48,"x")</f>
        <v>0</v>
      </c>
      <c r="PE48" s="74"/>
    </row>
    <row r="49" spans="1:421" ht="15.75" customHeight="1" outlineLevel="1" x14ac:dyDescent="0.25">
      <c r="C49" s="88" t="s">
        <v>93</v>
      </c>
      <c r="D49" s="119" t="s">
        <v>92</v>
      </c>
      <c r="E49" s="53" t="s">
        <v>8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69"/>
      <c r="Q49" s="33"/>
      <c r="R49" s="33"/>
      <c r="S49" s="33"/>
      <c r="T49" s="33"/>
      <c r="U49" s="33"/>
      <c r="V49" s="33"/>
      <c r="W49" s="69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33"/>
      <c r="HQ49" s="33"/>
      <c r="HR49" s="33"/>
      <c r="HS49" s="33"/>
      <c r="HT49" s="33"/>
      <c r="HU49" s="33"/>
      <c r="HV49" s="33"/>
      <c r="HW49" s="33"/>
      <c r="HX49" s="33"/>
      <c r="HY49" s="33"/>
      <c r="HZ49" s="33"/>
      <c r="IA49" s="33"/>
      <c r="IB49" s="33"/>
      <c r="IC49" s="33"/>
      <c r="ID49" s="33"/>
      <c r="IE49" s="33"/>
      <c r="IF49" s="33"/>
      <c r="IG49" s="33"/>
      <c r="IH49" s="33"/>
      <c r="II49" s="33"/>
      <c r="IJ49" s="33"/>
      <c r="IK49" s="33"/>
      <c r="IL49" s="33"/>
      <c r="IM49" s="33"/>
      <c r="IN49" s="33"/>
      <c r="IO49" s="33"/>
      <c r="IP49" s="33"/>
      <c r="IQ49" s="33"/>
      <c r="IR49" s="33"/>
      <c r="IS49" s="33"/>
      <c r="IT49" s="33"/>
      <c r="IU49" s="33"/>
      <c r="IV49" s="33"/>
      <c r="IW49" s="33"/>
      <c r="IX49" s="33"/>
      <c r="IY49" s="33"/>
      <c r="IZ49" s="33"/>
      <c r="JA49" s="33"/>
      <c r="JB49" s="33"/>
      <c r="JC49" s="33"/>
      <c r="JD49" s="33"/>
      <c r="JE49" s="33"/>
      <c r="JF49" s="33"/>
      <c r="JG49" s="33"/>
      <c r="JH49" s="33"/>
      <c r="JI49" s="33"/>
      <c r="JJ49" s="33"/>
      <c r="JK49" s="33"/>
      <c r="JL49" s="33"/>
      <c r="JM49" s="33"/>
      <c r="JN49" s="33"/>
      <c r="JO49" s="33"/>
      <c r="JP49" s="33"/>
      <c r="JQ49" s="33"/>
      <c r="JR49" s="33"/>
      <c r="JS49" s="33"/>
      <c r="JT49" s="33"/>
      <c r="JU49" s="33"/>
      <c r="JV49" s="33"/>
      <c r="JW49" s="33"/>
      <c r="JX49" s="33"/>
      <c r="JY49" s="33"/>
      <c r="JZ49" s="33"/>
      <c r="KA49" s="33"/>
      <c r="KB49" s="33"/>
      <c r="KC49" s="33"/>
      <c r="KD49" s="33"/>
      <c r="KE49" s="33"/>
      <c r="KF49" s="33"/>
      <c r="KG49" s="33"/>
      <c r="KH49" s="33"/>
      <c r="KI49" s="33"/>
      <c r="KJ49" s="33"/>
      <c r="KK49" s="33"/>
      <c r="KL49" s="33"/>
      <c r="KM49" s="33"/>
      <c r="KN49" s="33"/>
      <c r="KO49" s="33"/>
      <c r="KP49" s="33"/>
      <c r="KQ49" s="33"/>
      <c r="KR49" s="33"/>
      <c r="KS49" s="33"/>
      <c r="KT49" s="33"/>
      <c r="KU49" s="33"/>
      <c r="KV49" s="33"/>
      <c r="KW49" s="33"/>
      <c r="KX49" s="33"/>
      <c r="KY49" s="33"/>
      <c r="KZ49" s="33"/>
      <c r="LA49" s="33"/>
      <c r="LB49" s="33"/>
      <c r="LC49" s="33"/>
      <c r="LD49" s="33"/>
      <c r="LE49" s="33"/>
      <c r="LF49" s="33"/>
      <c r="LG49" s="33"/>
      <c r="LH49" s="33"/>
      <c r="LI49" s="33"/>
      <c r="LJ49" s="33"/>
      <c r="LK49" s="33"/>
      <c r="LL49" s="33"/>
      <c r="LM49" s="33"/>
      <c r="LN49" s="33"/>
      <c r="LO49" s="33"/>
      <c r="LP49" s="33"/>
      <c r="LQ49" s="33"/>
      <c r="LR49" s="33"/>
      <c r="LS49" s="33"/>
      <c r="LT49" s="33"/>
      <c r="LU49" s="33"/>
      <c r="LV49" s="33"/>
      <c r="LW49" s="33"/>
      <c r="LX49" s="33"/>
      <c r="LY49" s="33"/>
      <c r="LZ49" s="33"/>
      <c r="MA49" s="33"/>
      <c r="MB49" s="33"/>
      <c r="MC49" s="33"/>
      <c r="MD49" s="33"/>
      <c r="ME49" s="33"/>
      <c r="MF49" s="33"/>
      <c r="MG49" s="33"/>
      <c r="MH49" s="33"/>
      <c r="MI49" s="33"/>
      <c r="MJ49" s="33"/>
      <c r="MK49" s="33"/>
      <c r="ML49" s="33"/>
      <c r="MM49" s="33"/>
      <c r="MN49" s="33"/>
      <c r="MO49" s="33"/>
      <c r="MP49" s="33"/>
      <c r="MQ49" s="33"/>
      <c r="MR49" s="33"/>
      <c r="MS49" s="33"/>
      <c r="MT49" s="33"/>
      <c r="MU49" s="33"/>
      <c r="MV49" s="33"/>
      <c r="MW49" s="33"/>
      <c r="MX49" s="33"/>
      <c r="MY49" s="33"/>
      <c r="MZ49" s="33"/>
      <c r="NA49" s="33"/>
      <c r="NB49" s="33"/>
      <c r="NC49" s="33"/>
      <c r="ND49" s="33"/>
      <c r="NE49" s="33"/>
      <c r="NF49" s="33"/>
      <c r="NG49" s="33"/>
      <c r="NH49" s="33"/>
      <c r="NI49" s="33"/>
      <c r="NJ49" s="33"/>
      <c r="NK49" s="33"/>
      <c r="NL49" s="33"/>
      <c r="NM49" s="33"/>
      <c r="NN49" s="33"/>
      <c r="NO49" s="33"/>
      <c r="NP49" s="33"/>
      <c r="NQ49" s="33"/>
      <c r="NR49" s="33"/>
      <c r="NS49" s="33"/>
      <c r="NT49" s="31">
        <f>COUNTIF(F49:NS49,"1")</f>
        <v>0</v>
      </c>
      <c r="NU49" s="80" t="e">
        <f>NT50/NT49</f>
        <v>#DIV/0!</v>
      </c>
      <c r="NV49" s="29">
        <f>+IF(NX49&gt;=1,"1",0)</f>
        <v>0</v>
      </c>
      <c r="NW49" s="38">
        <f t="shared" si="18"/>
        <v>1</v>
      </c>
      <c r="NX49" s="35">
        <f>COUNTIF(F49:AU49,"1")</f>
        <v>0</v>
      </c>
      <c r="NY49" s="80" t="e">
        <f>NX50/NX49</f>
        <v>#DIV/0!</v>
      </c>
      <c r="NZ49" s="29">
        <f>+IF(OB49&gt;=1,"1",0)</f>
        <v>0</v>
      </c>
      <c r="OA49" s="38">
        <f t="shared" si="19"/>
        <v>1</v>
      </c>
      <c r="OB49" s="35">
        <f>COUNTIF(AV49:CK49,"1")</f>
        <v>0</v>
      </c>
      <c r="OC49" s="80" t="e">
        <f>OB50/OB49</f>
        <v>#DIV/0!</v>
      </c>
      <c r="OD49" s="29">
        <f>+IF(OF49&gt;=1,"1",0)</f>
        <v>0</v>
      </c>
      <c r="OE49" s="38">
        <f t="shared" si="20"/>
        <v>1</v>
      </c>
      <c r="OF49" s="35">
        <f>COUNTIF(CL49:EA49,"1")</f>
        <v>0</v>
      </c>
      <c r="OG49" s="80" t="e">
        <f>OF50/OF49</f>
        <v>#DIV/0!</v>
      </c>
      <c r="OH49" s="29">
        <f>+IF(OJ49&gt;=1,"1",0)</f>
        <v>0</v>
      </c>
      <c r="OI49" s="38">
        <f t="shared" si="21"/>
        <v>1</v>
      </c>
      <c r="OJ49" s="35">
        <f>COUNTIF(EB49:FQ49,"1")</f>
        <v>0</v>
      </c>
      <c r="OK49" s="79" t="e">
        <f>OJ50/OJ49</f>
        <v>#DIV/0!</v>
      </c>
      <c r="OL49" s="29">
        <f>+IF(ON49&gt;=1,"1",0)</f>
        <v>0</v>
      </c>
      <c r="OM49" s="38">
        <f t="shared" si="22"/>
        <v>1</v>
      </c>
      <c r="ON49" s="35">
        <f>COUNTIF(FR49:HG49,"1")</f>
        <v>0</v>
      </c>
      <c r="OO49" s="79" t="e">
        <f>ON50/ON49</f>
        <v>#DIV/0!</v>
      </c>
      <c r="OP49" s="29">
        <f>+IF(OR49&gt;=1,"1",0)</f>
        <v>0</v>
      </c>
      <c r="OQ49" s="38">
        <f t="shared" si="23"/>
        <v>1</v>
      </c>
      <c r="OR49" s="35">
        <f>COUNTIF(HH49:IW49,"1")</f>
        <v>0</v>
      </c>
      <c r="OS49" s="79" t="e">
        <f>OR50/OR49</f>
        <v>#DIV/0!</v>
      </c>
      <c r="OT49" s="29">
        <f>+IF(OV49&gt;=1,"1",0)</f>
        <v>0</v>
      </c>
      <c r="OU49" s="38">
        <f t="shared" si="24"/>
        <v>1</v>
      </c>
      <c r="OV49" s="35">
        <f>COUNTIF(IX49:KM49,"1")</f>
        <v>0</v>
      </c>
      <c r="OW49" s="79" t="e">
        <f>OV50/OV49</f>
        <v>#DIV/0!</v>
      </c>
      <c r="OX49" s="29">
        <f>+IF(OZ49&gt;=1,"1",0)</f>
        <v>0</v>
      </c>
      <c r="OY49" s="38">
        <f t="shared" si="25"/>
        <v>1</v>
      </c>
      <c r="OZ49" s="35">
        <f>COUNTIF(KN49:MC49,"1")</f>
        <v>0</v>
      </c>
      <c r="PA49" s="79" t="e">
        <f>OZ50/OZ49</f>
        <v>#DIV/0!</v>
      </c>
      <c r="PB49" s="29">
        <f>+IF(PD49&gt;=1,"1",0)</f>
        <v>0</v>
      </c>
      <c r="PC49" s="38">
        <f t="shared" si="26"/>
        <v>1</v>
      </c>
      <c r="PD49" s="35">
        <f>COUNTIF(MD49:NS49,"1")</f>
        <v>0</v>
      </c>
      <c r="PE49" s="79" t="e">
        <f>PD50/PD49</f>
        <v>#DIV/0!</v>
      </c>
    </row>
    <row r="50" spans="1:421" ht="15.75" customHeight="1" outlineLevel="1" thickBot="1" x14ac:dyDescent="0.3">
      <c r="C50" s="89"/>
      <c r="D50" s="120"/>
      <c r="E50" s="54" t="s">
        <v>9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70"/>
      <c r="Q50" s="34"/>
      <c r="R50" s="34"/>
      <c r="S50" s="34"/>
      <c r="T50" s="34"/>
      <c r="U50" s="34"/>
      <c r="V50" s="34"/>
      <c r="W50" s="70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  <c r="HI50" s="34"/>
      <c r="HJ50" s="34"/>
      <c r="HK50" s="34"/>
      <c r="HL50" s="34"/>
      <c r="HM50" s="34"/>
      <c r="HN50" s="34"/>
      <c r="HO50" s="34"/>
      <c r="HP50" s="34"/>
      <c r="HQ50" s="34"/>
      <c r="HR50" s="34"/>
      <c r="HS50" s="34"/>
      <c r="HT50" s="34"/>
      <c r="HU50" s="34"/>
      <c r="HV50" s="34"/>
      <c r="HW50" s="34"/>
      <c r="HX50" s="34"/>
      <c r="HY50" s="34"/>
      <c r="HZ50" s="34"/>
      <c r="IA50" s="34"/>
      <c r="IB50" s="34"/>
      <c r="IC50" s="34"/>
      <c r="ID50" s="34"/>
      <c r="IE50" s="34"/>
      <c r="IF50" s="34"/>
      <c r="IG50" s="34"/>
      <c r="IH50" s="34"/>
      <c r="II50" s="34"/>
      <c r="IJ50" s="34"/>
      <c r="IK50" s="34"/>
      <c r="IL50" s="34"/>
      <c r="IM50" s="34"/>
      <c r="IN50" s="34"/>
      <c r="IO50" s="34"/>
      <c r="IP50" s="34"/>
      <c r="IQ50" s="34"/>
      <c r="IR50" s="34"/>
      <c r="IS50" s="34"/>
      <c r="IT50" s="34"/>
      <c r="IU50" s="34"/>
      <c r="IV50" s="34"/>
      <c r="IW50" s="34"/>
      <c r="IX50" s="34"/>
      <c r="IY50" s="34"/>
      <c r="IZ50" s="34"/>
      <c r="JA50" s="34"/>
      <c r="JB50" s="34"/>
      <c r="JC50" s="34"/>
      <c r="JD50" s="34"/>
      <c r="JE50" s="34"/>
      <c r="JF50" s="34"/>
      <c r="JG50" s="34"/>
      <c r="JH50" s="34"/>
      <c r="JI50" s="34"/>
      <c r="JJ50" s="34"/>
      <c r="JK50" s="34"/>
      <c r="JL50" s="34"/>
      <c r="JM50" s="34"/>
      <c r="JN50" s="34"/>
      <c r="JO50" s="34"/>
      <c r="JP50" s="34"/>
      <c r="JQ50" s="34"/>
      <c r="JR50" s="34"/>
      <c r="JS50" s="34"/>
      <c r="JT50" s="34"/>
      <c r="JU50" s="34"/>
      <c r="JV50" s="34"/>
      <c r="JW50" s="34"/>
      <c r="JX50" s="34"/>
      <c r="JY50" s="34"/>
      <c r="JZ50" s="34"/>
      <c r="KA50" s="34"/>
      <c r="KB50" s="34"/>
      <c r="KC50" s="34"/>
      <c r="KD50" s="34"/>
      <c r="KE50" s="34"/>
      <c r="KF50" s="34"/>
      <c r="KG50" s="34"/>
      <c r="KH50" s="34"/>
      <c r="KI50" s="34"/>
      <c r="KJ50" s="34"/>
      <c r="KK50" s="34"/>
      <c r="KL50" s="34"/>
      <c r="KM50" s="34"/>
      <c r="KN50" s="34"/>
      <c r="KO50" s="34"/>
      <c r="KP50" s="34"/>
      <c r="KQ50" s="34"/>
      <c r="KR50" s="34"/>
      <c r="KS50" s="34"/>
      <c r="KT50" s="34"/>
      <c r="KU50" s="34"/>
      <c r="KV50" s="34"/>
      <c r="KW50" s="34"/>
      <c r="KX50" s="34"/>
      <c r="KY50" s="34"/>
      <c r="KZ50" s="34"/>
      <c r="LA50" s="34"/>
      <c r="LB50" s="34"/>
      <c r="LC50" s="34"/>
      <c r="LD50" s="34"/>
      <c r="LE50" s="34"/>
      <c r="LF50" s="34"/>
      <c r="LG50" s="34"/>
      <c r="LH50" s="34"/>
      <c r="LI50" s="34"/>
      <c r="LJ50" s="34"/>
      <c r="LK50" s="34"/>
      <c r="LL50" s="34"/>
      <c r="LM50" s="34"/>
      <c r="LN50" s="34"/>
      <c r="LO50" s="34"/>
      <c r="LP50" s="34"/>
      <c r="LQ50" s="34"/>
      <c r="LR50" s="34"/>
      <c r="LS50" s="34"/>
      <c r="LT50" s="34"/>
      <c r="LU50" s="34"/>
      <c r="LV50" s="34"/>
      <c r="LW50" s="34"/>
      <c r="LX50" s="34"/>
      <c r="LY50" s="34"/>
      <c r="LZ50" s="34"/>
      <c r="MA50" s="34"/>
      <c r="MB50" s="34"/>
      <c r="MC50" s="34"/>
      <c r="MD50" s="34"/>
      <c r="ME50" s="34"/>
      <c r="MF50" s="34"/>
      <c r="MG50" s="34"/>
      <c r="MH50" s="34"/>
      <c r="MI50" s="34"/>
      <c r="MJ50" s="34"/>
      <c r="MK50" s="34"/>
      <c r="ML50" s="34"/>
      <c r="MM50" s="34"/>
      <c r="MN50" s="34"/>
      <c r="MO50" s="34"/>
      <c r="MP50" s="34"/>
      <c r="MQ50" s="34"/>
      <c r="MR50" s="34"/>
      <c r="MS50" s="34"/>
      <c r="MT50" s="34"/>
      <c r="MU50" s="34"/>
      <c r="MV50" s="34"/>
      <c r="MW50" s="34"/>
      <c r="MX50" s="34"/>
      <c r="MY50" s="34"/>
      <c r="MZ50" s="34"/>
      <c r="NA50" s="34"/>
      <c r="NB50" s="34"/>
      <c r="NC50" s="34"/>
      <c r="ND50" s="34"/>
      <c r="NE50" s="34"/>
      <c r="NF50" s="34"/>
      <c r="NG50" s="34"/>
      <c r="NH50" s="34"/>
      <c r="NI50" s="34"/>
      <c r="NJ50" s="34"/>
      <c r="NK50" s="34"/>
      <c r="NL50" s="34"/>
      <c r="NM50" s="34"/>
      <c r="NN50" s="34"/>
      <c r="NO50" s="34"/>
      <c r="NP50" s="34"/>
      <c r="NQ50" s="34"/>
      <c r="NR50" s="34"/>
      <c r="NS50" s="34"/>
      <c r="NT50" s="7">
        <f>COUNTIF(F50:NS50,"x")</f>
        <v>0</v>
      </c>
      <c r="NU50" s="81"/>
      <c r="NV50" s="32" t="str">
        <f>IF(NX50=0,"0",NX50/NX49)</f>
        <v>0</v>
      </c>
      <c r="NW50" s="37">
        <f t="shared" si="18"/>
        <v>0</v>
      </c>
      <c r="NX50" s="36">
        <f>COUNTIF(F50:AU50,"x")</f>
        <v>0</v>
      </c>
      <c r="NY50" s="81"/>
      <c r="NZ50" s="32" t="str">
        <f>IF(OB50=0,"0",OB50/OB49)</f>
        <v>0</v>
      </c>
      <c r="OA50" s="37">
        <f t="shared" si="19"/>
        <v>0</v>
      </c>
      <c r="OB50" s="36">
        <f>COUNTIF(AV50:CK50,"x")</f>
        <v>0</v>
      </c>
      <c r="OC50" s="81"/>
      <c r="OD50" s="32" t="str">
        <f>IF(OF50=0,"0",OF50/OF49)</f>
        <v>0</v>
      </c>
      <c r="OE50" s="37">
        <f t="shared" si="20"/>
        <v>0</v>
      </c>
      <c r="OF50" s="36">
        <f>COUNTIF(CL50:EA50,"x")</f>
        <v>0</v>
      </c>
      <c r="OG50" s="81"/>
      <c r="OH50" s="32" t="str">
        <f>IF(OJ50=0,"0",OJ50/OJ49)</f>
        <v>0</v>
      </c>
      <c r="OI50" s="37">
        <f t="shared" si="21"/>
        <v>0</v>
      </c>
      <c r="OJ50" s="36">
        <f>COUNTIF(EB50:FQ50,"x")</f>
        <v>0</v>
      </c>
      <c r="OK50" s="74"/>
      <c r="OL50" s="32" t="str">
        <f>IF(ON50=0,"0",ON50/ON49)</f>
        <v>0</v>
      </c>
      <c r="OM50" s="37">
        <f t="shared" si="22"/>
        <v>0</v>
      </c>
      <c r="ON50" s="36">
        <f>COUNTIF(FR50:HG50,"x")</f>
        <v>0</v>
      </c>
      <c r="OO50" s="74"/>
      <c r="OP50" s="32" t="str">
        <f>IF(OR50=0,"0",OR50/OR49)</f>
        <v>0</v>
      </c>
      <c r="OQ50" s="37">
        <f t="shared" si="23"/>
        <v>0</v>
      </c>
      <c r="OR50" s="36">
        <f>COUNTIF(HH50:IW50,"x")</f>
        <v>0</v>
      </c>
      <c r="OS50" s="74"/>
      <c r="OT50" s="32" t="str">
        <f>IF(OV50=0,"0",OV50/OV49)</f>
        <v>0</v>
      </c>
      <c r="OU50" s="37">
        <f t="shared" si="24"/>
        <v>0</v>
      </c>
      <c r="OV50" s="36">
        <f>COUNTIF(IX50:KM50,"x")</f>
        <v>0</v>
      </c>
      <c r="OW50" s="74"/>
      <c r="OX50" s="32" t="str">
        <f>IF(OZ50=0,"0",OZ50/OZ49)</f>
        <v>0</v>
      </c>
      <c r="OY50" s="37">
        <f t="shared" si="25"/>
        <v>0</v>
      </c>
      <c r="OZ50" s="36">
        <f>COUNTIF(KN50:MC50,"x")</f>
        <v>0</v>
      </c>
      <c r="PA50" s="74"/>
      <c r="PB50" s="32" t="str">
        <f>IF(PD50=0,"0",PD50/PD49)</f>
        <v>0</v>
      </c>
      <c r="PC50" s="37">
        <f t="shared" si="26"/>
        <v>0</v>
      </c>
      <c r="PD50" s="36">
        <f>COUNTIF(MD50:NS50,"x")</f>
        <v>0</v>
      </c>
      <c r="PE50" s="74"/>
    </row>
    <row r="51" spans="1:421" ht="15.75" customHeight="1" outlineLevel="1" x14ac:dyDescent="0.25">
      <c r="C51" s="88" t="s">
        <v>80</v>
      </c>
      <c r="D51" s="119" t="s">
        <v>92</v>
      </c>
      <c r="E51" s="53" t="s">
        <v>8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69"/>
      <c r="Q51" s="33"/>
      <c r="R51" s="33"/>
      <c r="S51" s="33"/>
      <c r="T51" s="33"/>
      <c r="U51" s="33"/>
      <c r="V51" s="33"/>
      <c r="W51" s="69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>
        <v>1</v>
      </c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3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  <c r="IW51" s="33"/>
      <c r="IX51" s="33"/>
      <c r="IY51" s="33"/>
      <c r="IZ51" s="33"/>
      <c r="JA51" s="33"/>
      <c r="JB51" s="33"/>
      <c r="JC51" s="33"/>
      <c r="JD51" s="33"/>
      <c r="JE51" s="33"/>
      <c r="JF51" s="33"/>
      <c r="JG51" s="33"/>
      <c r="JH51" s="33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3"/>
      <c r="JX51" s="33"/>
      <c r="JY51" s="33"/>
      <c r="JZ51" s="33"/>
      <c r="KA51" s="33"/>
      <c r="KB51" s="33"/>
      <c r="KC51" s="33"/>
      <c r="KD51" s="33"/>
      <c r="KE51" s="33"/>
      <c r="KF51" s="33"/>
      <c r="KG51" s="33"/>
      <c r="KH51" s="33"/>
      <c r="KI51" s="33"/>
      <c r="KJ51" s="33"/>
      <c r="KK51" s="33"/>
      <c r="KL51" s="33"/>
      <c r="KM51" s="33"/>
      <c r="KN51" s="33"/>
      <c r="KO51" s="33"/>
      <c r="KP51" s="33"/>
      <c r="KQ51" s="33"/>
      <c r="KR51" s="33"/>
      <c r="KS51" s="33"/>
      <c r="KT51" s="33"/>
      <c r="KU51" s="33"/>
      <c r="KV51" s="33"/>
      <c r="KW51" s="33"/>
      <c r="KX51" s="33"/>
      <c r="KY51" s="33"/>
      <c r="KZ51" s="33"/>
      <c r="LA51" s="33"/>
      <c r="LB51" s="33"/>
      <c r="LC51" s="33"/>
      <c r="LD51" s="33"/>
      <c r="LE51" s="33"/>
      <c r="LF51" s="33"/>
      <c r="LG51" s="33"/>
      <c r="LH51" s="33"/>
      <c r="LI51" s="33"/>
      <c r="LJ51" s="33"/>
      <c r="LK51" s="33"/>
      <c r="LL51" s="33"/>
      <c r="LM51" s="33"/>
      <c r="LN51" s="33"/>
      <c r="LO51" s="33"/>
      <c r="LP51" s="33"/>
      <c r="LQ51" s="33"/>
      <c r="LR51" s="33"/>
      <c r="LS51" s="33"/>
      <c r="LT51" s="33"/>
      <c r="LU51" s="33"/>
      <c r="LV51" s="33"/>
      <c r="LW51" s="33"/>
      <c r="LX51" s="33"/>
      <c r="LY51" s="33"/>
      <c r="LZ51" s="33"/>
      <c r="MA51" s="33"/>
      <c r="MB51" s="33"/>
      <c r="MC51" s="33"/>
      <c r="MD51" s="33"/>
      <c r="ME51" s="33"/>
      <c r="MF51" s="33"/>
      <c r="MG51" s="33"/>
      <c r="MH51" s="33"/>
      <c r="MI51" s="33"/>
      <c r="MJ51" s="33"/>
      <c r="MK51" s="33"/>
      <c r="ML51" s="33"/>
      <c r="MM51" s="33"/>
      <c r="MN51" s="33"/>
      <c r="MO51" s="33"/>
      <c r="MP51" s="33"/>
      <c r="MQ51" s="33"/>
      <c r="MR51" s="33"/>
      <c r="MS51" s="33"/>
      <c r="MT51" s="33"/>
      <c r="MU51" s="33"/>
      <c r="MV51" s="33"/>
      <c r="MW51" s="33"/>
      <c r="MX51" s="33"/>
      <c r="MY51" s="33"/>
      <c r="MZ51" s="33"/>
      <c r="NA51" s="33"/>
      <c r="NB51" s="33"/>
      <c r="NC51" s="33"/>
      <c r="ND51" s="33"/>
      <c r="NE51" s="33"/>
      <c r="NF51" s="33"/>
      <c r="NG51" s="33"/>
      <c r="NH51" s="33"/>
      <c r="NI51" s="33"/>
      <c r="NJ51" s="33"/>
      <c r="NK51" s="33"/>
      <c r="NL51" s="33"/>
      <c r="NM51" s="33"/>
      <c r="NN51" s="33"/>
      <c r="NO51" s="33"/>
      <c r="NP51" s="33"/>
      <c r="NQ51" s="33"/>
      <c r="NR51" s="33"/>
      <c r="NS51" s="33"/>
      <c r="NT51" s="31">
        <f>COUNTIF(F51:NS51,"1")</f>
        <v>1</v>
      </c>
      <c r="NU51" s="80">
        <f>NT52/NT51</f>
        <v>1</v>
      </c>
      <c r="NV51" s="29" t="str">
        <f>+IF(NX51&gt;=1,"1",0)</f>
        <v>1</v>
      </c>
      <c r="NW51" s="38">
        <f t="shared" si="18"/>
        <v>1</v>
      </c>
      <c r="NX51" s="35">
        <f>COUNTIF(F51:AU51,"1")</f>
        <v>1</v>
      </c>
      <c r="NY51" s="80">
        <f>NX52/NX51</f>
        <v>1</v>
      </c>
      <c r="NZ51" s="29">
        <f>+IF(OB51&gt;=1,"1",0)</f>
        <v>0</v>
      </c>
      <c r="OA51" s="38">
        <f t="shared" si="19"/>
        <v>1</v>
      </c>
      <c r="OB51" s="35">
        <f>COUNTIF(AV51:CK51,"1")</f>
        <v>0</v>
      </c>
      <c r="OC51" s="80" t="e">
        <f>OB52/OB51</f>
        <v>#DIV/0!</v>
      </c>
      <c r="OD51" s="29">
        <f>+IF(OF51&gt;=1,"1",0)</f>
        <v>0</v>
      </c>
      <c r="OE51" s="38">
        <f t="shared" si="20"/>
        <v>1</v>
      </c>
      <c r="OF51" s="35">
        <f>COUNTIF(CL51:EA51,"1")</f>
        <v>0</v>
      </c>
      <c r="OG51" s="80" t="e">
        <f>OF52/OF51</f>
        <v>#DIV/0!</v>
      </c>
      <c r="OH51" s="29">
        <f>+IF(OJ51&gt;=1,"1",0)</f>
        <v>0</v>
      </c>
      <c r="OI51" s="38">
        <f t="shared" si="21"/>
        <v>1</v>
      </c>
      <c r="OJ51" s="35">
        <f>COUNTIF(EB51:FQ51,"1")</f>
        <v>0</v>
      </c>
      <c r="OK51" s="79" t="e">
        <f>OJ52/OJ51</f>
        <v>#DIV/0!</v>
      </c>
      <c r="OL51" s="29">
        <f>+IF(ON51&gt;=1,"1",0)</f>
        <v>0</v>
      </c>
      <c r="OM51" s="38">
        <f t="shared" si="22"/>
        <v>1</v>
      </c>
      <c r="ON51" s="35">
        <f>COUNTIF(FR51:HG51,"1")</f>
        <v>0</v>
      </c>
      <c r="OO51" s="79" t="e">
        <f>ON52/ON51</f>
        <v>#DIV/0!</v>
      </c>
      <c r="OP51" s="29">
        <f>+IF(OR51&gt;=1,"1",0)</f>
        <v>0</v>
      </c>
      <c r="OQ51" s="38">
        <f t="shared" si="23"/>
        <v>1</v>
      </c>
      <c r="OR51" s="35">
        <f>COUNTIF(HH51:IW51,"1")</f>
        <v>0</v>
      </c>
      <c r="OS51" s="79" t="e">
        <f>OR52/OR51</f>
        <v>#DIV/0!</v>
      </c>
      <c r="OT51" s="29">
        <f>+IF(OV51&gt;=1,"1",0)</f>
        <v>0</v>
      </c>
      <c r="OU51" s="38">
        <f t="shared" si="24"/>
        <v>1</v>
      </c>
      <c r="OV51" s="35">
        <f>COUNTIF(IX51:KM51,"1")</f>
        <v>0</v>
      </c>
      <c r="OW51" s="79" t="e">
        <f>OV52/OV51</f>
        <v>#DIV/0!</v>
      </c>
      <c r="OX51" s="29">
        <f>+IF(OZ51&gt;=1,"1",0)</f>
        <v>0</v>
      </c>
      <c r="OY51" s="38">
        <f t="shared" si="25"/>
        <v>1</v>
      </c>
      <c r="OZ51" s="35">
        <f>COUNTIF(KN51:MC51,"1")</f>
        <v>0</v>
      </c>
      <c r="PA51" s="79" t="e">
        <f>OZ52/OZ51</f>
        <v>#DIV/0!</v>
      </c>
      <c r="PB51" s="29">
        <f>+IF(PD51&gt;=1,"1",0)</f>
        <v>0</v>
      </c>
      <c r="PC51" s="38">
        <f t="shared" si="26"/>
        <v>1</v>
      </c>
      <c r="PD51" s="35">
        <f>COUNTIF(MD51:NS51,"1")</f>
        <v>0</v>
      </c>
      <c r="PE51" s="79" t="e">
        <f>PD52/PD51</f>
        <v>#DIV/0!</v>
      </c>
    </row>
    <row r="52" spans="1:421" ht="15.75" customHeight="1" outlineLevel="1" thickBot="1" x14ac:dyDescent="0.3">
      <c r="C52" s="89"/>
      <c r="D52" s="120"/>
      <c r="E52" s="54" t="s">
        <v>9</v>
      </c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70"/>
      <c r="Q52" s="34"/>
      <c r="R52" s="34"/>
      <c r="S52" s="34"/>
      <c r="T52" s="34"/>
      <c r="U52" s="34"/>
      <c r="V52" s="34"/>
      <c r="W52" s="70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 t="s">
        <v>75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  <c r="HL52" s="34"/>
      <c r="HM52" s="34"/>
      <c r="HN52" s="34"/>
      <c r="HO52" s="34"/>
      <c r="HP52" s="34"/>
      <c r="HQ52" s="34"/>
      <c r="HR52" s="34"/>
      <c r="HS52" s="34"/>
      <c r="HT52" s="34"/>
      <c r="HU52" s="34"/>
      <c r="HV52" s="34"/>
      <c r="HW52" s="34"/>
      <c r="HX52" s="34"/>
      <c r="HY52" s="34"/>
      <c r="HZ52" s="34"/>
      <c r="IA52" s="34"/>
      <c r="IB52" s="34"/>
      <c r="IC52" s="34"/>
      <c r="ID52" s="34"/>
      <c r="IE52" s="34"/>
      <c r="IF52" s="34"/>
      <c r="IG52" s="34"/>
      <c r="IH52" s="34"/>
      <c r="II52" s="34"/>
      <c r="IJ52" s="34"/>
      <c r="IK52" s="34"/>
      <c r="IL52" s="34"/>
      <c r="IM52" s="34"/>
      <c r="IN52" s="34"/>
      <c r="IO52" s="34"/>
      <c r="IP52" s="34"/>
      <c r="IQ52" s="34"/>
      <c r="IR52" s="34"/>
      <c r="IS52" s="34"/>
      <c r="IT52" s="34"/>
      <c r="IU52" s="34"/>
      <c r="IV52" s="34"/>
      <c r="IW52" s="34"/>
      <c r="IX52" s="34"/>
      <c r="IY52" s="34"/>
      <c r="IZ52" s="34"/>
      <c r="JA52" s="34"/>
      <c r="JB52" s="34"/>
      <c r="JC52" s="34"/>
      <c r="JD52" s="34"/>
      <c r="JE52" s="34"/>
      <c r="JF52" s="34"/>
      <c r="JG52" s="34"/>
      <c r="JH52" s="34"/>
      <c r="JI52" s="34"/>
      <c r="JJ52" s="34"/>
      <c r="JK52" s="34"/>
      <c r="JL52" s="34"/>
      <c r="JM52" s="34"/>
      <c r="JN52" s="34"/>
      <c r="JO52" s="34"/>
      <c r="JP52" s="34"/>
      <c r="JQ52" s="34"/>
      <c r="JR52" s="34"/>
      <c r="JS52" s="34"/>
      <c r="JT52" s="34"/>
      <c r="JU52" s="34"/>
      <c r="JV52" s="34"/>
      <c r="JW52" s="34"/>
      <c r="JX52" s="34"/>
      <c r="JY52" s="34"/>
      <c r="JZ52" s="34"/>
      <c r="KA52" s="34"/>
      <c r="KB52" s="34"/>
      <c r="KC52" s="34"/>
      <c r="KD52" s="34"/>
      <c r="KE52" s="34"/>
      <c r="KF52" s="34"/>
      <c r="KG52" s="34"/>
      <c r="KH52" s="34"/>
      <c r="KI52" s="34"/>
      <c r="KJ52" s="34"/>
      <c r="KK52" s="34"/>
      <c r="KL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  <c r="KW52" s="34"/>
      <c r="KX52" s="34"/>
      <c r="KY52" s="34"/>
      <c r="KZ52" s="34"/>
      <c r="LA52" s="34"/>
      <c r="LB52" s="34"/>
      <c r="LC52" s="34"/>
      <c r="LD52" s="34"/>
      <c r="LE52" s="34"/>
      <c r="LF52" s="34"/>
      <c r="LG52" s="34"/>
      <c r="LH52" s="34"/>
      <c r="LI52" s="34"/>
      <c r="LJ52" s="34"/>
      <c r="LK52" s="34"/>
      <c r="LL52" s="34"/>
      <c r="LM52" s="34"/>
      <c r="LN52" s="34"/>
      <c r="LO52" s="34"/>
      <c r="LP52" s="34"/>
      <c r="LQ52" s="34"/>
      <c r="LR52" s="34"/>
      <c r="LS52" s="34"/>
      <c r="LT52" s="34"/>
      <c r="LU52" s="34"/>
      <c r="LV52" s="34"/>
      <c r="LW52" s="34"/>
      <c r="LX52" s="34"/>
      <c r="LY52" s="34"/>
      <c r="LZ52" s="34"/>
      <c r="MA52" s="34"/>
      <c r="MB52" s="34"/>
      <c r="MC52" s="34"/>
      <c r="MD52" s="34"/>
      <c r="ME52" s="34"/>
      <c r="MF52" s="34"/>
      <c r="MG52" s="34"/>
      <c r="MH52" s="34"/>
      <c r="MI52" s="34"/>
      <c r="MJ52" s="34"/>
      <c r="MK52" s="34"/>
      <c r="ML52" s="34"/>
      <c r="MM52" s="34"/>
      <c r="MN52" s="34"/>
      <c r="MO52" s="34"/>
      <c r="MP52" s="34"/>
      <c r="MQ52" s="34"/>
      <c r="MR52" s="34"/>
      <c r="MS52" s="34"/>
      <c r="MT52" s="34"/>
      <c r="MU52" s="34"/>
      <c r="MV52" s="34"/>
      <c r="MW52" s="34"/>
      <c r="MX52" s="34"/>
      <c r="MY52" s="34"/>
      <c r="MZ52" s="34"/>
      <c r="NA52" s="34"/>
      <c r="NB52" s="34"/>
      <c r="NC52" s="34"/>
      <c r="ND52" s="34"/>
      <c r="NE52" s="34"/>
      <c r="NF52" s="34"/>
      <c r="NG52" s="34"/>
      <c r="NH52" s="34"/>
      <c r="NI52" s="34"/>
      <c r="NJ52" s="34"/>
      <c r="NK52" s="34"/>
      <c r="NL52" s="34"/>
      <c r="NM52" s="34"/>
      <c r="NN52" s="34"/>
      <c r="NO52" s="34"/>
      <c r="NP52" s="34"/>
      <c r="NQ52" s="34"/>
      <c r="NR52" s="34"/>
      <c r="NS52" s="34"/>
      <c r="NT52" s="7">
        <f>COUNTIF(F52:NS52,"x")</f>
        <v>1</v>
      </c>
      <c r="NU52" s="81"/>
      <c r="NV52" s="32">
        <f>IF(NX52=0,"0",NX52/NX51)</f>
        <v>1</v>
      </c>
      <c r="NW52" s="37">
        <f t="shared" si="18"/>
        <v>0</v>
      </c>
      <c r="NX52" s="36">
        <f>COUNTIF(F52:AU52,"x")</f>
        <v>1</v>
      </c>
      <c r="NY52" s="81"/>
      <c r="NZ52" s="32" t="str">
        <f>IF(OB52=0,"0",OB52/OB51)</f>
        <v>0</v>
      </c>
      <c r="OA52" s="37">
        <f t="shared" si="19"/>
        <v>0</v>
      </c>
      <c r="OB52" s="36">
        <f>COUNTIF(AV52:CK52,"x")</f>
        <v>0</v>
      </c>
      <c r="OC52" s="81"/>
      <c r="OD52" s="32" t="str">
        <f>IF(OF52=0,"0",OF52/OF51)</f>
        <v>0</v>
      </c>
      <c r="OE52" s="37">
        <f t="shared" si="20"/>
        <v>0</v>
      </c>
      <c r="OF52" s="36">
        <f>COUNTIF(CL52:EA52,"x")</f>
        <v>0</v>
      </c>
      <c r="OG52" s="81"/>
      <c r="OH52" s="32" t="str">
        <f>IF(OJ52=0,"0",OJ52/OJ51)</f>
        <v>0</v>
      </c>
      <c r="OI52" s="37">
        <f t="shared" si="21"/>
        <v>0</v>
      </c>
      <c r="OJ52" s="36">
        <f>COUNTIF(EB52:FQ52,"x")</f>
        <v>0</v>
      </c>
      <c r="OK52" s="74"/>
      <c r="OL52" s="32" t="str">
        <f>IF(ON52=0,"0",ON52/ON51)</f>
        <v>0</v>
      </c>
      <c r="OM52" s="37">
        <f t="shared" si="22"/>
        <v>0</v>
      </c>
      <c r="ON52" s="36">
        <f>COUNTIF(FR52:HG52,"x")</f>
        <v>0</v>
      </c>
      <c r="OO52" s="74"/>
      <c r="OP52" s="32" t="str">
        <f>IF(OR52=0,"0",OR52/OR51)</f>
        <v>0</v>
      </c>
      <c r="OQ52" s="37">
        <f t="shared" si="23"/>
        <v>0</v>
      </c>
      <c r="OR52" s="36">
        <f>COUNTIF(HH52:IW52,"x")</f>
        <v>0</v>
      </c>
      <c r="OS52" s="74"/>
      <c r="OT52" s="32" t="str">
        <f>IF(OV52=0,"0",OV52/OV51)</f>
        <v>0</v>
      </c>
      <c r="OU52" s="37">
        <f t="shared" si="24"/>
        <v>0</v>
      </c>
      <c r="OV52" s="36">
        <f>COUNTIF(IX52:KM52,"x")</f>
        <v>0</v>
      </c>
      <c r="OW52" s="74"/>
      <c r="OX52" s="32" t="str">
        <f>IF(OZ52=0,"0",OZ52/OZ51)</f>
        <v>0</v>
      </c>
      <c r="OY52" s="37">
        <f t="shared" si="25"/>
        <v>0</v>
      </c>
      <c r="OZ52" s="36">
        <f>COUNTIF(KN52:MC52,"x")</f>
        <v>0</v>
      </c>
      <c r="PA52" s="74"/>
      <c r="PB52" s="32" t="str">
        <f>IF(PD52=0,"0",PD52/PD51)</f>
        <v>0</v>
      </c>
      <c r="PC52" s="37">
        <f t="shared" si="26"/>
        <v>0</v>
      </c>
      <c r="PD52" s="36">
        <f>COUNTIF(MD52:NS52,"x")</f>
        <v>0</v>
      </c>
      <c r="PE52" s="74"/>
    </row>
    <row r="53" spans="1:421" ht="15.75" customHeight="1" outlineLevel="1" x14ac:dyDescent="0.25">
      <c r="C53" s="86" t="s">
        <v>91</v>
      </c>
      <c r="D53" s="119" t="s">
        <v>92</v>
      </c>
      <c r="E53" s="53" t="s">
        <v>8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69"/>
      <c r="Q53" s="33"/>
      <c r="R53" s="33"/>
      <c r="S53" s="33"/>
      <c r="T53" s="33"/>
      <c r="U53" s="33"/>
      <c r="V53" s="33"/>
      <c r="W53" s="69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 t="s">
        <v>74</v>
      </c>
      <c r="AN53" s="33" t="s">
        <v>74</v>
      </c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>
        <v>1</v>
      </c>
      <c r="BW53" s="33">
        <v>1</v>
      </c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  <c r="IX53" s="33"/>
      <c r="IY53" s="33"/>
      <c r="IZ53" s="33"/>
      <c r="JA53" s="33"/>
      <c r="JB53" s="33"/>
      <c r="JC53" s="33"/>
      <c r="JD53" s="33"/>
      <c r="JE53" s="33"/>
      <c r="JF53" s="33"/>
      <c r="JG53" s="33"/>
      <c r="JH53" s="33"/>
      <c r="JI53" s="33"/>
      <c r="JJ53" s="33"/>
      <c r="JK53" s="33"/>
      <c r="JL53" s="33"/>
      <c r="JM53" s="33"/>
      <c r="JN53" s="33"/>
      <c r="JO53" s="33"/>
      <c r="JP53" s="33"/>
      <c r="JQ53" s="33"/>
      <c r="JR53" s="33"/>
      <c r="JS53" s="33"/>
      <c r="JT53" s="33"/>
      <c r="JU53" s="33"/>
      <c r="JV53" s="33"/>
      <c r="JW53" s="33"/>
      <c r="JX53" s="33"/>
      <c r="JY53" s="33"/>
      <c r="JZ53" s="33"/>
      <c r="KA53" s="33"/>
      <c r="KB53" s="33"/>
      <c r="KC53" s="33"/>
      <c r="KD53" s="33"/>
      <c r="KE53" s="33"/>
      <c r="KF53" s="33"/>
      <c r="KG53" s="33"/>
      <c r="KH53" s="33"/>
      <c r="KI53" s="33"/>
      <c r="KJ53" s="33"/>
      <c r="KK53" s="33"/>
      <c r="KL53" s="33"/>
      <c r="KM53" s="33"/>
      <c r="KN53" s="33"/>
      <c r="KO53" s="33"/>
      <c r="KP53" s="33"/>
      <c r="KQ53" s="33"/>
      <c r="KR53" s="33"/>
      <c r="KS53" s="33"/>
      <c r="KT53" s="33"/>
      <c r="KU53" s="33"/>
      <c r="KV53" s="33"/>
      <c r="KW53" s="33"/>
      <c r="KX53" s="33"/>
      <c r="KY53" s="33"/>
      <c r="KZ53" s="33"/>
      <c r="LA53" s="33"/>
      <c r="LB53" s="33"/>
      <c r="LC53" s="33"/>
      <c r="LD53" s="33"/>
      <c r="LE53" s="33"/>
      <c r="LF53" s="33"/>
      <c r="LG53" s="33"/>
      <c r="LH53" s="33"/>
      <c r="LI53" s="33"/>
      <c r="LJ53" s="33"/>
      <c r="LK53" s="33"/>
      <c r="LL53" s="33"/>
      <c r="LM53" s="33"/>
      <c r="LN53" s="33"/>
      <c r="LO53" s="33"/>
      <c r="LP53" s="33"/>
      <c r="LQ53" s="33"/>
      <c r="LR53" s="33"/>
      <c r="LS53" s="33"/>
      <c r="LT53" s="33"/>
      <c r="LU53" s="33"/>
      <c r="LV53" s="33"/>
      <c r="LW53" s="33"/>
      <c r="LX53" s="33"/>
      <c r="LY53" s="33"/>
      <c r="LZ53" s="33"/>
      <c r="MA53" s="33"/>
      <c r="MB53" s="33"/>
      <c r="MC53" s="33"/>
      <c r="MD53" s="33"/>
      <c r="ME53" s="33"/>
      <c r="MF53" s="33"/>
      <c r="MG53" s="33"/>
      <c r="MH53" s="33"/>
      <c r="MI53" s="33"/>
      <c r="MJ53" s="33"/>
      <c r="MK53" s="33"/>
      <c r="ML53" s="33"/>
      <c r="MM53" s="33"/>
      <c r="MN53" s="33"/>
      <c r="MO53" s="33"/>
      <c r="MP53" s="33"/>
      <c r="MQ53" s="33"/>
      <c r="MR53" s="33"/>
      <c r="MS53" s="33"/>
      <c r="MT53" s="33"/>
      <c r="MU53" s="33"/>
      <c r="MV53" s="33"/>
      <c r="MW53" s="33"/>
      <c r="MX53" s="33"/>
      <c r="MY53" s="33"/>
      <c r="MZ53" s="33"/>
      <c r="NA53" s="33"/>
      <c r="NB53" s="33"/>
      <c r="NC53" s="33"/>
      <c r="ND53" s="33"/>
      <c r="NE53" s="33"/>
      <c r="NF53" s="33"/>
      <c r="NG53" s="33"/>
      <c r="NH53" s="33"/>
      <c r="NI53" s="33"/>
      <c r="NJ53" s="33"/>
      <c r="NK53" s="33"/>
      <c r="NL53" s="33"/>
      <c r="NM53" s="33"/>
      <c r="NN53" s="33"/>
      <c r="NO53" s="33"/>
      <c r="NP53" s="33"/>
      <c r="NQ53" s="33"/>
      <c r="NR53" s="33"/>
      <c r="NS53" s="33"/>
      <c r="NT53" s="31">
        <f t="shared" ref="NT53" si="27">COUNTIF(F53:NS53,"1")</f>
        <v>2</v>
      </c>
      <c r="NU53" s="80">
        <f t="shared" ref="NU53" si="28">NT54/NT53</f>
        <v>0</v>
      </c>
      <c r="NV53" s="29">
        <f t="shared" ref="NV53" si="29">+IF(NX53&gt;=1,"1",0)</f>
        <v>0</v>
      </c>
      <c r="NW53" s="38">
        <f t="shared" si="18"/>
        <v>1</v>
      </c>
      <c r="NX53" s="35">
        <f t="shared" ref="NX53" si="30">COUNTIF(F53:AU53,"1")</f>
        <v>0</v>
      </c>
      <c r="NY53" s="80" t="e">
        <f t="shared" ref="NY53" si="31">NX54/NX53</f>
        <v>#DIV/0!</v>
      </c>
      <c r="NZ53" s="29" t="str">
        <f t="shared" ref="NZ53" si="32">+IF(OB53&gt;=1,"1",0)</f>
        <v>1</v>
      </c>
      <c r="OA53" s="38">
        <f t="shared" si="19"/>
        <v>1</v>
      </c>
      <c r="OB53" s="35">
        <f t="shared" ref="OB53" si="33">COUNTIF(AV53:CK53,"1")</f>
        <v>2</v>
      </c>
      <c r="OC53" s="80">
        <f t="shared" ref="OC53" si="34">OB54/OB53</f>
        <v>0</v>
      </c>
      <c r="OD53" s="29">
        <f t="shared" ref="OD53" si="35">+IF(OF53&gt;=1,"1",0)</f>
        <v>0</v>
      </c>
      <c r="OE53" s="38">
        <f t="shared" si="20"/>
        <v>1</v>
      </c>
      <c r="OF53" s="35">
        <f t="shared" ref="OF53" si="36">COUNTIF(CL53:EA53,"1")</f>
        <v>0</v>
      </c>
      <c r="OG53" s="80" t="e">
        <f t="shared" ref="OG53" si="37">OF54/OF53</f>
        <v>#DIV/0!</v>
      </c>
      <c r="OH53" s="29">
        <f t="shared" ref="OH53" si="38">+IF(OJ53&gt;=1,"1",0)</f>
        <v>0</v>
      </c>
      <c r="OI53" s="38">
        <f t="shared" si="21"/>
        <v>1</v>
      </c>
      <c r="OJ53" s="35">
        <f t="shared" ref="OJ53" si="39">COUNTIF(EB53:FQ53,"1")</f>
        <v>0</v>
      </c>
      <c r="OK53" s="79" t="e">
        <f t="shared" ref="OK53" si="40">OJ54/OJ53</f>
        <v>#DIV/0!</v>
      </c>
      <c r="OL53" s="29">
        <f t="shared" ref="OL53" si="41">+IF(ON53&gt;=1,"1",0)</f>
        <v>0</v>
      </c>
      <c r="OM53" s="38">
        <f t="shared" si="22"/>
        <v>1</v>
      </c>
      <c r="ON53" s="35">
        <f t="shared" ref="ON53" si="42">COUNTIF(FR53:HG53,"1")</f>
        <v>0</v>
      </c>
      <c r="OO53" s="79" t="e">
        <f t="shared" ref="OO53" si="43">ON54/ON53</f>
        <v>#DIV/0!</v>
      </c>
      <c r="OP53" s="29">
        <f t="shared" ref="OP53" si="44">+IF(OR53&gt;=1,"1",0)</f>
        <v>0</v>
      </c>
      <c r="OQ53" s="38">
        <f t="shared" si="23"/>
        <v>1</v>
      </c>
      <c r="OR53" s="35">
        <f t="shared" ref="OR53" si="45">COUNTIF(HH53:IW53,"1")</f>
        <v>0</v>
      </c>
      <c r="OS53" s="79" t="e">
        <f t="shared" ref="OS53" si="46">OR54/OR53</f>
        <v>#DIV/0!</v>
      </c>
      <c r="OT53" s="29">
        <f t="shared" ref="OT53" si="47">+IF(OV53&gt;=1,"1",0)</f>
        <v>0</v>
      </c>
      <c r="OU53" s="38">
        <f t="shared" si="24"/>
        <v>1</v>
      </c>
      <c r="OV53" s="35">
        <f t="shared" ref="OV53" si="48">COUNTIF(IX53:KM53,"1")</f>
        <v>0</v>
      </c>
      <c r="OW53" s="79" t="e">
        <f t="shared" ref="OW53" si="49">OV54/OV53</f>
        <v>#DIV/0!</v>
      </c>
      <c r="OX53" s="29">
        <f t="shared" ref="OX53" si="50">+IF(OZ53&gt;=1,"1",0)</f>
        <v>0</v>
      </c>
      <c r="OY53" s="38">
        <f t="shared" si="25"/>
        <v>1</v>
      </c>
      <c r="OZ53" s="35">
        <f t="shared" ref="OZ53" si="51">COUNTIF(KN53:MC53,"1")</f>
        <v>0</v>
      </c>
      <c r="PA53" s="79" t="e">
        <f t="shared" ref="PA53" si="52">OZ54/OZ53</f>
        <v>#DIV/0!</v>
      </c>
      <c r="PB53" s="29">
        <f t="shared" ref="PB53" si="53">+IF(PD53&gt;=1,"1",0)</f>
        <v>0</v>
      </c>
      <c r="PC53" s="38">
        <f t="shared" si="26"/>
        <v>1</v>
      </c>
      <c r="PD53" s="35">
        <f t="shared" ref="PD53" si="54">COUNTIF(MD53:NS53,"1")</f>
        <v>0</v>
      </c>
      <c r="PE53" s="79" t="e">
        <f t="shared" ref="PE53" si="55">PD54/PD53</f>
        <v>#DIV/0!</v>
      </c>
    </row>
    <row r="54" spans="1:421" ht="15.75" customHeight="1" outlineLevel="1" thickBot="1" x14ac:dyDescent="0.3">
      <c r="C54" s="87"/>
      <c r="D54" s="120"/>
      <c r="E54" s="54" t="s">
        <v>9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70"/>
      <c r="Q54" s="34"/>
      <c r="R54" s="34"/>
      <c r="S54" s="34"/>
      <c r="T54" s="34"/>
      <c r="U54" s="34"/>
      <c r="V54" s="34"/>
      <c r="W54" s="70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  <c r="HB54" s="34"/>
      <c r="HC54" s="34"/>
      <c r="HD54" s="34"/>
      <c r="HE54" s="34"/>
      <c r="HF54" s="34"/>
      <c r="HG54" s="34"/>
      <c r="HH54" s="34"/>
      <c r="HI54" s="34"/>
      <c r="HJ54" s="34"/>
      <c r="HK54" s="34"/>
      <c r="HL54" s="34"/>
      <c r="HM54" s="34"/>
      <c r="HN54" s="34"/>
      <c r="HO54" s="34"/>
      <c r="HP54" s="34"/>
      <c r="HQ54" s="34"/>
      <c r="HR54" s="34"/>
      <c r="HS54" s="34"/>
      <c r="HT54" s="34"/>
      <c r="HU54" s="34"/>
      <c r="HV54" s="34"/>
      <c r="HW54" s="34"/>
      <c r="HX54" s="34"/>
      <c r="HY54" s="34"/>
      <c r="HZ54" s="34"/>
      <c r="IA54" s="34"/>
      <c r="IB54" s="34"/>
      <c r="IC54" s="34"/>
      <c r="ID54" s="34"/>
      <c r="IE54" s="34"/>
      <c r="IF54" s="34"/>
      <c r="IG54" s="34"/>
      <c r="IH54" s="34"/>
      <c r="II54" s="34"/>
      <c r="IJ54" s="34"/>
      <c r="IK54" s="34"/>
      <c r="IL54" s="34"/>
      <c r="IM54" s="34"/>
      <c r="IN54" s="34"/>
      <c r="IO54" s="34"/>
      <c r="IP54" s="34"/>
      <c r="IQ54" s="34"/>
      <c r="IR54" s="34"/>
      <c r="IS54" s="34"/>
      <c r="IT54" s="34"/>
      <c r="IU54" s="34"/>
      <c r="IV54" s="34"/>
      <c r="IW54" s="34"/>
      <c r="IX54" s="34"/>
      <c r="IY54" s="34"/>
      <c r="IZ54" s="34"/>
      <c r="JA54" s="34"/>
      <c r="JB54" s="34"/>
      <c r="JC54" s="34"/>
      <c r="JD54" s="34"/>
      <c r="JE54" s="34"/>
      <c r="JF54" s="34"/>
      <c r="JG54" s="34"/>
      <c r="JH54" s="34"/>
      <c r="JI54" s="34"/>
      <c r="JJ54" s="34"/>
      <c r="JK54" s="34"/>
      <c r="JL54" s="34"/>
      <c r="JM54" s="34"/>
      <c r="JN54" s="34"/>
      <c r="JO54" s="34"/>
      <c r="JP54" s="34"/>
      <c r="JQ54" s="34"/>
      <c r="JR54" s="34"/>
      <c r="JS54" s="34"/>
      <c r="JT54" s="34"/>
      <c r="JU54" s="34"/>
      <c r="JV54" s="34"/>
      <c r="JW54" s="34"/>
      <c r="JX54" s="34"/>
      <c r="JY54" s="34"/>
      <c r="JZ54" s="34"/>
      <c r="KA54" s="34"/>
      <c r="KB54" s="34"/>
      <c r="KC54" s="34"/>
      <c r="KD54" s="34"/>
      <c r="KE54" s="34"/>
      <c r="KF54" s="34"/>
      <c r="KG54" s="34"/>
      <c r="KH54" s="34"/>
      <c r="KI54" s="34"/>
      <c r="KJ54" s="34"/>
      <c r="KK54" s="34"/>
      <c r="KL54" s="34"/>
      <c r="KM54" s="34"/>
      <c r="KN54" s="34"/>
      <c r="KO54" s="34"/>
      <c r="KP54" s="34"/>
      <c r="KQ54" s="34"/>
      <c r="KR54" s="34"/>
      <c r="KS54" s="34"/>
      <c r="KT54" s="34"/>
      <c r="KU54" s="34"/>
      <c r="KV54" s="34"/>
      <c r="KW54" s="34"/>
      <c r="KX54" s="34"/>
      <c r="KY54" s="34"/>
      <c r="KZ54" s="34"/>
      <c r="LA54" s="34"/>
      <c r="LB54" s="34"/>
      <c r="LC54" s="34"/>
      <c r="LD54" s="34"/>
      <c r="LE54" s="34"/>
      <c r="LF54" s="34"/>
      <c r="LG54" s="34"/>
      <c r="LH54" s="34"/>
      <c r="LI54" s="34"/>
      <c r="LJ54" s="34"/>
      <c r="LK54" s="34"/>
      <c r="LL54" s="34"/>
      <c r="LM54" s="34"/>
      <c r="LN54" s="34"/>
      <c r="LO54" s="34"/>
      <c r="LP54" s="34"/>
      <c r="LQ54" s="34"/>
      <c r="LR54" s="34"/>
      <c r="LS54" s="34"/>
      <c r="LT54" s="34"/>
      <c r="LU54" s="34"/>
      <c r="LV54" s="34"/>
      <c r="LW54" s="34"/>
      <c r="LX54" s="34"/>
      <c r="LY54" s="34"/>
      <c r="LZ54" s="34"/>
      <c r="MA54" s="34"/>
      <c r="MB54" s="34"/>
      <c r="MC54" s="34"/>
      <c r="MD54" s="34"/>
      <c r="ME54" s="34"/>
      <c r="MF54" s="34"/>
      <c r="MG54" s="34"/>
      <c r="MH54" s="34"/>
      <c r="MI54" s="34"/>
      <c r="MJ54" s="34"/>
      <c r="MK54" s="34"/>
      <c r="ML54" s="34"/>
      <c r="MM54" s="34"/>
      <c r="MN54" s="34"/>
      <c r="MO54" s="34"/>
      <c r="MP54" s="34"/>
      <c r="MQ54" s="34"/>
      <c r="MR54" s="34"/>
      <c r="MS54" s="34"/>
      <c r="MT54" s="34"/>
      <c r="MU54" s="34"/>
      <c r="MV54" s="34"/>
      <c r="MW54" s="34"/>
      <c r="MX54" s="34"/>
      <c r="MY54" s="34"/>
      <c r="MZ54" s="34"/>
      <c r="NA54" s="34"/>
      <c r="NB54" s="34"/>
      <c r="NC54" s="34"/>
      <c r="ND54" s="34"/>
      <c r="NE54" s="34"/>
      <c r="NF54" s="34"/>
      <c r="NG54" s="34"/>
      <c r="NH54" s="34"/>
      <c r="NI54" s="34"/>
      <c r="NJ54" s="34"/>
      <c r="NK54" s="34"/>
      <c r="NL54" s="34"/>
      <c r="NM54" s="34"/>
      <c r="NN54" s="34"/>
      <c r="NO54" s="34"/>
      <c r="NP54" s="34"/>
      <c r="NQ54" s="34"/>
      <c r="NR54" s="34"/>
      <c r="NS54" s="34"/>
      <c r="NT54" s="7">
        <f t="shared" ref="NT54" si="56">COUNTIF(F54:NS54,"x")</f>
        <v>0</v>
      </c>
      <c r="NU54" s="81"/>
      <c r="NV54" s="32" t="str">
        <f t="shared" ref="NV54" si="57">IF(NX54=0,"0",NX54/NX53)</f>
        <v>0</v>
      </c>
      <c r="NW54" s="37">
        <f t="shared" si="18"/>
        <v>0</v>
      </c>
      <c r="NX54" s="36">
        <f t="shared" ref="NX54" si="58">COUNTIF(F54:AU54,"x")</f>
        <v>0</v>
      </c>
      <c r="NY54" s="81"/>
      <c r="NZ54" s="32" t="str">
        <f t="shared" ref="NZ54" si="59">IF(OB54=0,"0",OB54/OB53)</f>
        <v>0</v>
      </c>
      <c r="OA54" s="37">
        <f t="shared" si="19"/>
        <v>0</v>
      </c>
      <c r="OB54" s="36">
        <f t="shared" ref="OB54" si="60">COUNTIF(AV54:CK54,"x")</f>
        <v>0</v>
      </c>
      <c r="OC54" s="81"/>
      <c r="OD54" s="32" t="str">
        <f t="shared" ref="OD54" si="61">IF(OF54=0,"0",OF54/OF53)</f>
        <v>0</v>
      </c>
      <c r="OE54" s="37">
        <f t="shared" si="20"/>
        <v>0</v>
      </c>
      <c r="OF54" s="36">
        <f t="shared" ref="OF54" si="62">COUNTIF(CL54:EA54,"x")</f>
        <v>0</v>
      </c>
      <c r="OG54" s="81"/>
      <c r="OH54" s="32" t="str">
        <f t="shared" ref="OH54" si="63">IF(OJ54=0,"0",OJ54/OJ53)</f>
        <v>0</v>
      </c>
      <c r="OI54" s="37">
        <f t="shared" si="21"/>
        <v>0</v>
      </c>
      <c r="OJ54" s="36">
        <f t="shared" ref="OJ54" si="64">COUNTIF(EB54:FQ54,"x")</f>
        <v>0</v>
      </c>
      <c r="OK54" s="74"/>
      <c r="OL54" s="32" t="str">
        <f t="shared" ref="OL54" si="65">IF(ON54=0,"0",ON54/ON53)</f>
        <v>0</v>
      </c>
      <c r="OM54" s="37">
        <f t="shared" si="22"/>
        <v>0</v>
      </c>
      <c r="ON54" s="36">
        <f t="shared" ref="ON54" si="66">COUNTIF(FR54:HG54,"x")</f>
        <v>0</v>
      </c>
      <c r="OO54" s="74"/>
      <c r="OP54" s="32" t="str">
        <f t="shared" ref="OP54" si="67">IF(OR54=0,"0",OR54/OR53)</f>
        <v>0</v>
      </c>
      <c r="OQ54" s="37">
        <f t="shared" si="23"/>
        <v>0</v>
      </c>
      <c r="OR54" s="36">
        <f t="shared" ref="OR54" si="68">COUNTIF(HH54:IW54,"x")</f>
        <v>0</v>
      </c>
      <c r="OS54" s="74"/>
      <c r="OT54" s="32" t="str">
        <f t="shared" ref="OT54" si="69">IF(OV54=0,"0",OV54/OV53)</f>
        <v>0</v>
      </c>
      <c r="OU54" s="37">
        <f t="shared" si="24"/>
        <v>0</v>
      </c>
      <c r="OV54" s="36">
        <f t="shared" ref="OV54" si="70">COUNTIF(IX54:KM54,"x")</f>
        <v>0</v>
      </c>
      <c r="OW54" s="74"/>
      <c r="OX54" s="32" t="str">
        <f t="shared" ref="OX54" si="71">IF(OZ54=0,"0",OZ54/OZ53)</f>
        <v>0</v>
      </c>
      <c r="OY54" s="37">
        <f t="shared" si="25"/>
        <v>0</v>
      </c>
      <c r="OZ54" s="36">
        <f t="shared" ref="OZ54" si="72">COUNTIF(KN54:MC54,"x")</f>
        <v>0</v>
      </c>
      <c r="PA54" s="74"/>
      <c r="PB54" s="32" t="str">
        <f t="shared" ref="PB54" si="73">IF(PD54=0,"0",PD54/PD53)</f>
        <v>0</v>
      </c>
      <c r="PC54" s="37">
        <f t="shared" si="26"/>
        <v>0</v>
      </c>
      <c r="PD54" s="36">
        <f t="shared" ref="PD54" si="74">COUNTIF(MD54:NS54,"x")</f>
        <v>0</v>
      </c>
      <c r="PE54" s="74"/>
    </row>
    <row r="55" spans="1:421" ht="15.75" customHeight="1" outlineLevel="1" x14ac:dyDescent="0.25">
      <c r="C55" s="125" t="s">
        <v>113</v>
      </c>
      <c r="D55" s="90"/>
      <c r="E55" s="53" t="s">
        <v>8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69"/>
      <c r="Q55" s="33"/>
      <c r="R55" s="33"/>
      <c r="S55" s="33"/>
      <c r="T55" s="33"/>
      <c r="U55" s="33"/>
      <c r="V55" s="33"/>
      <c r="W55" s="69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>
        <v>1</v>
      </c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33"/>
      <c r="HR55" s="33"/>
      <c r="HS55" s="33"/>
      <c r="HT55" s="33"/>
      <c r="HU55" s="33"/>
      <c r="HV55" s="33"/>
      <c r="HW55" s="33"/>
      <c r="HX55" s="33"/>
      <c r="HY55" s="33"/>
      <c r="HZ55" s="33"/>
      <c r="IA55" s="33"/>
      <c r="IB55" s="33"/>
      <c r="IC55" s="33"/>
      <c r="ID55" s="33"/>
      <c r="IE55" s="33"/>
      <c r="IF55" s="33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/>
      <c r="IS55" s="33"/>
      <c r="IT55" s="33"/>
      <c r="IU55" s="33"/>
      <c r="IV55" s="33"/>
      <c r="IW55" s="33"/>
      <c r="IX55" s="33"/>
      <c r="IY55" s="33"/>
      <c r="IZ55" s="33"/>
      <c r="JA55" s="33"/>
      <c r="JB55" s="33"/>
      <c r="JC55" s="33"/>
      <c r="JD55" s="33"/>
      <c r="JE55" s="33"/>
      <c r="JF55" s="33"/>
      <c r="JG55" s="33"/>
      <c r="JH55" s="33"/>
      <c r="JI55" s="33"/>
      <c r="JJ55" s="33"/>
      <c r="JK55" s="33"/>
      <c r="JL55" s="33"/>
      <c r="JM55" s="33"/>
      <c r="JN55" s="33"/>
      <c r="JO55" s="33"/>
      <c r="JP55" s="33"/>
      <c r="JQ55" s="33"/>
      <c r="JR55" s="33"/>
      <c r="JS55" s="33"/>
      <c r="JT55" s="33"/>
      <c r="JU55" s="33"/>
      <c r="JV55" s="33"/>
      <c r="JW55" s="33"/>
      <c r="JX55" s="33"/>
      <c r="JY55" s="33"/>
      <c r="JZ55" s="33"/>
      <c r="KA55" s="33"/>
      <c r="KB55" s="33"/>
      <c r="KC55" s="33"/>
      <c r="KD55" s="33"/>
      <c r="KE55" s="33"/>
      <c r="KF55" s="33"/>
      <c r="KG55" s="33"/>
      <c r="KH55" s="33"/>
      <c r="KI55" s="33"/>
      <c r="KJ55" s="33"/>
      <c r="KK55" s="33"/>
      <c r="KL55" s="33"/>
      <c r="KM55" s="33"/>
      <c r="KN55" s="33"/>
      <c r="KO55" s="33"/>
      <c r="KP55" s="33"/>
      <c r="KQ55" s="33"/>
      <c r="KR55" s="33"/>
      <c r="KS55" s="33"/>
      <c r="KT55" s="33"/>
      <c r="KU55" s="33"/>
      <c r="KV55" s="33"/>
      <c r="KW55" s="33"/>
      <c r="KX55" s="33"/>
      <c r="KY55" s="33"/>
      <c r="KZ55" s="33"/>
      <c r="LA55" s="33"/>
      <c r="LB55" s="33"/>
      <c r="LC55" s="33"/>
      <c r="LD55" s="33"/>
      <c r="LE55" s="33"/>
      <c r="LF55" s="33"/>
      <c r="LG55" s="33"/>
      <c r="LH55" s="33"/>
      <c r="LI55" s="33"/>
      <c r="LJ55" s="33"/>
      <c r="LK55" s="33"/>
      <c r="LL55" s="33"/>
      <c r="LM55" s="33"/>
      <c r="LN55" s="33"/>
      <c r="LO55" s="33"/>
      <c r="LP55" s="33"/>
      <c r="LQ55" s="33"/>
      <c r="LR55" s="33"/>
      <c r="LS55" s="33"/>
      <c r="LT55" s="33"/>
      <c r="LU55" s="33"/>
      <c r="LV55" s="33"/>
      <c r="LW55" s="33"/>
      <c r="LX55" s="33"/>
      <c r="LY55" s="33"/>
      <c r="LZ55" s="33"/>
      <c r="MA55" s="33"/>
      <c r="MB55" s="33"/>
      <c r="MC55" s="33"/>
      <c r="MD55" s="33"/>
      <c r="ME55" s="33"/>
      <c r="MF55" s="33"/>
      <c r="MG55" s="33"/>
      <c r="MH55" s="33"/>
      <c r="MI55" s="33"/>
      <c r="MJ55" s="33"/>
      <c r="MK55" s="33"/>
      <c r="ML55" s="33"/>
      <c r="MM55" s="33"/>
      <c r="MN55" s="33"/>
      <c r="MO55" s="33"/>
      <c r="MP55" s="33"/>
      <c r="MQ55" s="33"/>
      <c r="MR55" s="33"/>
      <c r="MS55" s="33"/>
      <c r="MT55" s="33"/>
      <c r="MU55" s="33"/>
      <c r="MV55" s="33"/>
      <c r="MW55" s="33"/>
      <c r="MX55" s="33"/>
      <c r="MY55" s="33"/>
      <c r="MZ55" s="33"/>
      <c r="NA55" s="33"/>
      <c r="NB55" s="33"/>
      <c r="NC55" s="33"/>
      <c r="ND55" s="33"/>
      <c r="NE55" s="33"/>
      <c r="NF55" s="33"/>
      <c r="NG55" s="33"/>
      <c r="NH55" s="33"/>
      <c r="NI55" s="33"/>
      <c r="NJ55" s="33"/>
      <c r="NK55" s="33"/>
      <c r="NL55" s="33"/>
      <c r="NM55" s="33"/>
      <c r="NN55" s="33"/>
      <c r="NO55" s="33"/>
      <c r="NP55" s="33"/>
      <c r="NQ55" s="33"/>
      <c r="NR55" s="33"/>
      <c r="NS55" s="33"/>
      <c r="NT55" s="31">
        <f t="shared" ref="NT55" si="75">COUNTIF(F55:NS55,"1")</f>
        <v>1</v>
      </c>
      <c r="NU55" s="80">
        <f t="shared" ref="NU55" si="76">NT56/NT55</f>
        <v>1</v>
      </c>
      <c r="NV55" s="29" t="str">
        <f t="shared" ref="NV55" si="77">+IF(NX55&gt;=1,"1",0)</f>
        <v>1</v>
      </c>
      <c r="NW55" s="38">
        <f t="shared" si="18"/>
        <v>1</v>
      </c>
      <c r="NX55" s="35">
        <f t="shared" ref="NX55" si="78">COUNTIF(F55:AU55,"1")</f>
        <v>1</v>
      </c>
      <c r="NY55" s="80">
        <f t="shared" ref="NY55" si="79">NX56/NX55</f>
        <v>1</v>
      </c>
      <c r="NZ55" s="29">
        <f t="shared" ref="NZ55" si="80">+IF(OB55&gt;=1,"1",0)</f>
        <v>0</v>
      </c>
      <c r="OA55" s="38">
        <f t="shared" si="19"/>
        <v>1</v>
      </c>
      <c r="OB55" s="35">
        <f t="shared" ref="OB55" si="81">COUNTIF(AV55:CK55,"1")</f>
        <v>0</v>
      </c>
      <c r="OC55" s="80" t="e">
        <f t="shared" ref="OC55" si="82">OB56/OB55</f>
        <v>#DIV/0!</v>
      </c>
      <c r="OD55" s="29">
        <f t="shared" ref="OD55" si="83">+IF(OF55&gt;=1,"1",0)</f>
        <v>0</v>
      </c>
      <c r="OE55" s="38">
        <f t="shared" si="20"/>
        <v>1</v>
      </c>
      <c r="OF55" s="35">
        <f t="shared" ref="OF55" si="84">COUNTIF(CL55:EA55,"1")</f>
        <v>0</v>
      </c>
      <c r="OG55" s="80" t="e">
        <f t="shared" ref="OG55" si="85">OF56/OF55</f>
        <v>#DIV/0!</v>
      </c>
      <c r="OH55" s="29">
        <f t="shared" ref="OH55" si="86">+IF(OJ55&gt;=1,"1",0)</f>
        <v>0</v>
      </c>
      <c r="OI55" s="38">
        <f t="shared" si="21"/>
        <v>1</v>
      </c>
      <c r="OJ55" s="35">
        <f t="shared" ref="OJ55" si="87">COUNTIF(EB55:FQ55,"1")</f>
        <v>0</v>
      </c>
      <c r="OK55" s="79" t="e">
        <f t="shared" ref="OK55" si="88">OJ56/OJ55</f>
        <v>#DIV/0!</v>
      </c>
      <c r="OL55" s="29">
        <f t="shared" ref="OL55" si="89">+IF(ON55&gt;=1,"1",0)</f>
        <v>0</v>
      </c>
      <c r="OM55" s="38">
        <f t="shared" si="22"/>
        <v>1</v>
      </c>
      <c r="ON55" s="35">
        <f t="shared" ref="ON55" si="90">COUNTIF(FR55:HG55,"1")</f>
        <v>0</v>
      </c>
      <c r="OO55" s="79" t="e">
        <f t="shared" ref="OO55" si="91">ON56/ON55</f>
        <v>#DIV/0!</v>
      </c>
      <c r="OP55" s="29">
        <f t="shared" ref="OP55" si="92">+IF(OR55&gt;=1,"1",0)</f>
        <v>0</v>
      </c>
      <c r="OQ55" s="38">
        <f t="shared" si="23"/>
        <v>1</v>
      </c>
      <c r="OR55" s="35">
        <f t="shared" ref="OR55" si="93">COUNTIF(HH55:IW55,"1")</f>
        <v>0</v>
      </c>
      <c r="OS55" s="79" t="e">
        <f t="shared" ref="OS55" si="94">OR56/OR55</f>
        <v>#DIV/0!</v>
      </c>
      <c r="OT55" s="29">
        <f t="shared" ref="OT55" si="95">+IF(OV55&gt;=1,"1",0)</f>
        <v>0</v>
      </c>
      <c r="OU55" s="38">
        <f t="shared" si="24"/>
        <v>1</v>
      </c>
      <c r="OV55" s="35">
        <f t="shared" ref="OV55" si="96">COUNTIF(IX55:KM55,"1")</f>
        <v>0</v>
      </c>
      <c r="OW55" s="79" t="e">
        <f t="shared" ref="OW55" si="97">OV56/OV55</f>
        <v>#DIV/0!</v>
      </c>
      <c r="OX55" s="29">
        <f t="shared" ref="OX55" si="98">+IF(OZ55&gt;=1,"1",0)</f>
        <v>0</v>
      </c>
      <c r="OY55" s="38">
        <f t="shared" si="25"/>
        <v>1</v>
      </c>
      <c r="OZ55" s="35">
        <f t="shared" ref="OZ55" si="99">COUNTIF(KN55:MC55,"1")</f>
        <v>0</v>
      </c>
      <c r="PA55" s="79" t="e">
        <f t="shared" ref="PA55" si="100">OZ56/OZ55</f>
        <v>#DIV/0!</v>
      </c>
      <c r="PB55" s="29">
        <f t="shared" ref="PB55" si="101">+IF(PD55&gt;=1,"1",0)</f>
        <v>0</v>
      </c>
      <c r="PC55" s="38">
        <f t="shared" si="26"/>
        <v>1</v>
      </c>
      <c r="PD55" s="35">
        <f t="shared" ref="PD55" si="102">COUNTIF(MD55:NS55,"1")</f>
        <v>0</v>
      </c>
      <c r="PE55" s="79" t="e">
        <f t="shared" ref="PE55" si="103">PD56/PD55</f>
        <v>#DIV/0!</v>
      </c>
    </row>
    <row r="56" spans="1:421" ht="15.75" customHeight="1" outlineLevel="1" thickBot="1" x14ac:dyDescent="0.3">
      <c r="C56" s="126"/>
      <c r="D56" s="91"/>
      <c r="E56" s="54" t="s">
        <v>9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70"/>
      <c r="Q56" s="34"/>
      <c r="R56" s="34"/>
      <c r="S56" s="34"/>
      <c r="T56" s="34"/>
      <c r="U56" s="34"/>
      <c r="V56" s="34"/>
      <c r="W56" s="70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 t="s">
        <v>75</v>
      </c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  <c r="HI56" s="34"/>
      <c r="HJ56" s="34"/>
      <c r="HK56" s="34"/>
      <c r="HL56" s="34"/>
      <c r="HM56" s="34"/>
      <c r="HN56" s="34"/>
      <c r="HO56" s="34"/>
      <c r="HP56" s="34"/>
      <c r="HQ56" s="34"/>
      <c r="HR56" s="34"/>
      <c r="HS56" s="34"/>
      <c r="HT56" s="34"/>
      <c r="HU56" s="34"/>
      <c r="HV56" s="34"/>
      <c r="HW56" s="34"/>
      <c r="HX56" s="34"/>
      <c r="HY56" s="34"/>
      <c r="HZ56" s="34"/>
      <c r="IA56" s="34"/>
      <c r="IB56" s="34"/>
      <c r="IC56" s="34"/>
      <c r="ID56" s="34"/>
      <c r="IE56" s="34"/>
      <c r="IF56" s="34"/>
      <c r="IG56" s="34"/>
      <c r="IH56" s="34"/>
      <c r="II56" s="34"/>
      <c r="IJ56" s="34"/>
      <c r="IK56" s="34"/>
      <c r="IL56" s="34"/>
      <c r="IM56" s="34"/>
      <c r="IN56" s="34"/>
      <c r="IO56" s="34"/>
      <c r="IP56" s="34"/>
      <c r="IQ56" s="34"/>
      <c r="IR56" s="34"/>
      <c r="IS56" s="34"/>
      <c r="IT56" s="34"/>
      <c r="IU56" s="34"/>
      <c r="IV56" s="34"/>
      <c r="IW56" s="34"/>
      <c r="IX56" s="34"/>
      <c r="IY56" s="34"/>
      <c r="IZ56" s="34"/>
      <c r="JA56" s="34"/>
      <c r="JB56" s="34"/>
      <c r="JC56" s="34"/>
      <c r="JD56" s="34"/>
      <c r="JE56" s="34"/>
      <c r="JF56" s="34"/>
      <c r="JG56" s="34"/>
      <c r="JH56" s="34"/>
      <c r="JI56" s="34"/>
      <c r="JJ56" s="34"/>
      <c r="JK56" s="34"/>
      <c r="JL56" s="34"/>
      <c r="JM56" s="34"/>
      <c r="JN56" s="34"/>
      <c r="JO56" s="34"/>
      <c r="JP56" s="34"/>
      <c r="JQ56" s="34"/>
      <c r="JR56" s="34"/>
      <c r="JS56" s="34"/>
      <c r="JT56" s="34"/>
      <c r="JU56" s="34"/>
      <c r="JV56" s="34"/>
      <c r="JW56" s="34"/>
      <c r="JX56" s="34"/>
      <c r="JY56" s="34"/>
      <c r="JZ56" s="34"/>
      <c r="KA56" s="34"/>
      <c r="KB56" s="34"/>
      <c r="KC56" s="34"/>
      <c r="KD56" s="34"/>
      <c r="KE56" s="34"/>
      <c r="KF56" s="34"/>
      <c r="KG56" s="34"/>
      <c r="KH56" s="34"/>
      <c r="KI56" s="34"/>
      <c r="KJ56" s="34"/>
      <c r="KK56" s="34"/>
      <c r="KL56" s="34"/>
      <c r="KM56" s="34"/>
      <c r="KN56" s="34"/>
      <c r="KO56" s="34"/>
      <c r="KP56" s="34"/>
      <c r="KQ56" s="34"/>
      <c r="KR56" s="34"/>
      <c r="KS56" s="34"/>
      <c r="KT56" s="34"/>
      <c r="KU56" s="34"/>
      <c r="KV56" s="34"/>
      <c r="KW56" s="34"/>
      <c r="KX56" s="34"/>
      <c r="KY56" s="34"/>
      <c r="KZ56" s="34"/>
      <c r="LA56" s="34"/>
      <c r="LB56" s="34"/>
      <c r="LC56" s="34"/>
      <c r="LD56" s="34"/>
      <c r="LE56" s="34"/>
      <c r="LF56" s="34"/>
      <c r="LG56" s="34"/>
      <c r="LH56" s="34"/>
      <c r="LI56" s="34"/>
      <c r="LJ56" s="34"/>
      <c r="LK56" s="34"/>
      <c r="LL56" s="34"/>
      <c r="LM56" s="34"/>
      <c r="LN56" s="34"/>
      <c r="LO56" s="34"/>
      <c r="LP56" s="34"/>
      <c r="LQ56" s="34"/>
      <c r="LR56" s="34"/>
      <c r="LS56" s="34"/>
      <c r="LT56" s="34"/>
      <c r="LU56" s="34"/>
      <c r="LV56" s="34"/>
      <c r="LW56" s="34"/>
      <c r="LX56" s="34"/>
      <c r="LY56" s="34"/>
      <c r="LZ56" s="34"/>
      <c r="MA56" s="34"/>
      <c r="MB56" s="34"/>
      <c r="MC56" s="34"/>
      <c r="MD56" s="34"/>
      <c r="ME56" s="34"/>
      <c r="MF56" s="34"/>
      <c r="MG56" s="34"/>
      <c r="MH56" s="34"/>
      <c r="MI56" s="34"/>
      <c r="MJ56" s="34"/>
      <c r="MK56" s="34"/>
      <c r="ML56" s="34"/>
      <c r="MM56" s="34"/>
      <c r="MN56" s="34"/>
      <c r="MO56" s="34"/>
      <c r="MP56" s="34"/>
      <c r="MQ56" s="34"/>
      <c r="MR56" s="34"/>
      <c r="MS56" s="34"/>
      <c r="MT56" s="34"/>
      <c r="MU56" s="34"/>
      <c r="MV56" s="34"/>
      <c r="MW56" s="34"/>
      <c r="MX56" s="34"/>
      <c r="MY56" s="34"/>
      <c r="MZ56" s="34"/>
      <c r="NA56" s="34"/>
      <c r="NB56" s="34"/>
      <c r="NC56" s="34"/>
      <c r="ND56" s="34"/>
      <c r="NE56" s="34"/>
      <c r="NF56" s="34"/>
      <c r="NG56" s="34"/>
      <c r="NH56" s="34"/>
      <c r="NI56" s="34"/>
      <c r="NJ56" s="34"/>
      <c r="NK56" s="34"/>
      <c r="NL56" s="34"/>
      <c r="NM56" s="34"/>
      <c r="NN56" s="34"/>
      <c r="NO56" s="34"/>
      <c r="NP56" s="34"/>
      <c r="NQ56" s="34"/>
      <c r="NR56" s="34"/>
      <c r="NS56" s="34"/>
      <c r="NT56" s="7">
        <f t="shared" ref="NT56" si="104">COUNTIF(F56:NS56,"x")</f>
        <v>1</v>
      </c>
      <c r="NU56" s="81"/>
      <c r="NV56" s="32">
        <f t="shared" ref="NV56" si="105">IF(NX56=0,"0",NX56/NX55)</f>
        <v>1</v>
      </c>
      <c r="NW56" s="37">
        <f t="shared" si="18"/>
        <v>0</v>
      </c>
      <c r="NX56" s="36">
        <f t="shared" ref="NX56" si="106">COUNTIF(F56:AU56,"x")</f>
        <v>1</v>
      </c>
      <c r="NY56" s="81"/>
      <c r="NZ56" s="32" t="str">
        <f t="shared" ref="NZ56" si="107">IF(OB56=0,"0",OB56/OB55)</f>
        <v>0</v>
      </c>
      <c r="OA56" s="37">
        <f t="shared" si="19"/>
        <v>0</v>
      </c>
      <c r="OB56" s="36">
        <f t="shared" ref="OB56" si="108">COUNTIF(AV56:CK56,"x")</f>
        <v>0</v>
      </c>
      <c r="OC56" s="81"/>
      <c r="OD56" s="32" t="str">
        <f t="shared" ref="OD56" si="109">IF(OF56=0,"0",OF56/OF55)</f>
        <v>0</v>
      </c>
      <c r="OE56" s="37">
        <f t="shared" si="20"/>
        <v>0</v>
      </c>
      <c r="OF56" s="36">
        <f t="shared" ref="OF56" si="110">COUNTIF(CL56:EA56,"x")</f>
        <v>0</v>
      </c>
      <c r="OG56" s="81"/>
      <c r="OH56" s="32" t="str">
        <f t="shared" ref="OH56" si="111">IF(OJ56=0,"0",OJ56/OJ55)</f>
        <v>0</v>
      </c>
      <c r="OI56" s="37">
        <f t="shared" si="21"/>
        <v>0</v>
      </c>
      <c r="OJ56" s="36">
        <f t="shared" ref="OJ56" si="112">COUNTIF(EB56:FQ56,"x")</f>
        <v>0</v>
      </c>
      <c r="OK56" s="74"/>
      <c r="OL56" s="32" t="str">
        <f t="shared" ref="OL56" si="113">IF(ON56=0,"0",ON56/ON55)</f>
        <v>0</v>
      </c>
      <c r="OM56" s="37">
        <f t="shared" si="22"/>
        <v>0</v>
      </c>
      <c r="ON56" s="36">
        <f t="shared" ref="ON56" si="114">COUNTIF(FR56:HG56,"x")</f>
        <v>0</v>
      </c>
      <c r="OO56" s="74"/>
      <c r="OP56" s="32" t="str">
        <f t="shared" ref="OP56" si="115">IF(OR56=0,"0",OR56/OR55)</f>
        <v>0</v>
      </c>
      <c r="OQ56" s="37">
        <f t="shared" si="23"/>
        <v>0</v>
      </c>
      <c r="OR56" s="36">
        <f t="shared" ref="OR56" si="116">COUNTIF(HH56:IW56,"x")</f>
        <v>0</v>
      </c>
      <c r="OS56" s="74"/>
      <c r="OT56" s="32" t="str">
        <f t="shared" ref="OT56" si="117">IF(OV56=0,"0",OV56/OV55)</f>
        <v>0</v>
      </c>
      <c r="OU56" s="37">
        <f t="shared" si="24"/>
        <v>0</v>
      </c>
      <c r="OV56" s="36">
        <f t="shared" ref="OV56" si="118">COUNTIF(IX56:KM56,"x")</f>
        <v>0</v>
      </c>
      <c r="OW56" s="74"/>
      <c r="OX56" s="32" t="str">
        <f t="shared" ref="OX56" si="119">IF(OZ56=0,"0",OZ56/OZ55)</f>
        <v>0</v>
      </c>
      <c r="OY56" s="37">
        <f t="shared" si="25"/>
        <v>0</v>
      </c>
      <c r="OZ56" s="36">
        <f t="shared" ref="OZ56" si="120">COUNTIF(KN56:MC56,"x")</f>
        <v>0</v>
      </c>
      <c r="PA56" s="74"/>
      <c r="PB56" s="32" t="str">
        <f t="shared" ref="PB56" si="121">IF(PD56=0,"0",PD56/PD55)</f>
        <v>0</v>
      </c>
      <c r="PC56" s="37">
        <f t="shared" si="26"/>
        <v>0</v>
      </c>
      <c r="PD56" s="36">
        <f t="shared" ref="PD56" si="122">COUNTIF(MD56:NS56,"x")</f>
        <v>0</v>
      </c>
      <c r="PE56" s="74"/>
    </row>
    <row r="57" spans="1:421" ht="15.75" customHeight="1" outlineLevel="1" x14ac:dyDescent="0.25">
      <c r="C57" s="127" t="s">
        <v>114</v>
      </c>
      <c r="D57" s="90"/>
      <c r="E57" s="53" t="s">
        <v>8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69"/>
      <c r="Q57" s="33"/>
      <c r="R57" s="33"/>
      <c r="S57" s="33"/>
      <c r="T57" s="33"/>
      <c r="U57" s="33"/>
      <c r="V57" s="33"/>
      <c r="W57" s="69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>
        <v>1</v>
      </c>
      <c r="AL57" s="33">
        <v>1</v>
      </c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33"/>
      <c r="HQ57" s="33"/>
      <c r="HR57" s="33"/>
      <c r="HS57" s="33"/>
      <c r="HT57" s="33"/>
      <c r="HU57" s="33"/>
      <c r="HV57" s="33"/>
      <c r="HW57" s="33"/>
      <c r="HX57" s="33"/>
      <c r="HY57" s="33"/>
      <c r="HZ57" s="33"/>
      <c r="IA57" s="33"/>
      <c r="IB57" s="33"/>
      <c r="IC57" s="33"/>
      <c r="ID57" s="33"/>
      <c r="IE57" s="33"/>
      <c r="IF57" s="33"/>
      <c r="IG57" s="33"/>
      <c r="IH57" s="33"/>
      <c r="II57" s="33"/>
      <c r="IJ57" s="33"/>
      <c r="IK57" s="33"/>
      <c r="IL57" s="33"/>
      <c r="IM57" s="33"/>
      <c r="IN57" s="33"/>
      <c r="IO57" s="33"/>
      <c r="IP57" s="33"/>
      <c r="IQ57" s="33"/>
      <c r="IR57" s="33"/>
      <c r="IS57" s="33"/>
      <c r="IT57" s="33"/>
      <c r="IU57" s="33"/>
      <c r="IV57" s="33"/>
      <c r="IW57" s="33"/>
      <c r="IX57" s="33"/>
      <c r="IY57" s="33"/>
      <c r="IZ57" s="33"/>
      <c r="JA57" s="33"/>
      <c r="JB57" s="33"/>
      <c r="JC57" s="33"/>
      <c r="JD57" s="33"/>
      <c r="JE57" s="33"/>
      <c r="JF57" s="33"/>
      <c r="JG57" s="33"/>
      <c r="JH57" s="33"/>
      <c r="JI57" s="33"/>
      <c r="JJ57" s="33"/>
      <c r="JK57" s="33"/>
      <c r="JL57" s="33"/>
      <c r="JM57" s="33"/>
      <c r="JN57" s="33"/>
      <c r="JO57" s="33"/>
      <c r="JP57" s="33"/>
      <c r="JQ57" s="33"/>
      <c r="JR57" s="33"/>
      <c r="JS57" s="33"/>
      <c r="JT57" s="33"/>
      <c r="JU57" s="33"/>
      <c r="JV57" s="33"/>
      <c r="JW57" s="33"/>
      <c r="JX57" s="33"/>
      <c r="JY57" s="33"/>
      <c r="JZ57" s="33"/>
      <c r="KA57" s="33"/>
      <c r="KB57" s="33"/>
      <c r="KC57" s="33"/>
      <c r="KD57" s="33"/>
      <c r="KE57" s="33"/>
      <c r="KF57" s="33"/>
      <c r="KG57" s="33"/>
      <c r="KH57" s="33"/>
      <c r="KI57" s="33"/>
      <c r="KJ57" s="33"/>
      <c r="KK57" s="33"/>
      <c r="KL57" s="33"/>
      <c r="KM57" s="33"/>
      <c r="KN57" s="33"/>
      <c r="KO57" s="33"/>
      <c r="KP57" s="33"/>
      <c r="KQ57" s="33"/>
      <c r="KR57" s="33"/>
      <c r="KS57" s="33"/>
      <c r="KT57" s="33"/>
      <c r="KU57" s="33"/>
      <c r="KV57" s="33"/>
      <c r="KW57" s="33"/>
      <c r="KX57" s="33"/>
      <c r="KY57" s="33"/>
      <c r="KZ57" s="33"/>
      <c r="LA57" s="33"/>
      <c r="LB57" s="33"/>
      <c r="LC57" s="33"/>
      <c r="LD57" s="33"/>
      <c r="LE57" s="33"/>
      <c r="LF57" s="33"/>
      <c r="LG57" s="33"/>
      <c r="LH57" s="33"/>
      <c r="LI57" s="33"/>
      <c r="LJ57" s="33"/>
      <c r="LK57" s="33"/>
      <c r="LL57" s="33"/>
      <c r="LM57" s="33"/>
      <c r="LN57" s="33"/>
      <c r="LO57" s="33"/>
      <c r="LP57" s="33"/>
      <c r="LQ57" s="33"/>
      <c r="LR57" s="33"/>
      <c r="LS57" s="33"/>
      <c r="LT57" s="33"/>
      <c r="LU57" s="33"/>
      <c r="LV57" s="33"/>
      <c r="LW57" s="33"/>
      <c r="LX57" s="33"/>
      <c r="LY57" s="33"/>
      <c r="LZ57" s="33"/>
      <c r="MA57" s="33"/>
      <c r="MB57" s="33"/>
      <c r="MC57" s="33"/>
      <c r="MD57" s="33"/>
      <c r="ME57" s="33"/>
      <c r="MF57" s="33"/>
      <c r="MG57" s="33"/>
      <c r="MH57" s="33"/>
      <c r="MI57" s="33"/>
      <c r="MJ57" s="33"/>
      <c r="MK57" s="33"/>
      <c r="ML57" s="33"/>
      <c r="MM57" s="33"/>
      <c r="MN57" s="33"/>
      <c r="MO57" s="33"/>
      <c r="MP57" s="33"/>
      <c r="MQ57" s="33"/>
      <c r="MR57" s="33"/>
      <c r="MS57" s="33"/>
      <c r="MT57" s="33"/>
      <c r="MU57" s="33"/>
      <c r="MV57" s="33"/>
      <c r="MW57" s="33"/>
      <c r="MX57" s="33"/>
      <c r="MY57" s="33"/>
      <c r="MZ57" s="33"/>
      <c r="NA57" s="33"/>
      <c r="NB57" s="33"/>
      <c r="NC57" s="33"/>
      <c r="ND57" s="33"/>
      <c r="NE57" s="33"/>
      <c r="NF57" s="33"/>
      <c r="NG57" s="33"/>
      <c r="NH57" s="33"/>
      <c r="NI57" s="33"/>
      <c r="NJ57" s="33"/>
      <c r="NK57" s="33"/>
      <c r="NL57" s="33"/>
      <c r="NM57" s="33"/>
      <c r="NN57" s="33"/>
      <c r="NO57" s="33"/>
      <c r="NP57" s="33"/>
      <c r="NQ57" s="33"/>
      <c r="NR57" s="33"/>
      <c r="NS57" s="33"/>
      <c r="NT57" s="31">
        <f t="shared" ref="NT57" si="123">COUNTIF(F57:NS57,"1")</f>
        <v>2</v>
      </c>
      <c r="NU57" s="80">
        <f t="shared" ref="NU57" si="124">NT58/NT57</f>
        <v>1</v>
      </c>
      <c r="NV57" s="29" t="str">
        <f t="shared" ref="NV57" si="125">+IF(NX57&gt;=1,"1",0)</f>
        <v>1</v>
      </c>
      <c r="NW57" s="38">
        <f t="shared" si="18"/>
        <v>1</v>
      </c>
      <c r="NX57" s="35">
        <f t="shared" ref="NX57" si="126">COUNTIF(F57:AU57,"1")</f>
        <v>2</v>
      </c>
      <c r="NY57" s="80">
        <f t="shared" ref="NY57" si="127">NX58/NX57</f>
        <v>1</v>
      </c>
      <c r="NZ57" s="29">
        <f t="shared" ref="NZ57" si="128">+IF(OB57&gt;=1,"1",0)</f>
        <v>0</v>
      </c>
      <c r="OA57" s="38">
        <f t="shared" si="19"/>
        <v>1</v>
      </c>
      <c r="OB57" s="35">
        <f t="shared" ref="OB57" si="129">COUNTIF(AV57:CK57,"1")</f>
        <v>0</v>
      </c>
      <c r="OC57" s="80" t="e">
        <f t="shared" ref="OC57" si="130">OB58/OB57</f>
        <v>#DIV/0!</v>
      </c>
      <c r="OD57" s="29">
        <f t="shared" ref="OD57" si="131">+IF(OF57&gt;=1,"1",0)</f>
        <v>0</v>
      </c>
      <c r="OE57" s="38">
        <f t="shared" si="20"/>
        <v>1</v>
      </c>
      <c r="OF57" s="35">
        <f t="shared" ref="OF57" si="132">COUNTIF(CL57:EA57,"1")</f>
        <v>0</v>
      </c>
      <c r="OG57" s="80" t="e">
        <f t="shared" ref="OG57" si="133">OF58/OF57</f>
        <v>#DIV/0!</v>
      </c>
      <c r="OH57" s="29">
        <f t="shared" ref="OH57" si="134">+IF(OJ57&gt;=1,"1",0)</f>
        <v>0</v>
      </c>
      <c r="OI57" s="38">
        <f t="shared" si="21"/>
        <v>1</v>
      </c>
      <c r="OJ57" s="35">
        <f t="shared" ref="OJ57" si="135">COUNTIF(EB57:FQ57,"1")</f>
        <v>0</v>
      </c>
      <c r="OK57" s="79" t="e">
        <f t="shared" ref="OK57" si="136">OJ58/OJ57</f>
        <v>#DIV/0!</v>
      </c>
      <c r="OL57" s="29">
        <f t="shared" ref="OL57" si="137">+IF(ON57&gt;=1,"1",0)</f>
        <v>0</v>
      </c>
      <c r="OM57" s="38">
        <f t="shared" si="22"/>
        <v>1</v>
      </c>
      <c r="ON57" s="35">
        <f t="shared" ref="ON57" si="138">COUNTIF(FR57:HG57,"1")</f>
        <v>0</v>
      </c>
      <c r="OO57" s="79" t="e">
        <f t="shared" ref="OO57" si="139">ON58/ON57</f>
        <v>#DIV/0!</v>
      </c>
      <c r="OP57" s="29">
        <f t="shared" ref="OP57" si="140">+IF(OR57&gt;=1,"1",0)</f>
        <v>0</v>
      </c>
      <c r="OQ57" s="38">
        <f t="shared" si="23"/>
        <v>1</v>
      </c>
      <c r="OR57" s="35">
        <f t="shared" ref="OR57" si="141">COUNTIF(HH57:IW57,"1")</f>
        <v>0</v>
      </c>
      <c r="OS57" s="79" t="e">
        <f t="shared" ref="OS57" si="142">OR58/OR57</f>
        <v>#DIV/0!</v>
      </c>
      <c r="OT57" s="29">
        <f t="shared" ref="OT57" si="143">+IF(OV57&gt;=1,"1",0)</f>
        <v>0</v>
      </c>
      <c r="OU57" s="38">
        <f t="shared" si="24"/>
        <v>1</v>
      </c>
      <c r="OV57" s="35">
        <f t="shared" ref="OV57" si="144">COUNTIF(IX57:KM57,"1")</f>
        <v>0</v>
      </c>
      <c r="OW57" s="79" t="e">
        <f t="shared" ref="OW57" si="145">OV58/OV57</f>
        <v>#DIV/0!</v>
      </c>
      <c r="OX57" s="29">
        <f t="shared" ref="OX57" si="146">+IF(OZ57&gt;=1,"1",0)</f>
        <v>0</v>
      </c>
      <c r="OY57" s="38">
        <f t="shared" si="25"/>
        <v>1</v>
      </c>
      <c r="OZ57" s="35">
        <f t="shared" ref="OZ57" si="147">COUNTIF(KN57:MC57,"1")</f>
        <v>0</v>
      </c>
      <c r="PA57" s="79" t="e">
        <f t="shared" ref="PA57" si="148">OZ58/OZ57</f>
        <v>#DIV/0!</v>
      </c>
      <c r="PB57" s="29">
        <f t="shared" ref="PB57" si="149">+IF(PD57&gt;=1,"1",0)</f>
        <v>0</v>
      </c>
      <c r="PC57" s="38">
        <f t="shared" si="26"/>
        <v>1</v>
      </c>
      <c r="PD57" s="35">
        <f t="shared" ref="PD57" si="150">COUNTIF(MD57:NS57,"1")</f>
        <v>0</v>
      </c>
      <c r="PE57" s="79" t="e">
        <f t="shared" ref="PE57" si="151">PD58/PD57</f>
        <v>#DIV/0!</v>
      </c>
    </row>
    <row r="58" spans="1:421" ht="15.75" customHeight="1" outlineLevel="1" thickBot="1" x14ac:dyDescent="0.3">
      <c r="C58" s="128"/>
      <c r="D58" s="91"/>
      <c r="E58" s="54" t="s">
        <v>9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70"/>
      <c r="Q58" s="34"/>
      <c r="R58" s="34"/>
      <c r="S58" s="34"/>
      <c r="T58" s="34"/>
      <c r="U58" s="34"/>
      <c r="V58" s="34"/>
      <c r="W58" s="70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 t="s">
        <v>116</v>
      </c>
      <c r="AL58" s="34" t="s">
        <v>75</v>
      </c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  <c r="GX58" s="34"/>
      <c r="GY58" s="34"/>
      <c r="GZ58" s="34"/>
      <c r="HA58" s="34"/>
      <c r="HB58" s="34"/>
      <c r="HC58" s="34"/>
      <c r="HD58" s="34"/>
      <c r="HE58" s="34"/>
      <c r="HF58" s="34"/>
      <c r="HG58" s="34"/>
      <c r="HH58" s="34"/>
      <c r="HI58" s="34"/>
      <c r="HJ58" s="34"/>
      <c r="HK58" s="34"/>
      <c r="HL58" s="34"/>
      <c r="HM58" s="34"/>
      <c r="HN58" s="34"/>
      <c r="HO58" s="34"/>
      <c r="HP58" s="34"/>
      <c r="HQ58" s="34"/>
      <c r="HR58" s="34"/>
      <c r="HS58" s="34"/>
      <c r="HT58" s="34"/>
      <c r="HU58" s="34"/>
      <c r="HV58" s="34"/>
      <c r="HW58" s="34"/>
      <c r="HX58" s="34"/>
      <c r="HY58" s="34"/>
      <c r="HZ58" s="34"/>
      <c r="IA58" s="34"/>
      <c r="IB58" s="34"/>
      <c r="IC58" s="34"/>
      <c r="ID58" s="34"/>
      <c r="IE58" s="34"/>
      <c r="IF58" s="34"/>
      <c r="IG58" s="34"/>
      <c r="IH58" s="34"/>
      <c r="II58" s="34"/>
      <c r="IJ58" s="34"/>
      <c r="IK58" s="34"/>
      <c r="IL58" s="34"/>
      <c r="IM58" s="34"/>
      <c r="IN58" s="34"/>
      <c r="IO58" s="34"/>
      <c r="IP58" s="34"/>
      <c r="IQ58" s="34"/>
      <c r="IR58" s="34"/>
      <c r="IS58" s="34"/>
      <c r="IT58" s="34"/>
      <c r="IU58" s="34"/>
      <c r="IV58" s="34"/>
      <c r="IW58" s="34"/>
      <c r="IX58" s="34"/>
      <c r="IY58" s="34"/>
      <c r="IZ58" s="34"/>
      <c r="JA58" s="34"/>
      <c r="JB58" s="34"/>
      <c r="JC58" s="34"/>
      <c r="JD58" s="34"/>
      <c r="JE58" s="34"/>
      <c r="JF58" s="34"/>
      <c r="JG58" s="34"/>
      <c r="JH58" s="34"/>
      <c r="JI58" s="34"/>
      <c r="JJ58" s="34"/>
      <c r="JK58" s="34"/>
      <c r="JL58" s="34"/>
      <c r="JM58" s="34"/>
      <c r="JN58" s="34"/>
      <c r="JO58" s="34"/>
      <c r="JP58" s="34"/>
      <c r="JQ58" s="34"/>
      <c r="JR58" s="34"/>
      <c r="JS58" s="34"/>
      <c r="JT58" s="34"/>
      <c r="JU58" s="34"/>
      <c r="JV58" s="34"/>
      <c r="JW58" s="34"/>
      <c r="JX58" s="34"/>
      <c r="JY58" s="34"/>
      <c r="JZ58" s="34"/>
      <c r="KA58" s="34"/>
      <c r="KB58" s="34"/>
      <c r="KC58" s="34"/>
      <c r="KD58" s="34"/>
      <c r="KE58" s="34"/>
      <c r="KF58" s="34"/>
      <c r="KG58" s="34"/>
      <c r="KH58" s="34"/>
      <c r="KI58" s="34"/>
      <c r="KJ58" s="34"/>
      <c r="KK58" s="34"/>
      <c r="KL58" s="34"/>
      <c r="KM58" s="34"/>
      <c r="KN58" s="34"/>
      <c r="KO58" s="34"/>
      <c r="KP58" s="34"/>
      <c r="KQ58" s="34"/>
      <c r="KR58" s="34"/>
      <c r="KS58" s="34"/>
      <c r="KT58" s="34"/>
      <c r="KU58" s="34"/>
      <c r="KV58" s="34"/>
      <c r="KW58" s="34"/>
      <c r="KX58" s="34"/>
      <c r="KY58" s="34"/>
      <c r="KZ58" s="34"/>
      <c r="LA58" s="34"/>
      <c r="LB58" s="34"/>
      <c r="LC58" s="34"/>
      <c r="LD58" s="34"/>
      <c r="LE58" s="34"/>
      <c r="LF58" s="34"/>
      <c r="LG58" s="34"/>
      <c r="LH58" s="34"/>
      <c r="LI58" s="34"/>
      <c r="LJ58" s="34"/>
      <c r="LK58" s="34"/>
      <c r="LL58" s="34"/>
      <c r="LM58" s="34"/>
      <c r="LN58" s="34"/>
      <c r="LO58" s="34"/>
      <c r="LP58" s="34"/>
      <c r="LQ58" s="34"/>
      <c r="LR58" s="34"/>
      <c r="LS58" s="34"/>
      <c r="LT58" s="34"/>
      <c r="LU58" s="34"/>
      <c r="LV58" s="34"/>
      <c r="LW58" s="34"/>
      <c r="LX58" s="34"/>
      <c r="LY58" s="34"/>
      <c r="LZ58" s="34"/>
      <c r="MA58" s="34"/>
      <c r="MB58" s="34"/>
      <c r="MC58" s="34"/>
      <c r="MD58" s="34"/>
      <c r="ME58" s="34"/>
      <c r="MF58" s="34"/>
      <c r="MG58" s="34"/>
      <c r="MH58" s="34"/>
      <c r="MI58" s="34"/>
      <c r="MJ58" s="34"/>
      <c r="MK58" s="34"/>
      <c r="ML58" s="34"/>
      <c r="MM58" s="34"/>
      <c r="MN58" s="34"/>
      <c r="MO58" s="34"/>
      <c r="MP58" s="34"/>
      <c r="MQ58" s="34"/>
      <c r="MR58" s="34"/>
      <c r="MS58" s="34"/>
      <c r="MT58" s="34"/>
      <c r="MU58" s="34"/>
      <c r="MV58" s="34"/>
      <c r="MW58" s="34"/>
      <c r="MX58" s="34"/>
      <c r="MY58" s="34"/>
      <c r="MZ58" s="34"/>
      <c r="NA58" s="34"/>
      <c r="NB58" s="34"/>
      <c r="NC58" s="34"/>
      <c r="ND58" s="34"/>
      <c r="NE58" s="34"/>
      <c r="NF58" s="34"/>
      <c r="NG58" s="34"/>
      <c r="NH58" s="34"/>
      <c r="NI58" s="34"/>
      <c r="NJ58" s="34"/>
      <c r="NK58" s="34"/>
      <c r="NL58" s="34"/>
      <c r="NM58" s="34"/>
      <c r="NN58" s="34"/>
      <c r="NO58" s="34"/>
      <c r="NP58" s="34"/>
      <c r="NQ58" s="34"/>
      <c r="NR58" s="34"/>
      <c r="NS58" s="34"/>
      <c r="NT58" s="7">
        <f t="shared" ref="NT58" si="152">COUNTIF(F58:NS58,"x")</f>
        <v>2</v>
      </c>
      <c r="NU58" s="81"/>
      <c r="NV58" s="32">
        <f t="shared" ref="NV58" si="153">IF(NX58=0,"0",NX58/NX57)</f>
        <v>1</v>
      </c>
      <c r="NW58" s="37">
        <f t="shared" si="18"/>
        <v>0</v>
      </c>
      <c r="NX58" s="36">
        <f t="shared" ref="NX58" si="154">COUNTIF(F58:AU58,"x")</f>
        <v>2</v>
      </c>
      <c r="NY58" s="81"/>
      <c r="NZ58" s="32" t="str">
        <f t="shared" ref="NZ58" si="155">IF(OB58=0,"0",OB58/OB57)</f>
        <v>0</v>
      </c>
      <c r="OA58" s="37">
        <f t="shared" si="19"/>
        <v>0</v>
      </c>
      <c r="OB58" s="36">
        <f t="shared" ref="OB58" si="156">COUNTIF(AV58:CK58,"x")</f>
        <v>0</v>
      </c>
      <c r="OC58" s="81"/>
      <c r="OD58" s="32" t="str">
        <f t="shared" ref="OD58" si="157">IF(OF58=0,"0",OF58/OF57)</f>
        <v>0</v>
      </c>
      <c r="OE58" s="37">
        <f t="shared" si="20"/>
        <v>0</v>
      </c>
      <c r="OF58" s="36">
        <f t="shared" ref="OF58" si="158">COUNTIF(CL58:EA58,"x")</f>
        <v>0</v>
      </c>
      <c r="OG58" s="81"/>
      <c r="OH58" s="32" t="str">
        <f t="shared" ref="OH58" si="159">IF(OJ58=0,"0",OJ58/OJ57)</f>
        <v>0</v>
      </c>
      <c r="OI58" s="37">
        <f t="shared" si="21"/>
        <v>0</v>
      </c>
      <c r="OJ58" s="36">
        <f t="shared" ref="OJ58" si="160">COUNTIF(EB58:FQ58,"x")</f>
        <v>0</v>
      </c>
      <c r="OK58" s="74"/>
      <c r="OL58" s="32" t="str">
        <f t="shared" ref="OL58" si="161">IF(ON58=0,"0",ON58/ON57)</f>
        <v>0</v>
      </c>
      <c r="OM58" s="37">
        <f t="shared" si="22"/>
        <v>0</v>
      </c>
      <c r="ON58" s="36">
        <f t="shared" ref="ON58" si="162">COUNTIF(FR58:HG58,"x")</f>
        <v>0</v>
      </c>
      <c r="OO58" s="74"/>
      <c r="OP58" s="32" t="str">
        <f t="shared" ref="OP58" si="163">IF(OR58=0,"0",OR58/OR57)</f>
        <v>0</v>
      </c>
      <c r="OQ58" s="37">
        <f t="shared" si="23"/>
        <v>0</v>
      </c>
      <c r="OR58" s="36">
        <f t="shared" ref="OR58" si="164">COUNTIF(HH58:IW58,"x")</f>
        <v>0</v>
      </c>
      <c r="OS58" s="74"/>
      <c r="OT58" s="32" t="str">
        <f t="shared" ref="OT58" si="165">IF(OV58=0,"0",OV58/OV57)</f>
        <v>0</v>
      </c>
      <c r="OU58" s="37">
        <f t="shared" si="24"/>
        <v>0</v>
      </c>
      <c r="OV58" s="36">
        <f t="shared" ref="OV58" si="166">COUNTIF(IX58:KM58,"x")</f>
        <v>0</v>
      </c>
      <c r="OW58" s="74"/>
      <c r="OX58" s="32" t="str">
        <f t="shared" ref="OX58" si="167">IF(OZ58=0,"0",OZ58/OZ57)</f>
        <v>0</v>
      </c>
      <c r="OY58" s="37">
        <f t="shared" si="25"/>
        <v>0</v>
      </c>
      <c r="OZ58" s="36">
        <f t="shared" ref="OZ58" si="168">COUNTIF(KN58:MC58,"x")</f>
        <v>0</v>
      </c>
      <c r="PA58" s="74"/>
      <c r="PB58" s="32" t="str">
        <f t="shared" ref="PB58" si="169">IF(PD58=0,"0",PD58/PD57)</f>
        <v>0</v>
      </c>
      <c r="PC58" s="37">
        <f t="shared" si="26"/>
        <v>0</v>
      </c>
      <c r="PD58" s="36">
        <f t="shared" ref="PD58" si="170">COUNTIF(MD58:NS58,"x")</f>
        <v>0</v>
      </c>
      <c r="PE58" s="74"/>
    </row>
    <row r="59" spans="1:421" ht="15.75" customHeight="1" outlineLevel="1" x14ac:dyDescent="0.25">
      <c r="C59" s="127" t="s">
        <v>115</v>
      </c>
      <c r="D59" s="90"/>
      <c r="E59" s="53" t="s">
        <v>8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69"/>
      <c r="Q59" s="33"/>
      <c r="R59" s="33"/>
      <c r="S59" s="33"/>
      <c r="T59" s="33"/>
      <c r="U59" s="33"/>
      <c r="V59" s="33"/>
      <c r="W59" s="69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>
        <v>1</v>
      </c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  <c r="IW59" s="33"/>
      <c r="IX59" s="33"/>
      <c r="IY59" s="33"/>
      <c r="IZ59" s="33"/>
      <c r="JA59" s="33"/>
      <c r="JB59" s="33"/>
      <c r="JC59" s="33"/>
      <c r="JD59" s="33"/>
      <c r="JE59" s="33"/>
      <c r="JF59" s="33"/>
      <c r="JG59" s="33"/>
      <c r="JH59" s="33"/>
      <c r="JI59" s="33"/>
      <c r="JJ59" s="33"/>
      <c r="JK59" s="33"/>
      <c r="JL59" s="33"/>
      <c r="JM59" s="33"/>
      <c r="JN59" s="33"/>
      <c r="JO59" s="33"/>
      <c r="JP59" s="33"/>
      <c r="JQ59" s="33"/>
      <c r="JR59" s="33"/>
      <c r="JS59" s="33"/>
      <c r="JT59" s="33"/>
      <c r="JU59" s="33"/>
      <c r="JV59" s="33"/>
      <c r="JW59" s="33"/>
      <c r="JX59" s="33"/>
      <c r="JY59" s="33"/>
      <c r="JZ59" s="33"/>
      <c r="KA59" s="33"/>
      <c r="KB59" s="33"/>
      <c r="KC59" s="33"/>
      <c r="KD59" s="33"/>
      <c r="KE59" s="33"/>
      <c r="KF59" s="33"/>
      <c r="KG59" s="33"/>
      <c r="KH59" s="33"/>
      <c r="KI59" s="33"/>
      <c r="KJ59" s="33"/>
      <c r="KK59" s="33"/>
      <c r="KL59" s="33"/>
      <c r="KM59" s="33"/>
      <c r="KN59" s="33"/>
      <c r="KO59" s="33"/>
      <c r="KP59" s="33"/>
      <c r="KQ59" s="33"/>
      <c r="KR59" s="33"/>
      <c r="KS59" s="33"/>
      <c r="KT59" s="33"/>
      <c r="KU59" s="33"/>
      <c r="KV59" s="33"/>
      <c r="KW59" s="33"/>
      <c r="KX59" s="33"/>
      <c r="KY59" s="33"/>
      <c r="KZ59" s="33"/>
      <c r="LA59" s="33"/>
      <c r="LB59" s="33"/>
      <c r="LC59" s="33"/>
      <c r="LD59" s="33"/>
      <c r="LE59" s="33"/>
      <c r="LF59" s="33"/>
      <c r="LG59" s="33"/>
      <c r="LH59" s="33"/>
      <c r="LI59" s="33"/>
      <c r="LJ59" s="33"/>
      <c r="LK59" s="33"/>
      <c r="LL59" s="33"/>
      <c r="LM59" s="33"/>
      <c r="LN59" s="33"/>
      <c r="LO59" s="33"/>
      <c r="LP59" s="33"/>
      <c r="LQ59" s="33"/>
      <c r="LR59" s="33"/>
      <c r="LS59" s="33"/>
      <c r="LT59" s="33"/>
      <c r="LU59" s="33"/>
      <c r="LV59" s="33"/>
      <c r="LW59" s="33"/>
      <c r="LX59" s="33"/>
      <c r="LY59" s="33"/>
      <c r="LZ59" s="33"/>
      <c r="MA59" s="33"/>
      <c r="MB59" s="33"/>
      <c r="MC59" s="33"/>
      <c r="MD59" s="33"/>
      <c r="ME59" s="33"/>
      <c r="MF59" s="33"/>
      <c r="MG59" s="33"/>
      <c r="MH59" s="33"/>
      <c r="MI59" s="33"/>
      <c r="MJ59" s="33"/>
      <c r="MK59" s="33"/>
      <c r="ML59" s="33"/>
      <c r="MM59" s="33"/>
      <c r="MN59" s="33"/>
      <c r="MO59" s="33"/>
      <c r="MP59" s="33"/>
      <c r="MQ59" s="33"/>
      <c r="MR59" s="33"/>
      <c r="MS59" s="33"/>
      <c r="MT59" s="33"/>
      <c r="MU59" s="33"/>
      <c r="MV59" s="33"/>
      <c r="MW59" s="33"/>
      <c r="MX59" s="33"/>
      <c r="MY59" s="33"/>
      <c r="MZ59" s="33"/>
      <c r="NA59" s="33"/>
      <c r="NB59" s="33"/>
      <c r="NC59" s="33"/>
      <c r="ND59" s="33"/>
      <c r="NE59" s="33"/>
      <c r="NF59" s="33"/>
      <c r="NG59" s="33"/>
      <c r="NH59" s="33"/>
      <c r="NI59" s="33"/>
      <c r="NJ59" s="33"/>
      <c r="NK59" s="33"/>
      <c r="NL59" s="33"/>
      <c r="NM59" s="33"/>
      <c r="NN59" s="33"/>
      <c r="NO59" s="33"/>
      <c r="NP59" s="33"/>
      <c r="NQ59" s="33"/>
      <c r="NR59" s="33"/>
      <c r="NS59" s="33"/>
      <c r="NT59" s="31">
        <f t="shared" ref="NT59" si="171">COUNTIF(F59:NS59,"1")</f>
        <v>1</v>
      </c>
      <c r="NU59" s="80">
        <f t="shared" ref="NU59" si="172">NT60/NT59</f>
        <v>1</v>
      </c>
      <c r="NV59" s="29" t="str">
        <f t="shared" ref="NV59" si="173">+IF(NX59&gt;=1,"1",0)</f>
        <v>1</v>
      </c>
      <c r="NW59" s="38">
        <f t="shared" si="18"/>
        <v>1</v>
      </c>
      <c r="NX59" s="35">
        <f t="shared" ref="NX59" si="174">COUNTIF(F59:AU59,"1")</f>
        <v>1</v>
      </c>
      <c r="NY59" s="80">
        <f t="shared" ref="NY59" si="175">NX60/NX59</f>
        <v>1</v>
      </c>
      <c r="NZ59" s="29">
        <f t="shared" ref="NZ59" si="176">+IF(OB59&gt;=1,"1",0)</f>
        <v>0</v>
      </c>
      <c r="OA59" s="38">
        <f t="shared" si="19"/>
        <v>1</v>
      </c>
      <c r="OB59" s="35">
        <f t="shared" ref="OB59" si="177">COUNTIF(AV59:CK59,"1")</f>
        <v>0</v>
      </c>
      <c r="OC59" s="80" t="e">
        <f t="shared" ref="OC59" si="178">OB60/OB59</f>
        <v>#DIV/0!</v>
      </c>
      <c r="OD59" s="29">
        <f t="shared" ref="OD59" si="179">+IF(OF59&gt;=1,"1",0)</f>
        <v>0</v>
      </c>
      <c r="OE59" s="38">
        <f t="shared" si="20"/>
        <v>1</v>
      </c>
      <c r="OF59" s="35">
        <f t="shared" ref="OF59" si="180">COUNTIF(CL59:EA59,"1")</f>
        <v>0</v>
      </c>
      <c r="OG59" s="80" t="e">
        <f t="shared" ref="OG59" si="181">OF60/OF59</f>
        <v>#DIV/0!</v>
      </c>
      <c r="OH59" s="29">
        <f t="shared" ref="OH59" si="182">+IF(OJ59&gt;=1,"1",0)</f>
        <v>0</v>
      </c>
      <c r="OI59" s="38">
        <f t="shared" si="21"/>
        <v>1</v>
      </c>
      <c r="OJ59" s="35">
        <f t="shared" ref="OJ59" si="183">COUNTIF(EB59:FQ59,"1")</f>
        <v>0</v>
      </c>
      <c r="OK59" s="79" t="e">
        <f t="shared" ref="OK59" si="184">OJ60/OJ59</f>
        <v>#DIV/0!</v>
      </c>
      <c r="OL59" s="29">
        <f t="shared" ref="OL59" si="185">+IF(ON59&gt;=1,"1",0)</f>
        <v>0</v>
      </c>
      <c r="OM59" s="38">
        <f t="shared" si="22"/>
        <v>1</v>
      </c>
      <c r="ON59" s="35">
        <f t="shared" ref="ON59" si="186">COUNTIF(FR59:HG59,"1")</f>
        <v>0</v>
      </c>
      <c r="OO59" s="79" t="e">
        <f t="shared" ref="OO59" si="187">ON60/ON59</f>
        <v>#DIV/0!</v>
      </c>
      <c r="OP59" s="29">
        <f t="shared" ref="OP59" si="188">+IF(OR59&gt;=1,"1",0)</f>
        <v>0</v>
      </c>
      <c r="OQ59" s="38">
        <f t="shared" si="23"/>
        <v>1</v>
      </c>
      <c r="OR59" s="35">
        <f t="shared" ref="OR59" si="189">COUNTIF(HH59:IW59,"1")</f>
        <v>0</v>
      </c>
      <c r="OS59" s="79" t="e">
        <f t="shared" ref="OS59" si="190">OR60/OR59</f>
        <v>#DIV/0!</v>
      </c>
      <c r="OT59" s="29">
        <f t="shared" ref="OT59" si="191">+IF(OV59&gt;=1,"1",0)</f>
        <v>0</v>
      </c>
      <c r="OU59" s="38">
        <f t="shared" si="24"/>
        <v>1</v>
      </c>
      <c r="OV59" s="35">
        <f t="shared" ref="OV59" si="192">COUNTIF(IX59:KM59,"1")</f>
        <v>0</v>
      </c>
      <c r="OW59" s="79" t="e">
        <f t="shared" ref="OW59" si="193">OV60/OV59</f>
        <v>#DIV/0!</v>
      </c>
      <c r="OX59" s="29">
        <f t="shared" ref="OX59" si="194">+IF(OZ59&gt;=1,"1",0)</f>
        <v>0</v>
      </c>
      <c r="OY59" s="38">
        <f t="shared" si="25"/>
        <v>1</v>
      </c>
      <c r="OZ59" s="35">
        <f t="shared" ref="OZ59" si="195">COUNTIF(KN59:MC59,"1")</f>
        <v>0</v>
      </c>
      <c r="PA59" s="79" t="e">
        <f t="shared" ref="PA59" si="196">OZ60/OZ59</f>
        <v>#DIV/0!</v>
      </c>
      <c r="PB59" s="29">
        <f t="shared" ref="PB59" si="197">+IF(PD59&gt;=1,"1",0)</f>
        <v>0</v>
      </c>
      <c r="PC59" s="38">
        <f t="shared" si="26"/>
        <v>1</v>
      </c>
      <c r="PD59" s="35">
        <f t="shared" ref="PD59" si="198">COUNTIF(MD59:NS59,"1")</f>
        <v>0</v>
      </c>
      <c r="PE59" s="79" t="e">
        <f t="shared" ref="PE59" si="199">PD60/PD59</f>
        <v>#DIV/0!</v>
      </c>
    </row>
    <row r="60" spans="1:421" ht="15.75" customHeight="1" outlineLevel="1" thickBot="1" x14ac:dyDescent="0.3">
      <c r="C60" s="128"/>
      <c r="D60" s="91"/>
      <c r="E60" s="54" t="s">
        <v>9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70"/>
      <c r="Q60" s="34"/>
      <c r="R60" s="34"/>
      <c r="S60" s="34"/>
      <c r="T60" s="34"/>
      <c r="U60" s="34"/>
      <c r="V60" s="34"/>
      <c r="W60" s="70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 t="s">
        <v>116</v>
      </c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  <c r="HB60" s="34"/>
      <c r="HC60" s="34"/>
      <c r="HD60" s="34"/>
      <c r="HE60" s="34"/>
      <c r="HF60" s="34"/>
      <c r="HG60" s="34"/>
      <c r="HH60" s="34"/>
      <c r="HI60" s="34"/>
      <c r="HJ60" s="34"/>
      <c r="HK60" s="34"/>
      <c r="HL60" s="34"/>
      <c r="HM60" s="34"/>
      <c r="HN60" s="34"/>
      <c r="HO60" s="34"/>
      <c r="HP60" s="34"/>
      <c r="HQ60" s="34"/>
      <c r="HR60" s="34"/>
      <c r="HS60" s="34"/>
      <c r="HT60" s="34"/>
      <c r="HU60" s="34"/>
      <c r="HV60" s="34"/>
      <c r="HW60" s="34"/>
      <c r="HX60" s="34"/>
      <c r="HY60" s="34"/>
      <c r="HZ60" s="34"/>
      <c r="IA60" s="34"/>
      <c r="IB60" s="34"/>
      <c r="IC60" s="34"/>
      <c r="ID60" s="34"/>
      <c r="IE60" s="34"/>
      <c r="IF60" s="34"/>
      <c r="IG60" s="34"/>
      <c r="IH60" s="34"/>
      <c r="II60" s="34"/>
      <c r="IJ60" s="34"/>
      <c r="IK60" s="34"/>
      <c r="IL60" s="34"/>
      <c r="IM60" s="34"/>
      <c r="IN60" s="34"/>
      <c r="IO60" s="34"/>
      <c r="IP60" s="34"/>
      <c r="IQ60" s="34"/>
      <c r="IR60" s="34"/>
      <c r="IS60" s="34"/>
      <c r="IT60" s="34"/>
      <c r="IU60" s="34"/>
      <c r="IV60" s="34"/>
      <c r="IW60" s="34"/>
      <c r="IX60" s="34"/>
      <c r="IY60" s="34"/>
      <c r="IZ60" s="34"/>
      <c r="JA60" s="34"/>
      <c r="JB60" s="34"/>
      <c r="JC60" s="34"/>
      <c r="JD60" s="34"/>
      <c r="JE60" s="34"/>
      <c r="JF60" s="34"/>
      <c r="JG60" s="34"/>
      <c r="JH60" s="34"/>
      <c r="JI60" s="34"/>
      <c r="JJ60" s="34"/>
      <c r="JK60" s="34"/>
      <c r="JL60" s="34"/>
      <c r="JM60" s="34"/>
      <c r="JN60" s="34"/>
      <c r="JO60" s="34"/>
      <c r="JP60" s="34"/>
      <c r="JQ60" s="34"/>
      <c r="JR60" s="34"/>
      <c r="JS60" s="34"/>
      <c r="JT60" s="34"/>
      <c r="JU60" s="34"/>
      <c r="JV60" s="34"/>
      <c r="JW60" s="34"/>
      <c r="JX60" s="34"/>
      <c r="JY60" s="34"/>
      <c r="JZ60" s="34"/>
      <c r="KA60" s="34"/>
      <c r="KB60" s="34"/>
      <c r="KC60" s="34"/>
      <c r="KD60" s="34"/>
      <c r="KE60" s="34"/>
      <c r="KF60" s="34"/>
      <c r="KG60" s="34"/>
      <c r="KH60" s="34"/>
      <c r="KI60" s="34"/>
      <c r="KJ60" s="34"/>
      <c r="KK60" s="34"/>
      <c r="KL60" s="34"/>
      <c r="KM60" s="34"/>
      <c r="KN60" s="34"/>
      <c r="KO60" s="34"/>
      <c r="KP60" s="34"/>
      <c r="KQ60" s="34"/>
      <c r="KR60" s="34"/>
      <c r="KS60" s="34"/>
      <c r="KT60" s="34"/>
      <c r="KU60" s="34"/>
      <c r="KV60" s="34"/>
      <c r="KW60" s="34"/>
      <c r="KX60" s="34"/>
      <c r="KY60" s="34"/>
      <c r="KZ60" s="34"/>
      <c r="LA60" s="34"/>
      <c r="LB60" s="34"/>
      <c r="LC60" s="34"/>
      <c r="LD60" s="34"/>
      <c r="LE60" s="34"/>
      <c r="LF60" s="34"/>
      <c r="LG60" s="34"/>
      <c r="LH60" s="34"/>
      <c r="LI60" s="34"/>
      <c r="LJ60" s="34"/>
      <c r="LK60" s="34"/>
      <c r="LL60" s="34"/>
      <c r="LM60" s="34"/>
      <c r="LN60" s="34"/>
      <c r="LO60" s="34"/>
      <c r="LP60" s="34"/>
      <c r="LQ60" s="34"/>
      <c r="LR60" s="34"/>
      <c r="LS60" s="34"/>
      <c r="LT60" s="34"/>
      <c r="LU60" s="34"/>
      <c r="LV60" s="34"/>
      <c r="LW60" s="34"/>
      <c r="LX60" s="34"/>
      <c r="LY60" s="34"/>
      <c r="LZ60" s="34"/>
      <c r="MA60" s="34"/>
      <c r="MB60" s="34"/>
      <c r="MC60" s="34"/>
      <c r="MD60" s="34"/>
      <c r="ME60" s="34"/>
      <c r="MF60" s="34"/>
      <c r="MG60" s="34"/>
      <c r="MH60" s="34"/>
      <c r="MI60" s="34"/>
      <c r="MJ60" s="34"/>
      <c r="MK60" s="34"/>
      <c r="ML60" s="34"/>
      <c r="MM60" s="34"/>
      <c r="MN60" s="34"/>
      <c r="MO60" s="34"/>
      <c r="MP60" s="34"/>
      <c r="MQ60" s="34"/>
      <c r="MR60" s="34"/>
      <c r="MS60" s="34"/>
      <c r="MT60" s="34"/>
      <c r="MU60" s="34"/>
      <c r="MV60" s="34"/>
      <c r="MW60" s="34"/>
      <c r="MX60" s="34"/>
      <c r="MY60" s="34"/>
      <c r="MZ60" s="34"/>
      <c r="NA60" s="34"/>
      <c r="NB60" s="34"/>
      <c r="NC60" s="34"/>
      <c r="ND60" s="34"/>
      <c r="NE60" s="34"/>
      <c r="NF60" s="34"/>
      <c r="NG60" s="34"/>
      <c r="NH60" s="34"/>
      <c r="NI60" s="34"/>
      <c r="NJ60" s="34"/>
      <c r="NK60" s="34"/>
      <c r="NL60" s="34"/>
      <c r="NM60" s="34"/>
      <c r="NN60" s="34"/>
      <c r="NO60" s="34"/>
      <c r="NP60" s="34"/>
      <c r="NQ60" s="34"/>
      <c r="NR60" s="34"/>
      <c r="NS60" s="34"/>
      <c r="NT60" s="7">
        <f t="shared" ref="NT60" si="200">COUNTIF(F60:NS60,"x")</f>
        <v>1</v>
      </c>
      <c r="NU60" s="81"/>
      <c r="NV60" s="32">
        <f t="shared" ref="NV60" si="201">IF(NX60=0,"0",NX60/NX59)</f>
        <v>1</v>
      </c>
      <c r="NW60" s="37">
        <f t="shared" si="18"/>
        <v>0</v>
      </c>
      <c r="NX60" s="36">
        <f t="shared" ref="NX60" si="202">COUNTIF(F60:AU60,"x")</f>
        <v>1</v>
      </c>
      <c r="NY60" s="81"/>
      <c r="NZ60" s="32" t="str">
        <f t="shared" ref="NZ60" si="203">IF(OB60=0,"0",OB60/OB59)</f>
        <v>0</v>
      </c>
      <c r="OA60" s="37">
        <f t="shared" si="19"/>
        <v>0</v>
      </c>
      <c r="OB60" s="36">
        <f t="shared" ref="OB60" si="204">COUNTIF(AV60:CK60,"x")</f>
        <v>0</v>
      </c>
      <c r="OC60" s="81"/>
      <c r="OD60" s="32" t="str">
        <f t="shared" ref="OD60" si="205">IF(OF60=0,"0",OF60/OF59)</f>
        <v>0</v>
      </c>
      <c r="OE60" s="37">
        <f t="shared" si="20"/>
        <v>0</v>
      </c>
      <c r="OF60" s="36">
        <f t="shared" ref="OF60" si="206">COUNTIF(CL60:EA60,"x")</f>
        <v>0</v>
      </c>
      <c r="OG60" s="81"/>
      <c r="OH60" s="32" t="str">
        <f t="shared" ref="OH60" si="207">IF(OJ60=0,"0",OJ60/OJ59)</f>
        <v>0</v>
      </c>
      <c r="OI60" s="37">
        <f t="shared" si="21"/>
        <v>0</v>
      </c>
      <c r="OJ60" s="36">
        <f t="shared" ref="OJ60" si="208">COUNTIF(EB60:FQ60,"x")</f>
        <v>0</v>
      </c>
      <c r="OK60" s="74"/>
      <c r="OL60" s="32" t="str">
        <f t="shared" ref="OL60" si="209">IF(ON60=0,"0",ON60/ON59)</f>
        <v>0</v>
      </c>
      <c r="OM60" s="37">
        <f t="shared" si="22"/>
        <v>0</v>
      </c>
      <c r="ON60" s="36">
        <f t="shared" ref="ON60" si="210">COUNTIF(FR60:HG60,"x")</f>
        <v>0</v>
      </c>
      <c r="OO60" s="74"/>
      <c r="OP60" s="32" t="str">
        <f t="shared" ref="OP60" si="211">IF(OR60=0,"0",OR60/OR59)</f>
        <v>0</v>
      </c>
      <c r="OQ60" s="37">
        <f t="shared" si="23"/>
        <v>0</v>
      </c>
      <c r="OR60" s="36">
        <f t="shared" ref="OR60" si="212">COUNTIF(HH60:IW60,"x")</f>
        <v>0</v>
      </c>
      <c r="OS60" s="74"/>
      <c r="OT60" s="32" t="str">
        <f t="shared" ref="OT60" si="213">IF(OV60=0,"0",OV60/OV59)</f>
        <v>0</v>
      </c>
      <c r="OU60" s="37">
        <f t="shared" si="24"/>
        <v>0</v>
      </c>
      <c r="OV60" s="36">
        <f t="shared" ref="OV60" si="214">COUNTIF(IX60:KM60,"x")</f>
        <v>0</v>
      </c>
      <c r="OW60" s="74"/>
      <c r="OX60" s="32" t="str">
        <f t="shared" ref="OX60" si="215">IF(OZ60=0,"0",OZ60/OZ59)</f>
        <v>0</v>
      </c>
      <c r="OY60" s="37">
        <f t="shared" si="25"/>
        <v>0</v>
      </c>
      <c r="OZ60" s="36">
        <f t="shared" ref="OZ60" si="216">COUNTIF(KN60:MC60,"x")</f>
        <v>0</v>
      </c>
      <c r="PA60" s="74"/>
      <c r="PB60" s="32" t="str">
        <f t="shared" ref="PB60" si="217">IF(PD60=0,"0",PD60/PD59)</f>
        <v>0</v>
      </c>
      <c r="PC60" s="37">
        <f t="shared" si="26"/>
        <v>0</v>
      </c>
      <c r="PD60" s="36">
        <f t="shared" ref="PD60" si="218">COUNTIF(MD60:NS60,"x")</f>
        <v>0</v>
      </c>
      <c r="PE60" s="74"/>
    </row>
    <row r="61" spans="1:421" ht="15.75" customHeight="1" outlineLevel="1" x14ac:dyDescent="0.25">
      <c r="C61" s="82"/>
      <c r="D61" s="90"/>
      <c r="E61" s="53" t="s">
        <v>8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69"/>
      <c r="Q61" s="33"/>
      <c r="R61" s="33"/>
      <c r="S61" s="33"/>
      <c r="T61" s="33"/>
      <c r="U61" s="33"/>
      <c r="V61" s="33"/>
      <c r="W61" s="69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  <c r="HI61" s="33"/>
      <c r="HJ61" s="33"/>
      <c r="HK61" s="33"/>
      <c r="HL61" s="33"/>
      <c r="HM61" s="33"/>
      <c r="HN61" s="33"/>
      <c r="HO61" s="33"/>
      <c r="HP61" s="33"/>
      <c r="HQ61" s="33"/>
      <c r="HR61" s="33"/>
      <c r="HS61" s="33"/>
      <c r="HT61" s="33"/>
      <c r="HU61" s="33"/>
      <c r="HV61" s="33"/>
      <c r="HW61" s="33"/>
      <c r="HX61" s="33"/>
      <c r="HY61" s="33"/>
      <c r="HZ61" s="33"/>
      <c r="IA61" s="33"/>
      <c r="IB61" s="33"/>
      <c r="IC61" s="33"/>
      <c r="ID61" s="33"/>
      <c r="IE61" s="33"/>
      <c r="IF61" s="33"/>
      <c r="IG61" s="33"/>
      <c r="IH61" s="33"/>
      <c r="II61" s="33"/>
      <c r="IJ61" s="33"/>
      <c r="IK61" s="33"/>
      <c r="IL61" s="33"/>
      <c r="IM61" s="33"/>
      <c r="IN61" s="33"/>
      <c r="IO61" s="33"/>
      <c r="IP61" s="33"/>
      <c r="IQ61" s="33"/>
      <c r="IR61" s="33"/>
      <c r="IS61" s="33"/>
      <c r="IT61" s="33"/>
      <c r="IU61" s="33"/>
      <c r="IV61" s="33"/>
      <c r="IW61" s="33"/>
      <c r="IX61" s="33"/>
      <c r="IY61" s="33"/>
      <c r="IZ61" s="33"/>
      <c r="JA61" s="33"/>
      <c r="JB61" s="33"/>
      <c r="JC61" s="33"/>
      <c r="JD61" s="33"/>
      <c r="JE61" s="33"/>
      <c r="JF61" s="33"/>
      <c r="JG61" s="33"/>
      <c r="JH61" s="33"/>
      <c r="JI61" s="33"/>
      <c r="JJ61" s="33"/>
      <c r="JK61" s="33"/>
      <c r="JL61" s="33"/>
      <c r="JM61" s="33"/>
      <c r="JN61" s="33"/>
      <c r="JO61" s="33"/>
      <c r="JP61" s="33"/>
      <c r="JQ61" s="33"/>
      <c r="JR61" s="33"/>
      <c r="JS61" s="33"/>
      <c r="JT61" s="33"/>
      <c r="JU61" s="33"/>
      <c r="JV61" s="33"/>
      <c r="JW61" s="33"/>
      <c r="JX61" s="33"/>
      <c r="JY61" s="33"/>
      <c r="JZ61" s="33"/>
      <c r="KA61" s="33"/>
      <c r="KB61" s="33"/>
      <c r="KC61" s="33"/>
      <c r="KD61" s="33"/>
      <c r="KE61" s="33"/>
      <c r="KF61" s="33"/>
      <c r="KG61" s="33"/>
      <c r="KH61" s="33"/>
      <c r="KI61" s="33"/>
      <c r="KJ61" s="33"/>
      <c r="KK61" s="33"/>
      <c r="KL61" s="33"/>
      <c r="KM61" s="33"/>
      <c r="KN61" s="33"/>
      <c r="KO61" s="33"/>
      <c r="KP61" s="33"/>
      <c r="KQ61" s="33"/>
      <c r="KR61" s="33"/>
      <c r="KS61" s="33"/>
      <c r="KT61" s="33"/>
      <c r="KU61" s="33"/>
      <c r="KV61" s="33"/>
      <c r="KW61" s="33"/>
      <c r="KX61" s="33"/>
      <c r="KY61" s="33"/>
      <c r="KZ61" s="33"/>
      <c r="LA61" s="33"/>
      <c r="LB61" s="33"/>
      <c r="LC61" s="33"/>
      <c r="LD61" s="33"/>
      <c r="LE61" s="33"/>
      <c r="LF61" s="33"/>
      <c r="LG61" s="33"/>
      <c r="LH61" s="33"/>
      <c r="LI61" s="33"/>
      <c r="LJ61" s="33"/>
      <c r="LK61" s="33"/>
      <c r="LL61" s="33"/>
      <c r="LM61" s="33"/>
      <c r="LN61" s="33"/>
      <c r="LO61" s="33"/>
      <c r="LP61" s="33"/>
      <c r="LQ61" s="33"/>
      <c r="LR61" s="33"/>
      <c r="LS61" s="33"/>
      <c r="LT61" s="33"/>
      <c r="LU61" s="33"/>
      <c r="LV61" s="33"/>
      <c r="LW61" s="33"/>
      <c r="LX61" s="33"/>
      <c r="LY61" s="33"/>
      <c r="LZ61" s="33"/>
      <c r="MA61" s="33"/>
      <c r="MB61" s="33"/>
      <c r="MC61" s="33"/>
      <c r="MD61" s="33"/>
      <c r="ME61" s="33"/>
      <c r="MF61" s="33"/>
      <c r="MG61" s="33"/>
      <c r="MH61" s="33"/>
      <c r="MI61" s="33"/>
      <c r="MJ61" s="33"/>
      <c r="MK61" s="33"/>
      <c r="ML61" s="33"/>
      <c r="MM61" s="33"/>
      <c r="MN61" s="33"/>
      <c r="MO61" s="33"/>
      <c r="MP61" s="33"/>
      <c r="MQ61" s="33"/>
      <c r="MR61" s="33"/>
      <c r="MS61" s="33"/>
      <c r="MT61" s="33"/>
      <c r="MU61" s="33"/>
      <c r="MV61" s="33"/>
      <c r="MW61" s="33"/>
      <c r="MX61" s="33"/>
      <c r="MY61" s="33"/>
      <c r="MZ61" s="33"/>
      <c r="NA61" s="33"/>
      <c r="NB61" s="33"/>
      <c r="NC61" s="33"/>
      <c r="ND61" s="33"/>
      <c r="NE61" s="33"/>
      <c r="NF61" s="33"/>
      <c r="NG61" s="33"/>
      <c r="NH61" s="33"/>
      <c r="NI61" s="33"/>
      <c r="NJ61" s="33"/>
      <c r="NK61" s="33"/>
      <c r="NL61" s="33"/>
      <c r="NM61" s="33"/>
      <c r="NN61" s="33"/>
      <c r="NO61" s="33"/>
      <c r="NP61" s="33"/>
      <c r="NQ61" s="33"/>
      <c r="NR61" s="33"/>
      <c r="NS61" s="33"/>
      <c r="NT61" s="31">
        <f>COUNTIF(F61:NS61,"1")</f>
        <v>0</v>
      </c>
      <c r="NU61" s="80" t="e">
        <f>NT62/NT61</f>
        <v>#DIV/0!</v>
      </c>
      <c r="NV61" s="29">
        <f>+IF(NX61&gt;=1,"1",0)</f>
        <v>0</v>
      </c>
      <c r="NW61" s="38">
        <f t="shared" si="18"/>
        <v>1</v>
      </c>
      <c r="NX61" s="35">
        <f>COUNTIF(F61:AU61,"1")</f>
        <v>0</v>
      </c>
      <c r="NY61" s="80" t="e">
        <f>NX62/NX61</f>
        <v>#DIV/0!</v>
      </c>
      <c r="NZ61" s="29">
        <f>+IF(OB61&gt;=1,"1",0)</f>
        <v>0</v>
      </c>
      <c r="OA61" s="38">
        <f t="shared" si="19"/>
        <v>1</v>
      </c>
      <c r="OB61" s="35">
        <f>COUNTIF(AV61:CK61,"1")</f>
        <v>0</v>
      </c>
      <c r="OC61" s="80" t="e">
        <f>OB62/OB61</f>
        <v>#DIV/0!</v>
      </c>
      <c r="OD61" s="29">
        <f>+IF(OF61&gt;=1,"1",0)</f>
        <v>0</v>
      </c>
      <c r="OE61" s="38">
        <f t="shared" si="20"/>
        <v>1</v>
      </c>
      <c r="OF61" s="35">
        <f>COUNTIF(CL61:EA61,"1")</f>
        <v>0</v>
      </c>
      <c r="OG61" s="80" t="e">
        <f>OF62/OF61</f>
        <v>#DIV/0!</v>
      </c>
      <c r="OH61" s="29">
        <f>+IF(OJ61&gt;=1,"1",0)</f>
        <v>0</v>
      </c>
      <c r="OI61" s="38">
        <f t="shared" si="21"/>
        <v>1</v>
      </c>
      <c r="OJ61" s="35">
        <f>COUNTIF(EB61:FQ61,"1")</f>
        <v>0</v>
      </c>
      <c r="OK61" s="79" t="e">
        <f>OJ62/OJ61</f>
        <v>#DIV/0!</v>
      </c>
      <c r="OL61" s="29">
        <f>+IF(ON61&gt;=1,"1",0)</f>
        <v>0</v>
      </c>
      <c r="OM61" s="38">
        <f t="shared" si="22"/>
        <v>1</v>
      </c>
      <c r="ON61" s="35">
        <f>COUNTIF(FR61:HG61,"1")</f>
        <v>0</v>
      </c>
      <c r="OO61" s="79" t="e">
        <f>ON62/ON61</f>
        <v>#DIV/0!</v>
      </c>
      <c r="OP61" s="29">
        <f>+IF(OR61&gt;=1,"1",0)</f>
        <v>0</v>
      </c>
      <c r="OQ61" s="38">
        <f t="shared" si="23"/>
        <v>1</v>
      </c>
      <c r="OR61" s="35">
        <f>COUNTIF(HH61:IW61,"1")</f>
        <v>0</v>
      </c>
      <c r="OS61" s="79" t="e">
        <f>OR62/OR61</f>
        <v>#DIV/0!</v>
      </c>
      <c r="OT61" s="29">
        <f>+IF(OV61&gt;=1,"1",0)</f>
        <v>0</v>
      </c>
      <c r="OU61" s="38">
        <f t="shared" si="24"/>
        <v>1</v>
      </c>
      <c r="OV61" s="35">
        <f>COUNTIF(IX61:KM61,"1")</f>
        <v>0</v>
      </c>
      <c r="OW61" s="79" t="e">
        <f>OV62/OV61</f>
        <v>#DIV/0!</v>
      </c>
      <c r="OX61" s="29">
        <f>+IF(OZ61&gt;=1,"1",0)</f>
        <v>0</v>
      </c>
      <c r="OY61" s="38">
        <f t="shared" si="25"/>
        <v>1</v>
      </c>
      <c r="OZ61" s="35">
        <f>COUNTIF(KN61:MC61,"1")</f>
        <v>0</v>
      </c>
      <c r="PA61" s="79" t="e">
        <f>OZ62/OZ61</f>
        <v>#DIV/0!</v>
      </c>
      <c r="PB61" s="29">
        <f>+IF(PD61&gt;=1,"1",0)</f>
        <v>0</v>
      </c>
      <c r="PC61" s="38">
        <f t="shared" si="26"/>
        <v>1</v>
      </c>
      <c r="PD61" s="35">
        <f>COUNTIF(MD61:NS61,"1")</f>
        <v>0</v>
      </c>
      <c r="PE61" s="79" t="e">
        <f>PD62/PD61</f>
        <v>#DIV/0!</v>
      </c>
    </row>
    <row r="62" spans="1:421" ht="15.75" customHeight="1" outlineLevel="1" thickBot="1" x14ac:dyDescent="0.3">
      <c r="C62" s="83"/>
      <c r="D62" s="91"/>
      <c r="E62" s="54" t="s">
        <v>9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70"/>
      <c r="Q62" s="34"/>
      <c r="R62" s="34"/>
      <c r="S62" s="34"/>
      <c r="T62" s="34"/>
      <c r="U62" s="34"/>
      <c r="V62" s="34"/>
      <c r="W62" s="70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  <c r="HI62" s="34"/>
      <c r="HJ62" s="34"/>
      <c r="HK62" s="34"/>
      <c r="HL62" s="34"/>
      <c r="HM62" s="34"/>
      <c r="HN62" s="34"/>
      <c r="HO62" s="34"/>
      <c r="HP62" s="34"/>
      <c r="HQ62" s="34"/>
      <c r="HR62" s="34"/>
      <c r="HS62" s="34"/>
      <c r="HT62" s="34"/>
      <c r="HU62" s="34"/>
      <c r="HV62" s="34"/>
      <c r="HW62" s="34"/>
      <c r="HX62" s="34"/>
      <c r="HY62" s="34"/>
      <c r="HZ62" s="34"/>
      <c r="IA62" s="34"/>
      <c r="IB62" s="34"/>
      <c r="IC62" s="34"/>
      <c r="ID62" s="34"/>
      <c r="IE62" s="34"/>
      <c r="IF62" s="34"/>
      <c r="IG62" s="34"/>
      <c r="IH62" s="34"/>
      <c r="II62" s="34"/>
      <c r="IJ62" s="34"/>
      <c r="IK62" s="34"/>
      <c r="IL62" s="34"/>
      <c r="IM62" s="34"/>
      <c r="IN62" s="34"/>
      <c r="IO62" s="34"/>
      <c r="IP62" s="34"/>
      <c r="IQ62" s="34"/>
      <c r="IR62" s="34"/>
      <c r="IS62" s="34"/>
      <c r="IT62" s="34"/>
      <c r="IU62" s="34"/>
      <c r="IV62" s="34"/>
      <c r="IW62" s="34"/>
      <c r="IX62" s="34"/>
      <c r="IY62" s="34"/>
      <c r="IZ62" s="34"/>
      <c r="JA62" s="34"/>
      <c r="JB62" s="34"/>
      <c r="JC62" s="34"/>
      <c r="JD62" s="34"/>
      <c r="JE62" s="34"/>
      <c r="JF62" s="34"/>
      <c r="JG62" s="34"/>
      <c r="JH62" s="34"/>
      <c r="JI62" s="34"/>
      <c r="JJ62" s="34"/>
      <c r="JK62" s="34"/>
      <c r="JL62" s="34"/>
      <c r="JM62" s="34"/>
      <c r="JN62" s="34"/>
      <c r="JO62" s="34"/>
      <c r="JP62" s="34"/>
      <c r="JQ62" s="34"/>
      <c r="JR62" s="34"/>
      <c r="JS62" s="34"/>
      <c r="JT62" s="34"/>
      <c r="JU62" s="34"/>
      <c r="JV62" s="34"/>
      <c r="JW62" s="34"/>
      <c r="JX62" s="34"/>
      <c r="JY62" s="34"/>
      <c r="JZ62" s="34"/>
      <c r="KA62" s="34"/>
      <c r="KB62" s="34"/>
      <c r="KC62" s="34"/>
      <c r="KD62" s="34"/>
      <c r="KE62" s="34"/>
      <c r="KF62" s="34"/>
      <c r="KG62" s="34"/>
      <c r="KH62" s="34"/>
      <c r="KI62" s="34"/>
      <c r="KJ62" s="34"/>
      <c r="KK62" s="34"/>
      <c r="KL62" s="34"/>
      <c r="KM62" s="34"/>
      <c r="KN62" s="34"/>
      <c r="KO62" s="34"/>
      <c r="KP62" s="34"/>
      <c r="KQ62" s="34"/>
      <c r="KR62" s="34"/>
      <c r="KS62" s="34"/>
      <c r="KT62" s="34"/>
      <c r="KU62" s="34"/>
      <c r="KV62" s="34"/>
      <c r="KW62" s="34"/>
      <c r="KX62" s="34"/>
      <c r="KY62" s="34"/>
      <c r="KZ62" s="34"/>
      <c r="LA62" s="34"/>
      <c r="LB62" s="34"/>
      <c r="LC62" s="34"/>
      <c r="LD62" s="34"/>
      <c r="LE62" s="34"/>
      <c r="LF62" s="34"/>
      <c r="LG62" s="34"/>
      <c r="LH62" s="34"/>
      <c r="LI62" s="34"/>
      <c r="LJ62" s="34"/>
      <c r="LK62" s="34"/>
      <c r="LL62" s="34"/>
      <c r="LM62" s="34"/>
      <c r="LN62" s="34"/>
      <c r="LO62" s="34"/>
      <c r="LP62" s="34"/>
      <c r="LQ62" s="34"/>
      <c r="LR62" s="34"/>
      <c r="LS62" s="34"/>
      <c r="LT62" s="34"/>
      <c r="LU62" s="34"/>
      <c r="LV62" s="34"/>
      <c r="LW62" s="34"/>
      <c r="LX62" s="34"/>
      <c r="LY62" s="34"/>
      <c r="LZ62" s="34"/>
      <c r="MA62" s="34"/>
      <c r="MB62" s="34"/>
      <c r="MC62" s="34"/>
      <c r="MD62" s="34"/>
      <c r="ME62" s="34"/>
      <c r="MF62" s="34"/>
      <c r="MG62" s="34"/>
      <c r="MH62" s="34"/>
      <c r="MI62" s="34"/>
      <c r="MJ62" s="34"/>
      <c r="MK62" s="34"/>
      <c r="ML62" s="34"/>
      <c r="MM62" s="34"/>
      <c r="MN62" s="34"/>
      <c r="MO62" s="34"/>
      <c r="MP62" s="34"/>
      <c r="MQ62" s="34"/>
      <c r="MR62" s="34"/>
      <c r="MS62" s="34"/>
      <c r="MT62" s="34"/>
      <c r="MU62" s="34"/>
      <c r="MV62" s="34"/>
      <c r="MW62" s="34"/>
      <c r="MX62" s="34"/>
      <c r="MY62" s="34"/>
      <c r="MZ62" s="34"/>
      <c r="NA62" s="34"/>
      <c r="NB62" s="34"/>
      <c r="NC62" s="34"/>
      <c r="ND62" s="34"/>
      <c r="NE62" s="34"/>
      <c r="NF62" s="34"/>
      <c r="NG62" s="34"/>
      <c r="NH62" s="34"/>
      <c r="NI62" s="34"/>
      <c r="NJ62" s="34"/>
      <c r="NK62" s="34"/>
      <c r="NL62" s="34"/>
      <c r="NM62" s="34"/>
      <c r="NN62" s="34"/>
      <c r="NO62" s="34"/>
      <c r="NP62" s="34"/>
      <c r="NQ62" s="34"/>
      <c r="NR62" s="34"/>
      <c r="NS62" s="34"/>
      <c r="NT62" s="7">
        <f>COUNTIF(F62:NS62,"x")</f>
        <v>0</v>
      </c>
      <c r="NU62" s="81"/>
      <c r="NV62" s="32" t="str">
        <f>IF(NX62=0,"0",NX62/NX61)</f>
        <v>0</v>
      </c>
      <c r="NW62" s="37">
        <f t="shared" si="18"/>
        <v>0</v>
      </c>
      <c r="NX62" s="36">
        <f>COUNTIF(F62:AU62,"x")</f>
        <v>0</v>
      </c>
      <c r="NY62" s="81"/>
      <c r="NZ62" s="32" t="str">
        <f>IF(OB62=0,"0",OB62/OB61)</f>
        <v>0</v>
      </c>
      <c r="OA62" s="37">
        <f t="shared" si="19"/>
        <v>0</v>
      </c>
      <c r="OB62" s="36">
        <f>COUNTIF(AV62:CK62,"x")</f>
        <v>0</v>
      </c>
      <c r="OC62" s="81"/>
      <c r="OD62" s="32" t="str">
        <f>IF(OF62=0,"0",OF62/OF61)</f>
        <v>0</v>
      </c>
      <c r="OE62" s="37">
        <f t="shared" si="20"/>
        <v>0</v>
      </c>
      <c r="OF62" s="36">
        <f>COUNTIF(CL62:EA62,"x")</f>
        <v>0</v>
      </c>
      <c r="OG62" s="81"/>
      <c r="OH62" s="32" t="str">
        <f>IF(OJ62=0,"0",OJ62/OJ61)</f>
        <v>0</v>
      </c>
      <c r="OI62" s="37">
        <f t="shared" si="21"/>
        <v>0</v>
      </c>
      <c r="OJ62" s="36">
        <f>COUNTIF(EB62:FQ62,"x")</f>
        <v>0</v>
      </c>
      <c r="OK62" s="74"/>
      <c r="OL62" s="32" t="str">
        <f>IF(ON62=0,"0",ON62/ON61)</f>
        <v>0</v>
      </c>
      <c r="OM62" s="37">
        <f t="shared" si="22"/>
        <v>0</v>
      </c>
      <c r="ON62" s="36">
        <f>COUNTIF(FR62:HG62,"x")</f>
        <v>0</v>
      </c>
      <c r="OO62" s="74"/>
      <c r="OP62" s="32" t="str">
        <f>IF(OR62=0,"0",OR62/OR61)</f>
        <v>0</v>
      </c>
      <c r="OQ62" s="37">
        <f t="shared" si="23"/>
        <v>0</v>
      </c>
      <c r="OR62" s="36">
        <f>COUNTIF(HH62:IW62,"x")</f>
        <v>0</v>
      </c>
      <c r="OS62" s="74"/>
      <c r="OT62" s="32" t="str">
        <f>IF(OV62=0,"0",OV62/OV61)</f>
        <v>0</v>
      </c>
      <c r="OU62" s="37">
        <f t="shared" si="24"/>
        <v>0</v>
      </c>
      <c r="OV62" s="36">
        <f>COUNTIF(IX62:KM62,"x")</f>
        <v>0</v>
      </c>
      <c r="OW62" s="74"/>
      <c r="OX62" s="32" t="str">
        <f>IF(OZ62=0,"0",OZ62/OZ61)</f>
        <v>0</v>
      </c>
      <c r="OY62" s="37">
        <f t="shared" si="25"/>
        <v>0</v>
      </c>
      <c r="OZ62" s="36">
        <f>COUNTIF(KN62:MC62,"x")</f>
        <v>0</v>
      </c>
      <c r="PA62" s="74"/>
      <c r="PB62" s="32" t="str">
        <f>IF(PD62=0,"0",PD62/PD61)</f>
        <v>0</v>
      </c>
      <c r="PC62" s="37">
        <f t="shared" si="26"/>
        <v>0</v>
      </c>
      <c r="PD62" s="36">
        <f>COUNTIF(MD62:NS62,"x")</f>
        <v>0</v>
      </c>
      <c r="PE62" s="74"/>
    </row>
    <row r="63" spans="1:421" ht="15.75" customHeight="1" x14ac:dyDescent="0.25">
      <c r="A63" s="18"/>
      <c r="B63" s="18"/>
      <c r="C63" s="94" t="s">
        <v>21</v>
      </c>
      <c r="D63" s="57"/>
      <c r="E63" s="51" t="s">
        <v>8</v>
      </c>
      <c r="F63" s="12">
        <f>COUNTIF(F65:F98,"1")</f>
        <v>1</v>
      </c>
      <c r="G63" s="12">
        <f>COUNTIF(G65:G98,"1")</f>
        <v>0</v>
      </c>
      <c r="H63" s="12">
        <f>COUNTIF(H65:H98,"1")</f>
        <v>0</v>
      </c>
      <c r="I63" s="12">
        <f>COUNTIF(I65:I98,"1")</f>
        <v>1</v>
      </c>
      <c r="J63" s="12">
        <f>COUNTIF(J65:J98,"1")</f>
        <v>0</v>
      </c>
      <c r="K63" s="12">
        <f>COUNTIF(K65:K98,"1")</f>
        <v>0</v>
      </c>
      <c r="L63" s="12">
        <f>COUNTIF(L65:L98,"1")</f>
        <v>1</v>
      </c>
      <c r="M63" s="12">
        <f>COUNTIF(M65:M98,"1")</f>
        <v>0</v>
      </c>
      <c r="N63" s="12">
        <f>COUNTIF(N65:N98,"1")</f>
        <v>0</v>
      </c>
      <c r="O63" s="12">
        <f>COUNTIF(O65:O98,"1")</f>
        <v>0</v>
      </c>
      <c r="P63" s="69">
        <f>COUNTIF(P65:P98,"1")</f>
        <v>0</v>
      </c>
      <c r="Q63" s="12">
        <f>COUNTIF(Q65:Q98,"1")</f>
        <v>0</v>
      </c>
      <c r="R63" s="12">
        <f>COUNTIF(R65:R98,"1")</f>
        <v>1</v>
      </c>
      <c r="S63" s="12">
        <f>COUNTIF(S65:S98,"1")</f>
        <v>1</v>
      </c>
      <c r="T63" s="12">
        <f>COUNTIF(T65:T98,"1")</f>
        <v>1</v>
      </c>
      <c r="U63" s="12">
        <f>COUNTIF(U65:U98,"1")</f>
        <v>0</v>
      </c>
      <c r="V63" s="12">
        <f>COUNTIF(V65:V98,"1")</f>
        <v>0</v>
      </c>
      <c r="W63" s="69">
        <f>COUNTIF(W65:W98,"1")</f>
        <v>0</v>
      </c>
      <c r="X63" s="12">
        <f>COUNTIF(X65:X98,"1")</f>
        <v>0</v>
      </c>
      <c r="Y63" s="12">
        <f>COUNTIF(Y65:Y98,"1")</f>
        <v>1</v>
      </c>
      <c r="Z63" s="12">
        <f>COUNTIF(Z65:Z98,"1")</f>
        <v>1</v>
      </c>
      <c r="AA63" s="12">
        <f>COUNTIF(AA65:AA98,"1")</f>
        <v>1</v>
      </c>
      <c r="AB63" s="12">
        <f>COUNTIF(AB65:AB98,"1")</f>
        <v>0</v>
      </c>
      <c r="AC63" s="12">
        <f>COUNTIF(AC65:AC98,"1")</f>
        <v>0</v>
      </c>
      <c r="AD63" s="12">
        <f>COUNTIF(AD65:AD98,"1")</f>
        <v>0</v>
      </c>
      <c r="AE63" s="12">
        <f>COUNTIF(AE65:AE98,"1")</f>
        <v>2</v>
      </c>
      <c r="AF63" s="12">
        <f>COUNTIF(AF65:AF98,"1")</f>
        <v>1</v>
      </c>
      <c r="AG63" s="12">
        <f>COUNTIF(AG65:AG98,"1")</f>
        <v>1</v>
      </c>
      <c r="AH63" s="12">
        <f>COUNTIF(AH65:AH98,"1")</f>
        <v>0</v>
      </c>
      <c r="AI63" s="12">
        <f>COUNTIF(AI65:AI98,"1")</f>
        <v>0</v>
      </c>
      <c r="AJ63" s="12">
        <f>COUNTIF(AJ65:AJ98,"1")</f>
        <v>0</v>
      </c>
      <c r="AK63" s="12">
        <f>COUNTIF(AK65:AK98,"1")</f>
        <v>0</v>
      </c>
      <c r="AL63" s="12">
        <f>COUNTIF(AL65:AL98,"1")</f>
        <v>0</v>
      </c>
      <c r="AM63" s="12">
        <f>COUNTIF(AM65:AM98,"1")</f>
        <v>2</v>
      </c>
      <c r="AN63" s="12">
        <f>COUNTIF(AN65:AN98,"1")</f>
        <v>0</v>
      </c>
      <c r="AO63" s="12">
        <f>COUNTIF(AO65:AO98,"1")</f>
        <v>0</v>
      </c>
      <c r="AP63" s="12">
        <f>COUNTIF(AP65:AP98,"1")</f>
        <v>0</v>
      </c>
      <c r="AQ63" s="12">
        <f>COUNTIF(AQ65:AQ98,"1")</f>
        <v>0</v>
      </c>
      <c r="AR63" s="12">
        <f>COUNTIF(AR65:AR98,"1")</f>
        <v>1</v>
      </c>
      <c r="AS63" s="12">
        <f>COUNTIF(AS65:AS98,"1")</f>
        <v>1</v>
      </c>
      <c r="AT63" s="12">
        <f>COUNTIF(AT65:AT98,"1")</f>
        <v>1</v>
      </c>
      <c r="AU63" s="12">
        <f>COUNTIF(AU65:AU98,"1")</f>
        <v>1</v>
      </c>
      <c r="AV63" s="12">
        <f>COUNTIF(AV65:AV98,"1")</f>
        <v>0</v>
      </c>
      <c r="AW63" s="12">
        <f>COUNTIF(AW65:AW98,"1")</f>
        <v>0</v>
      </c>
      <c r="AX63" s="12">
        <f>COUNTIF(AX65:AX98,"1")</f>
        <v>0</v>
      </c>
      <c r="AY63" s="12">
        <f>COUNTIF(AY65:AY98,"1")</f>
        <v>1</v>
      </c>
      <c r="AZ63" s="12">
        <f>COUNTIF(AZ65:AZ98,"1")</f>
        <v>2</v>
      </c>
      <c r="BA63" s="12">
        <f>COUNTIF(BA65:BA98,"1")</f>
        <v>1</v>
      </c>
      <c r="BB63" s="12">
        <f>COUNTIF(BB65:BB98,"1")</f>
        <v>1</v>
      </c>
      <c r="BC63" s="12">
        <f>COUNTIF(BC65:BC98,"1")</f>
        <v>0</v>
      </c>
      <c r="BD63" s="12">
        <f>COUNTIF(BD65:BD98,"1")</f>
        <v>0</v>
      </c>
      <c r="BE63" s="12">
        <f>COUNTIF(BE65:BE98,"1")</f>
        <v>0</v>
      </c>
      <c r="BF63" s="12">
        <f>COUNTIF(BF65:BF98,"1")</f>
        <v>1</v>
      </c>
      <c r="BG63" s="12">
        <f>COUNTIF(BG65:BG98,"1")</f>
        <v>0</v>
      </c>
      <c r="BH63" s="12">
        <f>COUNTIF(BH65:BH98,"1")</f>
        <v>0</v>
      </c>
      <c r="BI63" s="12">
        <f>COUNTIF(BI65:BI98,"1")</f>
        <v>0</v>
      </c>
      <c r="BJ63" s="12">
        <f>COUNTIF(BJ65:BJ98,"1")</f>
        <v>0</v>
      </c>
      <c r="BK63" s="12">
        <f>COUNTIF(BK65:BK98,"1")</f>
        <v>0</v>
      </c>
      <c r="BL63" s="12">
        <f>COUNTIF(BL65:BL98,"1")</f>
        <v>0</v>
      </c>
      <c r="BM63" s="12">
        <f>COUNTIF(BM65:BM98,"1")</f>
        <v>1</v>
      </c>
      <c r="BN63" s="12">
        <f>COUNTIF(BN65:BN98,"1")</f>
        <v>1</v>
      </c>
      <c r="BO63" s="12">
        <f>COUNTIF(BO65:BO98,"1")</f>
        <v>0</v>
      </c>
      <c r="BP63" s="12">
        <f>COUNTIF(BP65:BP98,"1")</f>
        <v>0</v>
      </c>
      <c r="BQ63" s="12">
        <f>COUNTIF(BQ65:BQ98,"1")</f>
        <v>0</v>
      </c>
      <c r="BR63" s="12">
        <f>COUNTIF(BR65:BR98,"1")</f>
        <v>0</v>
      </c>
      <c r="BS63" s="12">
        <f>COUNTIF(BS65:BS98,"1")</f>
        <v>0</v>
      </c>
      <c r="BT63" s="12">
        <f>COUNTIF(BT65:BT98,"1")</f>
        <v>1</v>
      </c>
      <c r="BU63" s="12">
        <f>COUNTIF(BU65:BU98,"1")</f>
        <v>1</v>
      </c>
      <c r="BV63" s="12">
        <f>COUNTIF(BV65:BV98,"1")</f>
        <v>0</v>
      </c>
      <c r="BW63" s="12">
        <f>COUNTIF(BW65:BW98,"1")</f>
        <v>0</v>
      </c>
      <c r="BX63" s="12">
        <f>COUNTIF(BX65:BX98,"1")</f>
        <v>0</v>
      </c>
      <c r="BY63" s="12">
        <f>COUNTIF(BY65:BY98,"1")</f>
        <v>0</v>
      </c>
      <c r="BZ63" s="12">
        <f>COUNTIF(BZ65:BZ98,"1")</f>
        <v>0</v>
      </c>
      <c r="CA63" s="12">
        <f>COUNTIF(CA65:CA98,"1")</f>
        <v>1</v>
      </c>
      <c r="CB63" s="12">
        <f>COUNTIF(CB65:CB98,"1")</f>
        <v>1</v>
      </c>
      <c r="CC63" s="12">
        <f>COUNTIF(CC65:CC98,"1")</f>
        <v>0</v>
      </c>
      <c r="CD63" s="12">
        <f>COUNTIF(CD65:CD98,"1")</f>
        <v>0</v>
      </c>
      <c r="CE63" s="12">
        <f>COUNTIF(CE65:CE98,"1")</f>
        <v>0</v>
      </c>
      <c r="CF63" s="12">
        <f>COUNTIF(CF65:CF98,"1")</f>
        <v>0</v>
      </c>
      <c r="CG63" s="12">
        <f>COUNTIF(CG65:CG98,"1")</f>
        <v>0</v>
      </c>
      <c r="CH63" s="12">
        <f>COUNTIF(CH65:CH98,"1")</f>
        <v>0</v>
      </c>
      <c r="CI63" s="12">
        <f>COUNTIF(CI65:CI98,"1")</f>
        <v>0</v>
      </c>
      <c r="CJ63" s="12">
        <f>COUNTIF(CJ65:CJ98,"1")</f>
        <v>0</v>
      </c>
      <c r="CK63" s="12">
        <f>COUNTIF(CK65:CK98,"1")</f>
        <v>0</v>
      </c>
      <c r="CL63" s="12">
        <f>COUNTIF(CL65:CL98,"1")</f>
        <v>0</v>
      </c>
      <c r="CM63" s="12">
        <f>COUNTIF(CM65:CM98,"1")</f>
        <v>0</v>
      </c>
      <c r="CN63" s="12">
        <f>COUNTIF(CN65:CN98,"1")</f>
        <v>0</v>
      </c>
      <c r="CO63" s="12">
        <f>COUNTIF(CO65:CO98,"1")</f>
        <v>0</v>
      </c>
      <c r="CP63" s="12">
        <f>COUNTIF(CP65:CP98,"1")</f>
        <v>0</v>
      </c>
      <c r="CQ63" s="12">
        <f>COUNTIF(CQ65:CQ98,"1")</f>
        <v>0</v>
      </c>
      <c r="CR63" s="12">
        <f>COUNTIF(CR65:CR98,"1")</f>
        <v>0</v>
      </c>
      <c r="CS63" s="12">
        <f>COUNTIF(CS65:CS98,"1")</f>
        <v>0</v>
      </c>
      <c r="CT63" s="12">
        <f>COUNTIF(CT65:CT98,"1")</f>
        <v>0</v>
      </c>
      <c r="CU63" s="12">
        <f>COUNTIF(CU65:CU98,"1")</f>
        <v>0</v>
      </c>
      <c r="CV63" s="12">
        <f>COUNTIF(CV65:CV98,"1")</f>
        <v>0</v>
      </c>
      <c r="CW63" s="12">
        <f>COUNTIF(CW65:CW98,"1")</f>
        <v>0</v>
      </c>
      <c r="CX63" s="12">
        <f>COUNTIF(CX65:CX98,"1")</f>
        <v>0</v>
      </c>
      <c r="CY63" s="12">
        <f>COUNTIF(CY65:CY98,"1")</f>
        <v>0</v>
      </c>
      <c r="CZ63" s="12">
        <f>COUNTIF(CZ65:CZ98,"1")</f>
        <v>0</v>
      </c>
      <c r="DA63" s="12">
        <f>COUNTIF(DA65:DA98,"1")</f>
        <v>0</v>
      </c>
      <c r="DB63" s="12">
        <f>COUNTIF(DB65:DB98,"1")</f>
        <v>0</v>
      </c>
      <c r="DC63" s="12">
        <f>COUNTIF(DC65:DC98,"1")</f>
        <v>0</v>
      </c>
      <c r="DD63" s="12">
        <f>COUNTIF(DD65:DD98,"1")</f>
        <v>0</v>
      </c>
      <c r="DE63" s="12">
        <f>COUNTIF(DE65:DE98,"1")</f>
        <v>0</v>
      </c>
      <c r="DF63" s="12">
        <f>COUNTIF(DF65:DF98,"1")</f>
        <v>0</v>
      </c>
      <c r="DG63" s="12">
        <f>COUNTIF(DG65:DG98,"1")</f>
        <v>0</v>
      </c>
      <c r="DH63" s="12">
        <f>COUNTIF(DH65:DH98,"1")</f>
        <v>0</v>
      </c>
      <c r="DI63" s="12">
        <f>COUNTIF(DI65:DI98,"1")</f>
        <v>0</v>
      </c>
      <c r="DJ63" s="12">
        <f>COUNTIF(DJ65:DJ98,"1")</f>
        <v>0</v>
      </c>
      <c r="DK63" s="12">
        <f>COUNTIF(DK65:DK98,"1")</f>
        <v>0</v>
      </c>
      <c r="DL63" s="12">
        <f>COUNTIF(DL65:DL98,"1")</f>
        <v>0</v>
      </c>
      <c r="DM63" s="12">
        <f>COUNTIF(DM65:DM98,"1")</f>
        <v>0</v>
      </c>
      <c r="DN63" s="12">
        <f>COUNTIF(DN65:DN98,"1")</f>
        <v>0</v>
      </c>
      <c r="DO63" s="12">
        <f>COUNTIF(DO65:DO98,"1")</f>
        <v>0</v>
      </c>
      <c r="DP63" s="12">
        <f>COUNTIF(DP65:DP98,"1")</f>
        <v>0</v>
      </c>
      <c r="DQ63" s="12">
        <f>COUNTIF(DQ65:DQ98,"1")</f>
        <v>0</v>
      </c>
      <c r="DR63" s="12">
        <f>COUNTIF(DR65:DR98,"1")</f>
        <v>0</v>
      </c>
      <c r="DS63" s="12">
        <f>COUNTIF(DS65:DS98,"1")</f>
        <v>0</v>
      </c>
      <c r="DT63" s="12">
        <f>COUNTIF(DT65:DT98,"1")</f>
        <v>0</v>
      </c>
      <c r="DU63" s="12">
        <f>COUNTIF(DU65:DU98,"1")</f>
        <v>0</v>
      </c>
      <c r="DV63" s="12">
        <f>COUNTIF(DV65:DV98,"1")</f>
        <v>0</v>
      </c>
      <c r="DW63" s="12">
        <f>COUNTIF(DW65:DW98,"1")</f>
        <v>0</v>
      </c>
      <c r="DX63" s="12">
        <f>COUNTIF(DX65:DX98,"1")</f>
        <v>0</v>
      </c>
      <c r="DY63" s="12">
        <f>COUNTIF(DY65:DY98,"1")</f>
        <v>0</v>
      </c>
      <c r="DZ63" s="12">
        <f>COUNTIF(DZ65:DZ98,"1")</f>
        <v>0</v>
      </c>
      <c r="EA63" s="12">
        <f>COUNTIF(EA65:EA98,"1")</f>
        <v>0</v>
      </c>
      <c r="EB63" s="12">
        <f>COUNTIF(EB65:EB98,"1")</f>
        <v>0</v>
      </c>
      <c r="EC63" s="12">
        <f>COUNTIF(EC65:EC98,"1")</f>
        <v>0</v>
      </c>
      <c r="ED63" s="12">
        <f>COUNTIF(ED65:ED98,"1")</f>
        <v>0</v>
      </c>
      <c r="EE63" s="12">
        <f>COUNTIF(EE65:EE98,"1")</f>
        <v>0</v>
      </c>
      <c r="EF63" s="12">
        <f>COUNTIF(EF65:EF98,"1")</f>
        <v>0</v>
      </c>
      <c r="EG63" s="12">
        <f>COUNTIF(EG65:EG98,"1")</f>
        <v>0</v>
      </c>
      <c r="EH63" s="12">
        <f>COUNTIF(EH65:EH98,"1")</f>
        <v>0</v>
      </c>
      <c r="EI63" s="12">
        <f>COUNTIF(EI65:EI98,"1")</f>
        <v>0</v>
      </c>
      <c r="EJ63" s="12">
        <f>COUNTIF(EJ65:EJ98,"1")</f>
        <v>0</v>
      </c>
      <c r="EK63" s="12">
        <f>COUNTIF(EK65:EK98,"1")</f>
        <v>0</v>
      </c>
      <c r="EL63" s="12">
        <f>COUNTIF(EL65:EL98,"1")</f>
        <v>0</v>
      </c>
      <c r="EM63" s="12">
        <f>COUNTIF(EM65:EM98,"1")</f>
        <v>0</v>
      </c>
      <c r="EN63" s="12">
        <f>COUNTIF(EN65:EN98,"1")</f>
        <v>0</v>
      </c>
      <c r="EO63" s="12">
        <f>COUNTIF(EO65:EO98,"1")</f>
        <v>0</v>
      </c>
      <c r="EP63" s="12">
        <f>COUNTIF(EP65:EP98,"1")</f>
        <v>0</v>
      </c>
      <c r="EQ63" s="12">
        <f>COUNTIF(EQ65:EQ98,"1")</f>
        <v>0</v>
      </c>
      <c r="ER63" s="12">
        <f>COUNTIF(ER65:ER98,"1")</f>
        <v>0</v>
      </c>
      <c r="ES63" s="12">
        <f>COUNTIF(ES65:ES98,"1")</f>
        <v>0</v>
      </c>
      <c r="ET63" s="12">
        <f>COUNTIF(ET65:ET98,"1")</f>
        <v>0</v>
      </c>
      <c r="EU63" s="12">
        <f>COUNTIF(EU65:EU98,"1")</f>
        <v>0</v>
      </c>
      <c r="EV63" s="12">
        <f>COUNTIF(EV65:EV98,"1")</f>
        <v>0</v>
      </c>
      <c r="EW63" s="12">
        <f>COUNTIF(EW65:EW98,"1")</f>
        <v>0</v>
      </c>
      <c r="EX63" s="12">
        <f>COUNTIF(EX65:EX98,"1")</f>
        <v>0</v>
      </c>
      <c r="EY63" s="12">
        <f>COUNTIF(EY65:EY98,"1")</f>
        <v>0</v>
      </c>
      <c r="EZ63" s="12">
        <f>COUNTIF(EZ65:EZ98,"1")</f>
        <v>0</v>
      </c>
      <c r="FA63" s="12">
        <f>COUNTIF(FA65:FA98,"1")</f>
        <v>0</v>
      </c>
      <c r="FB63" s="12">
        <f>COUNTIF(FB65:FB98,"1")</f>
        <v>0</v>
      </c>
      <c r="FC63" s="12">
        <f>COUNTIF(FC65:FC98,"1")</f>
        <v>0</v>
      </c>
      <c r="FD63" s="12">
        <f>COUNTIF(FD65:FD98,"1")</f>
        <v>0</v>
      </c>
      <c r="FE63" s="12">
        <f>COUNTIF(FE65:FE98,"1")</f>
        <v>0</v>
      </c>
      <c r="FF63" s="12">
        <f>COUNTIF(FF65:FF98,"1")</f>
        <v>0</v>
      </c>
      <c r="FG63" s="12">
        <f>COUNTIF(FG65:FG98,"1")</f>
        <v>0</v>
      </c>
      <c r="FH63" s="12">
        <f>COUNTIF(FH65:FH98,"1")</f>
        <v>0</v>
      </c>
      <c r="FI63" s="12">
        <f>COUNTIF(FI65:FI98,"1")</f>
        <v>0</v>
      </c>
      <c r="FJ63" s="12">
        <f>COUNTIF(FJ65:FJ98,"1")</f>
        <v>0</v>
      </c>
      <c r="FK63" s="12">
        <f>COUNTIF(FK65:FK98,"1")</f>
        <v>0</v>
      </c>
      <c r="FL63" s="12">
        <f>COUNTIF(FL65:FL98,"1")</f>
        <v>0</v>
      </c>
      <c r="FM63" s="12">
        <f>COUNTIF(FM65:FM98,"1")</f>
        <v>0</v>
      </c>
      <c r="FN63" s="12">
        <f>COUNTIF(FN65:FN98,"1")</f>
        <v>0</v>
      </c>
      <c r="FO63" s="12">
        <f>COUNTIF(FO65:FO98,"1")</f>
        <v>0</v>
      </c>
      <c r="FP63" s="12">
        <f>COUNTIF(FP65:FP98,"1")</f>
        <v>0</v>
      </c>
      <c r="FQ63" s="12">
        <f>COUNTIF(FQ65:FQ98,"1")</f>
        <v>0</v>
      </c>
      <c r="FR63" s="12">
        <f>COUNTIF(FR65:FR98,"1")</f>
        <v>0</v>
      </c>
      <c r="FS63" s="12">
        <f>COUNTIF(FS65:FS98,"1")</f>
        <v>0</v>
      </c>
      <c r="FT63" s="12">
        <f>COUNTIF(FT65:FT98,"1")</f>
        <v>0</v>
      </c>
      <c r="FU63" s="12">
        <f>COUNTIF(FU65:FU98,"1")</f>
        <v>0</v>
      </c>
      <c r="FV63" s="12">
        <f>COUNTIF(FV65:FV98,"1")</f>
        <v>0</v>
      </c>
      <c r="FW63" s="12">
        <f>COUNTIF(FW65:FW98,"1")</f>
        <v>0</v>
      </c>
      <c r="FX63" s="12">
        <f>COUNTIF(FX65:FX98,"1")</f>
        <v>0</v>
      </c>
      <c r="FY63" s="12">
        <f>COUNTIF(FY65:FY98,"1")</f>
        <v>0</v>
      </c>
      <c r="FZ63" s="12">
        <f>COUNTIF(FZ65:FZ98,"1")</f>
        <v>0</v>
      </c>
      <c r="GA63" s="12">
        <f>COUNTIF(GA65:GA98,"1")</f>
        <v>0</v>
      </c>
      <c r="GB63" s="12">
        <f>COUNTIF(GB65:GB98,"1")</f>
        <v>0</v>
      </c>
      <c r="GC63" s="12">
        <f>COUNTIF(GC65:GC98,"1")</f>
        <v>0</v>
      </c>
      <c r="GD63" s="12">
        <f>COUNTIF(GD65:GD98,"1")</f>
        <v>0</v>
      </c>
      <c r="GE63" s="12">
        <f>COUNTIF(GE65:GE98,"1")</f>
        <v>0</v>
      </c>
      <c r="GF63" s="12">
        <f>COUNTIF(GF65:GF98,"1")</f>
        <v>0</v>
      </c>
      <c r="GG63" s="12">
        <f>COUNTIF(GG65:GG98,"1")</f>
        <v>0</v>
      </c>
      <c r="GH63" s="12">
        <f>COUNTIF(GH65:GH98,"1")</f>
        <v>0</v>
      </c>
      <c r="GI63" s="12">
        <f>COUNTIF(GI65:GI98,"1")</f>
        <v>0</v>
      </c>
      <c r="GJ63" s="12">
        <f>COUNTIF(GJ65:GJ98,"1")</f>
        <v>0</v>
      </c>
      <c r="GK63" s="12">
        <f>COUNTIF(GK65:GK98,"1")</f>
        <v>0</v>
      </c>
      <c r="GL63" s="12">
        <f>COUNTIF(GL65:GL98,"1")</f>
        <v>0</v>
      </c>
      <c r="GM63" s="12">
        <f>COUNTIF(GM65:GM98,"1")</f>
        <v>0</v>
      </c>
      <c r="GN63" s="12">
        <f>COUNTIF(GN65:GN98,"1")</f>
        <v>0</v>
      </c>
      <c r="GO63" s="12">
        <f>COUNTIF(GO65:GO98,"1")</f>
        <v>0</v>
      </c>
      <c r="GP63" s="12">
        <f>COUNTIF(GP65:GP98,"1")</f>
        <v>0</v>
      </c>
      <c r="GQ63" s="12">
        <f>COUNTIF(GQ65:GQ98,"1")</f>
        <v>0</v>
      </c>
      <c r="GR63" s="12">
        <f>COUNTIF(GR65:GR98,"1")</f>
        <v>0</v>
      </c>
      <c r="GS63" s="12">
        <f>COUNTIF(GS65:GS98,"1")</f>
        <v>0</v>
      </c>
      <c r="GT63" s="12">
        <f>COUNTIF(GT65:GT98,"1")</f>
        <v>0</v>
      </c>
      <c r="GU63" s="12">
        <f>COUNTIF(GU65:GU98,"1")</f>
        <v>0</v>
      </c>
      <c r="GV63" s="12">
        <f>COUNTIF(GV65:GV98,"1")</f>
        <v>0</v>
      </c>
      <c r="GW63" s="12">
        <f>COUNTIF(GW65:GW98,"1")</f>
        <v>0</v>
      </c>
      <c r="GX63" s="12">
        <f>COUNTIF(GX65:GX98,"1")</f>
        <v>0</v>
      </c>
      <c r="GY63" s="12">
        <f>COUNTIF(GY65:GY98,"1")</f>
        <v>0</v>
      </c>
      <c r="GZ63" s="12">
        <f>COUNTIF(GZ65:GZ98,"1")</f>
        <v>0</v>
      </c>
      <c r="HA63" s="12">
        <f>COUNTIF(HA65:HA98,"1")</f>
        <v>0</v>
      </c>
      <c r="HB63" s="12">
        <f>COUNTIF(HB65:HB98,"1")</f>
        <v>0</v>
      </c>
      <c r="HC63" s="12">
        <f>COUNTIF(HC65:HC98,"1")</f>
        <v>0</v>
      </c>
      <c r="HD63" s="12">
        <f>COUNTIF(HD65:HD98,"1")</f>
        <v>0</v>
      </c>
      <c r="HE63" s="12">
        <f>COUNTIF(HE65:HE98,"1")</f>
        <v>0</v>
      </c>
      <c r="HF63" s="12">
        <f>COUNTIF(HF65:HF98,"1")</f>
        <v>0</v>
      </c>
      <c r="HG63" s="12">
        <f>COUNTIF(HG65:HG98,"1")</f>
        <v>0</v>
      </c>
      <c r="HH63" s="12">
        <f>COUNTIF(HH65:HH98,"1")</f>
        <v>0</v>
      </c>
      <c r="HI63" s="12">
        <f>COUNTIF(HI65:HI98,"1")</f>
        <v>0</v>
      </c>
      <c r="HJ63" s="12">
        <f>COUNTIF(HJ65:HJ98,"1")</f>
        <v>0</v>
      </c>
      <c r="HK63" s="12">
        <f>COUNTIF(HK65:HK98,"1")</f>
        <v>0</v>
      </c>
      <c r="HL63" s="12">
        <f>COUNTIF(HL65:HL98,"1")</f>
        <v>0</v>
      </c>
      <c r="HM63" s="12">
        <f>COUNTIF(HM65:HM98,"1")</f>
        <v>0</v>
      </c>
      <c r="HN63" s="12">
        <f>COUNTIF(HN65:HN98,"1")</f>
        <v>0</v>
      </c>
      <c r="HO63" s="12">
        <f>COUNTIF(HO65:HO98,"1")</f>
        <v>0</v>
      </c>
      <c r="HP63" s="12">
        <f>COUNTIF(HP65:HP98,"1")</f>
        <v>0</v>
      </c>
      <c r="HQ63" s="12">
        <f>COUNTIF(HQ65:HQ98,"1")</f>
        <v>0</v>
      </c>
      <c r="HR63" s="12">
        <f>COUNTIF(HR65:HR98,"1")</f>
        <v>0</v>
      </c>
      <c r="HS63" s="12">
        <f>COUNTIF(HS65:HS98,"1")</f>
        <v>0</v>
      </c>
      <c r="HT63" s="12">
        <f>COUNTIF(HT65:HT98,"1")</f>
        <v>0</v>
      </c>
      <c r="HU63" s="12">
        <f>COUNTIF(HU65:HU98,"1")</f>
        <v>0</v>
      </c>
      <c r="HV63" s="12">
        <f>COUNTIF(HV65:HV98,"1")</f>
        <v>0</v>
      </c>
      <c r="HW63" s="12">
        <f>COUNTIF(HW65:HW98,"1")</f>
        <v>0</v>
      </c>
      <c r="HX63" s="12">
        <f>COUNTIF(HX65:HX98,"1")</f>
        <v>0</v>
      </c>
      <c r="HY63" s="12">
        <f>COUNTIF(HY65:HY98,"1")</f>
        <v>0</v>
      </c>
      <c r="HZ63" s="12">
        <f>COUNTIF(HZ65:HZ98,"1")</f>
        <v>0</v>
      </c>
      <c r="IA63" s="12">
        <f>COUNTIF(IA65:IA98,"1")</f>
        <v>0</v>
      </c>
      <c r="IB63" s="12">
        <f>COUNTIF(IB65:IB98,"1")</f>
        <v>0</v>
      </c>
      <c r="IC63" s="12">
        <f>COUNTIF(IC65:IC98,"1")</f>
        <v>0</v>
      </c>
      <c r="ID63" s="12">
        <f>COUNTIF(ID65:ID98,"1")</f>
        <v>0</v>
      </c>
      <c r="IE63" s="12">
        <f>COUNTIF(IE65:IE98,"1")</f>
        <v>0</v>
      </c>
      <c r="IF63" s="12">
        <f>COUNTIF(IF65:IF98,"1")</f>
        <v>0</v>
      </c>
      <c r="IG63" s="12">
        <f>COUNTIF(IG65:IG98,"1")</f>
        <v>0</v>
      </c>
      <c r="IH63" s="12">
        <f>COUNTIF(IH65:IH98,"1")</f>
        <v>0</v>
      </c>
      <c r="II63" s="12">
        <f>COUNTIF(II65:II98,"1")</f>
        <v>0</v>
      </c>
      <c r="IJ63" s="12">
        <f>COUNTIF(IJ65:IJ98,"1")</f>
        <v>0</v>
      </c>
      <c r="IK63" s="12">
        <f>COUNTIF(IK65:IK98,"1")</f>
        <v>0</v>
      </c>
      <c r="IL63" s="12">
        <f>COUNTIF(IL65:IL98,"1")</f>
        <v>0</v>
      </c>
      <c r="IM63" s="12">
        <f>COUNTIF(IM65:IM98,"1")</f>
        <v>0</v>
      </c>
      <c r="IN63" s="12">
        <f>COUNTIF(IN65:IN98,"1")</f>
        <v>0</v>
      </c>
      <c r="IO63" s="12">
        <f>COUNTIF(IO65:IO98,"1")</f>
        <v>0</v>
      </c>
      <c r="IP63" s="12">
        <f>COUNTIF(IP65:IP98,"1")</f>
        <v>0</v>
      </c>
      <c r="IQ63" s="12">
        <f>COUNTIF(IQ65:IQ98,"1")</f>
        <v>0</v>
      </c>
      <c r="IR63" s="12">
        <f>COUNTIF(IR65:IR98,"1")</f>
        <v>0</v>
      </c>
      <c r="IS63" s="12">
        <f>COUNTIF(IS65:IS98,"1")</f>
        <v>0</v>
      </c>
      <c r="IT63" s="12">
        <f>COUNTIF(IT65:IT98,"1")</f>
        <v>0</v>
      </c>
      <c r="IU63" s="12">
        <f>COUNTIF(IU65:IU98,"1")</f>
        <v>0</v>
      </c>
      <c r="IV63" s="12">
        <f>COUNTIF(IV65:IV98,"1")</f>
        <v>0</v>
      </c>
      <c r="IW63" s="12">
        <f>COUNTIF(IW65:IW98,"1")</f>
        <v>0</v>
      </c>
      <c r="IX63" s="12">
        <f>COUNTIF(IX65:IX98,"1")</f>
        <v>0</v>
      </c>
      <c r="IY63" s="12">
        <f>COUNTIF(IY65:IY98,"1")</f>
        <v>0</v>
      </c>
      <c r="IZ63" s="12">
        <f>COUNTIF(IZ65:IZ98,"1")</f>
        <v>0</v>
      </c>
      <c r="JA63" s="12">
        <f>COUNTIF(JA65:JA98,"1")</f>
        <v>0</v>
      </c>
      <c r="JB63" s="12">
        <f>COUNTIF(JB65:JB98,"1")</f>
        <v>0</v>
      </c>
      <c r="JC63" s="12">
        <f>COUNTIF(JC65:JC98,"1")</f>
        <v>0</v>
      </c>
      <c r="JD63" s="12">
        <f>COUNTIF(JD65:JD98,"1")</f>
        <v>0</v>
      </c>
      <c r="JE63" s="12">
        <f>COUNTIF(JE65:JE98,"1")</f>
        <v>0</v>
      </c>
      <c r="JF63" s="12">
        <f>COUNTIF(JF65:JF98,"1")</f>
        <v>0</v>
      </c>
      <c r="JG63" s="12">
        <f>COUNTIF(JG65:JG98,"1")</f>
        <v>0</v>
      </c>
      <c r="JH63" s="12">
        <f>COUNTIF(JH65:JH98,"1")</f>
        <v>0</v>
      </c>
      <c r="JI63" s="12">
        <f>COUNTIF(JI65:JI98,"1")</f>
        <v>0</v>
      </c>
      <c r="JJ63" s="12">
        <f>COUNTIF(JJ65:JJ98,"1")</f>
        <v>0</v>
      </c>
      <c r="JK63" s="12">
        <f>COUNTIF(JK65:JK98,"1")</f>
        <v>0</v>
      </c>
      <c r="JL63" s="12">
        <f>COUNTIF(JL65:JL98,"1")</f>
        <v>0</v>
      </c>
      <c r="JM63" s="12">
        <f>COUNTIF(JM65:JM98,"1")</f>
        <v>0</v>
      </c>
      <c r="JN63" s="12">
        <f>COUNTIF(JN65:JN98,"1")</f>
        <v>0</v>
      </c>
      <c r="JO63" s="12">
        <f>COUNTIF(JO65:JO98,"1")</f>
        <v>0</v>
      </c>
      <c r="JP63" s="12">
        <f>COUNTIF(JP65:JP98,"1")</f>
        <v>0</v>
      </c>
      <c r="JQ63" s="12">
        <f>COUNTIF(JQ65:JQ98,"1")</f>
        <v>0</v>
      </c>
      <c r="JR63" s="12">
        <f>COUNTIF(JR65:JR98,"1")</f>
        <v>0</v>
      </c>
      <c r="JS63" s="12">
        <f>COUNTIF(JS65:JS98,"1")</f>
        <v>0</v>
      </c>
      <c r="JT63" s="12">
        <f>COUNTIF(JT65:JT98,"1")</f>
        <v>0</v>
      </c>
      <c r="JU63" s="12">
        <f>COUNTIF(JU65:JU98,"1")</f>
        <v>0</v>
      </c>
      <c r="JV63" s="12">
        <f>COUNTIF(JV65:JV98,"1")</f>
        <v>0</v>
      </c>
      <c r="JW63" s="12">
        <f>COUNTIF(JW65:JW98,"1")</f>
        <v>0</v>
      </c>
      <c r="JX63" s="12">
        <f>COUNTIF(JX65:JX98,"1")</f>
        <v>0</v>
      </c>
      <c r="JY63" s="12">
        <f>COUNTIF(JY65:JY98,"1")</f>
        <v>0</v>
      </c>
      <c r="JZ63" s="12">
        <f>COUNTIF(JZ65:JZ98,"1")</f>
        <v>0</v>
      </c>
      <c r="KA63" s="12">
        <f>COUNTIF(KA65:KA98,"1")</f>
        <v>0</v>
      </c>
      <c r="KB63" s="12">
        <f>COUNTIF(KB65:KB98,"1")</f>
        <v>0</v>
      </c>
      <c r="KC63" s="12">
        <f>COUNTIF(KC65:KC98,"1")</f>
        <v>0</v>
      </c>
      <c r="KD63" s="12">
        <f>COUNTIF(KD65:KD98,"1")</f>
        <v>0</v>
      </c>
      <c r="KE63" s="12">
        <f>COUNTIF(KE65:KE98,"1")</f>
        <v>0</v>
      </c>
      <c r="KF63" s="12">
        <f>COUNTIF(KF65:KF98,"1")</f>
        <v>0</v>
      </c>
      <c r="KG63" s="12">
        <f>COUNTIF(KG65:KG98,"1")</f>
        <v>0</v>
      </c>
      <c r="KH63" s="12">
        <f>COUNTIF(KH65:KH98,"1")</f>
        <v>0</v>
      </c>
      <c r="KI63" s="12">
        <f>COUNTIF(KI65:KI98,"1")</f>
        <v>0</v>
      </c>
      <c r="KJ63" s="12">
        <f>COUNTIF(KJ65:KJ98,"1")</f>
        <v>0</v>
      </c>
      <c r="KK63" s="12">
        <f>COUNTIF(KK65:KK98,"1")</f>
        <v>0</v>
      </c>
      <c r="KL63" s="12">
        <f>COUNTIF(KL65:KL98,"1")</f>
        <v>0</v>
      </c>
      <c r="KM63" s="12">
        <f>COUNTIF(KM65:KM98,"1")</f>
        <v>0</v>
      </c>
      <c r="KN63" s="12">
        <f>COUNTIF(KN65:KN98,"1")</f>
        <v>0</v>
      </c>
      <c r="KO63" s="12">
        <f>COUNTIF(KO65:KO98,"1")</f>
        <v>0</v>
      </c>
      <c r="KP63" s="12">
        <f>COUNTIF(KP65:KP98,"1")</f>
        <v>0</v>
      </c>
      <c r="KQ63" s="12">
        <f>COUNTIF(KQ65:KQ98,"1")</f>
        <v>0</v>
      </c>
      <c r="KR63" s="12">
        <f>COUNTIF(KR65:KR98,"1")</f>
        <v>0</v>
      </c>
      <c r="KS63" s="12">
        <f>COUNTIF(KS65:KS98,"1")</f>
        <v>0</v>
      </c>
      <c r="KT63" s="12">
        <f>COUNTIF(KT65:KT98,"1")</f>
        <v>0</v>
      </c>
      <c r="KU63" s="12">
        <f>COUNTIF(KU65:KU98,"1")</f>
        <v>0</v>
      </c>
      <c r="KV63" s="12">
        <f>COUNTIF(KV65:KV98,"1")</f>
        <v>0</v>
      </c>
      <c r="KW63" s="12">
        <f>COUNTIF(KW65:KW98,"1")</f>
        <v>0</v>
      </c>
      <c r="KX63" s="12">
        <f>COUNTIF(KX65:KX98,"1")</f>
        <v>0</v>
      </c>
      <c r="KY63" s="12">
        <f>COUNTIF(KY65:KY98,"1")</f>
        <v>0</v>
      </c>
      <c r="KZ63" s="12">
        <f>COUNTIF(KZ65:KZ98,"1")</f>
        <v>0</v>
      </c>
      <c r="LA63" s="12">
        <f>COUNTIF(LA65:LA98,"1")</f>
        <v>0</v>
      </c>
      <c r="LB63" s="12">
        <f>COUNTIF(LB65:LB98,"1")</f>
        <v>0</v>
      </c>
      <c r="LC63" s="12">
        <f>COUNTIF(LC65:LC98,"1")</f>
        <v>0</v>
      </c>
      <c r="LD63" s="12">
        <f>COUNTIF(LD65:LD98,"1")</f>
        <v>0</v>
      </c>
      <c r="LE63" s="12">
        <f>COUNTIF(LE65:LE98,"1")</f>
        <v>0</v>
      </c>
      <c r="LF63" s="12">
        <f>COUNTIF(LF65:LF98,"1")</f>
        <v>0</v>
      </c>
      <c r="LG63" s="12">
        <f>COUNTIF(LG65:LG98,"1")</f>
        <v>0</v>
      </c>
      <c r="LH63" s="12">
        <f>COUNTIF(LH65:LH98,"1")</f>
        <v>0</v>
      </c>
      <c r="LI63" s="12">
        <f>COUNTIF(LI65:LI98,"1")</f>
        <v>0</v>
      </c>
      <c r="LJ63" s="12">
        <f>COUNTIF(LJ65:LJ98,"1")</f>
        <v>0</v>
      </c>
      <c r="LK63" s="12">
        <f>COUNTIF(LK65:LK98,"1")</f>
        <v>0</v>
      </c>
      <c r="LL63" s="12">
        <f>COUNTIF(LL65:LL98,"1")</f>
        <v>0</v>
      </c>
      <c r="LM63" s="12">
        <f>COUNTIF(LM65:LM98,"1")</f>
        <v>0</v>
      </c>
      <c r="LN63" s="12">
        <f>COUNTIF(LN65:LN98,"1")</f>
        <v>0</v>
      </c>
      <c r="LO63" s="12">
        <f>COUNTIF(LO65:LO98,"1")</f>
        <v>0</v>
      </c>
      <c r="LP63" s="12">
        <f>COUNTIF(LP65:LP98,"1")</f>
        <v>0</v>
      </c>
      <c r="LQ63" s="12">
        <f>COUNTIF(LQ65:LQ98,"1")</f>
        <v>0</v>
      </c>
      <c r="LR63" s="12">
        <f>COUNTIF(LR65:LR98,"1")</f>
        <v>0</v>
      </c>
      <c r="LS63" s="12">
        <f>COUNTIF(LS65:LS98,"1")</f>
        <v>0</v>
      </c>
      <c r="LT63" s="12">
        <f>COUNTIF(LT65:LT98,"1")</f>
        <v>0</v>
      </c>
      <c r="LU63" s="12">
        <f>COUNTIF(LU65:LU98,"1")</f>
        <v>0</v>
      </c>
      <c r="LV63" s="12">
        <f>COUNTIF(LV65:LV98,"1")</f>
        <v>0</v>
      </c>
      <c r="LW63" s="12">
        <f>COUNTIF(LW65:LW98,"1")</f>
        <v>0</v>
      </c>
      <c r="LX63" s="12">
        <f>COUNTIF(LX65:LX98,"1")</f>
        <v>0</v>
      </c>
      <c r="LY63" s="12">
        <f>COUNTIF(LY65:LY98,"1")</f>
        <v>0</v>
      </c>
      <c r="LZ63" s="12">
        <f>COUNTIF(LZ65:LZ98,"1")</f>
        <v>0</v>
      </c>
      <c r="MA63" s="12">
        <f>COUNTIF(MA65:MA98,"1")</f>
        <v>0</v>
      </c>
      <c r="MB63" s="12">
        <f>COUNTIF(MB65:MB98,"1")</f>
        <v>0</v>
      </c>
      <c r="MC63" s="12">
        <f>COUNTIF(MC65:MC98,"1")</f>
        <v>0</v>
      </c>
      <c r="MD63" s="12">
        <f>COUNTIF(MD65:MD98,"1")</f>
        <v>0</v>
      </c>
      <c r="ME63" s="12">
        <f>COUNTIF(ME65:ME98,"1")</f>
        <v>0</v>
      </c>
      <c r="MF63" s="12">
        <f>COUNTIF(MF65:MF98,"1")</f>
        <v>0</v>
      </c>
      <c r="MG63" s="12">
        <f>COUNTIF(MG65:MG98,"1")</f>
        <v>0</v>
      </c>
      <c r="MH63" s="12">
        <f>COUNTIF(MH65:MH98,"1")</f>
        <v>0</v>
      </c>
      <c r="MI63" s="12">
        <f>COUNTIF(MI65:MI98,"1")</f>
        <v>0</v>
      </c>
      <c r="MJ63" s="12">
        <f>COUNTIF(MJ65:MJ98,"1")</f>
        <v>0</v>
      </c>
      <c r="MK63" s="12">
        <f>COUNTIF(MK65:MK98,"1")</f>
        <v>0</v>
      </c>
      <c r="ML63" s="12">
        <f>COUNTIF(ML65:ML98,"1")</f>
        <v>0</v>
      </c>
      <c r="MM63" s="12">
        <f>COUNTIF(MM65:MM98,"1")</f>
        <v>0</v>
      </c>
      <c r="MN63" s="12">
        <f>COUNTIF(MN65:MN98,"1")</f>
        <v>0</v>
      </c>
      <c r="MO63" s="12">
        <f>COUNTIF(MO65:MO98,"1")</f>
        <v>0</v>
      </c>
      <c r="MP63" s="12">
        <f>COUNTIF(MP65:MP98,"1")</f>
        <v>0</v>
      </c>
      <c r="MQ63" s="12">
        <f>COUNTIF(MQ65:MQ98,"1")</f>
        <v>0</v>
      </c>
      <c r="MR63" s="12">
        <f>COUNTIF(MR65:MR98,"1")</f>
        <v>0</v>
      </c>
      <c r="MS63" s="12">
        <f>COUNTIF(MS65:MS98,"1")</f>
        <v>0</v>
      </c>
      <c r="MT63" s="12">
        <f>COUNTIF(MT65:MT98,"1")</f>
        <v>0</v>
      </c>
      <c r="MU63" s="12">
        <f>COUNTIF(MU65:MU98,"1")</f>
        <v>0</v>
      </c>
      <c r="MV63" s="12">
        <f>COUNTIF(MV65:MV98,"1")</f>
        <v>0</v>
      </c>
      <c r="MW63" s="12">
        <f>COUNTIF(MW65:MW98,"1")</f>
        <v>0</v>
      </c>
      <c r="MX63" s="12">
        <f>COUNTIF(MX65:MX98,"1")</f>
        <v>0</v>
      </c>
      <c r="MY63" s="12">
        <f>COUNTIF(MY65:MY98,"1")</f>
        <v>0</v>
      </c>
      <c r="MZ63" s="12">
        <f>COUNTIF(MZ65:MZ98,"1")</f>
        <v>0</v>
      </c>
      <c r="NA63" s="12">
        <f>COUNTIF(NA65:NA98,"1")</f>
        <v>0</v>
      </c>
      <c r="NB63" s="12">
        <f>COUNTIF(NB65:NB98,"1")</f>
        <v>0</v>
      </c>
      <c r="NC63" s="12">
        <f>COUNTIF(NC65:NC98,"1")</f>
        <v>0</v>
      </c>
      <c r="ND63" s="12">
        <f>COUNTIF(ND65:ND98,"1")</f>
        <v>0</v>
      </c>
      <c r="NE63" s="12">
        <f>COUNTIF(NE65:NE98,"1")</f>
        <v>0</v>
      </c>
      <c r="NF63" s="12">
        <f>COUNTIF(NF65:NF98,"1")</f>
        <v>0</v>
      </c>
      <c r="NG63" s="12">
        <f>COUNTIF(NG65:NG98,"1")</f>
        <v>0</v>
      </c>
      <c r="NH63" s="12">
        <f>COUNTIF(NH65:NH98,"1")</f>
        <v>0</v>
      </c>
      <c r="NI63" s="12">
        <f>COUNTIF(NI65:NI98,"1")</f>
        <v>0</v>
      </c>
      <c r="NJ63" s="12">
        <f>COUNTIF(NJ65:NJ98,"1")</f>
        <v>0</v>
      </c>
      <c r="NK63" s="12">
        <f>COUNTIF(NK65:NK98,"1")</f>
        <v>0</v>
      </c>
      <c r="NL63" s="12">
        <f>COUNTIF(NL65:NL98,"1")</f>
        <v>0</v>
      </c>
      <c r="NM63" s="12">
        <f>COUNTIF(NM65:NM98,"1")</f>
        <v>0</v>
      </c>
      <c r="NN63" s="12">
        <f>COUNTIF(NN65:NN98,"1")</f>
        <v>0</v>
      </c>
      <c r="NO63" s="12">
        <f>COUNTIF(NO65:NO98,"1")</f>
        <v>0</v>
      </c>
      <c r="NP63" s="12">
        <f>COUNTIF(NP65:NP98,"1")</f>
        <v>0</v>
      </c>
      <c r="NQ63" s="12">
        <f>COUNTIF(NQ65:NQ98,"1")</f>
        <v>0</v>
      </c>
      <c r="NR63" s="12">
        <f>COUNTIF(NR65:NR98,"1")</f>
        <v>0</v>
      </c>
      <c r="NS63" s="12">
        <f>COUNTIF(NS65:NS98,"1")</f>
        <v>0</v>
      </c>
      <c r="NT63" s="16">
        <f>SUM(F63:NS63)</f>
        <v>31</v>
      </c>
      <c r="NU63" s="92">
        <f>NT64/NT63</f>
        <v>0.32258064516129031</v>
      </c>
      <c r="NV63" s="22">
        <f>SUMIF(NV65:NV98,1,NW65:NW98)</f>
        <v>4</v>
      </c>
      <c r="NW63" s="22">
        <f>SUMIF(NV65:NV98,1,NW65:NW98)</f>
        <v>4</v>
      </c>
      <c r="NX63" s="16">
        <f>SUM(F63:AU63)</f>
        <v>19</v>
      </c>
      <c r="NY63" s="92">
        <f>NX64/NX63</f>
        <v>0.52631578947368418</v>
      </c>
      <c r="NZ63" s="22">
        <f>SUMIF(NZ65:NZ98,1,OA65:OA98)</f>
        <v>4</v>
      </c>
      <c r="OA63" s="22">
        <f>SUMIF(NZ65:NZ98,1,OA65:OA98)</f>
        <v>4</v>
      </c>
      <c r="OB63" s="16">
        <f>SUM(AV63:CK63)</f>
        <v>12</v>
      </c>
      <c r="OC63" s="92">
        <f>OB64/OB63</f>
        <v>0</v>
      </c>
      <c r="OD63" s="22">
        <f>SUMIF(OD65:OD98,1,OE65:OE98)</f>
        <v>0</v>
      </c>
      <c r="OE63" s="22">
        <f>SUMIF(OD65:OD98,1,OE65:OE98)</f>
        <v>0</v>
      </c>
      <c r="OF63" s="16">
        <f>SUM(CL63:EA63)</f>
        <v>0</v>
      </c>
      <c r="OG63" s="84" t="e">
        <f>OF64/OF63</f>
        <v>#DIV/0!</v>
      </c>
      <c r="OH63" s="22">
        <f>SUMIF(OH65:OH98,1,OI65:OI98)</f>
        <v>0</v>
      </c>
      <c r="OI63" s="22">
        <f>SUMIF(OH65:OH98,1,OI65:OI98)</f>
        <v>0</v>
      </c>
      <c r="OJ63" s="16">
        <f>SUM(EB63:FQ63)</f>
        <v>0</v>
      </c>
      <c r="OK63" s="84" t="e">
        <f>OJ64/OJ63</f>
        <v>#DIV/0!</v>
      </c>
      <c r="OL63" s="22">
        <f>SUMIF(OL65:OL98,1,OM65:OM98)</f>
        <v>0</v>
      </c>
      <c r="OM63" s="22">
        <f>SUMIF(OL65:OL98,1,OM65:OM98)</f>
        <v>0</v>
      </c>
      <c r="ON63" s="16">
        <f>SUM(FR63:HG63)</f>
        <v>0</v>
      </c>
      <c r="OO63" s="84" t="e">
        <f>ON64/ON63</f>
        <v>#DIV/0!</v>
      </c>
      <c r="OP63" s="22">
        <f>SUMIF(OP65:OP98,1,OQ65:OQ98)</f>
        <v>0</v>
      </c>
      <c r="OQ63" s="84" t="e">
        <f>OP64/OP63</f>
        <v>#DIV/0!</v>
      </c>
      <c r="OR63" s="16">
        <f>SUM(HH63:IW63)</f>
        <v>0</v>
      </c>
      <c r="OS63" s="84" t="e">
        <f>OR64/OR63</f>
        <v>#DIV/0!</v>
      </c>
      <c r="OT63" s="22">
        <f>SUMIF(OT65:OT98,1,OU65:OU98)</f>
        <v>0</v>
      </c>
      <c r="OU63" s="22">
        <f>SUMIF(OT65:OT98,1,OU65:OU98)</f>
        <v>0</v>
      </c>
      <c r="OV63" s="16">
        <f>SUM(IX63:KM63)</f>
        <v>0</v>
      </c>
      <c r="OW63" s="84" t="e">
        <f>OV64/OV63</f>
        <v>#DIV/0!</v>
      </c>
      <c r="OX63" s="22">
        <f>SUMIF(OX65:OX98,1,OY65:OY98)</f>
        <v>0</v>
      </c>
      <c r="OY63" s="22">
        <f>SUMIF(OX65:OX98,1,OY65:OY98)</f>
        <v>0</v>
      </c>
      <c r="OZ63" s="16">
        <f>SUM(KN63:MC63)</f>
        <v>0</v>
      </c>
      <c r="PA63" s="84" t="e">
        <f>OZ64/OZ63</f>
        <v>#DIV/0!</v>
      </c>
      <c r="PB63" s="22">
        <f>SUMIF(PB65:PB98,1,PC65:PC98)</f>
        <v>0</v>
      </c>
      <c r="PC63" s="22">
        <f>SUMIF(PB65:PB98,1,PC65:PC98)</f>
        <v>0</v>
      </c>
      <c r="PD63" s="16">
        <f>SUM(MD63:NS63)</f>
        <v>0</v>
      </c>
      <c r="PE63" s="84" t="e">
        <f>PD64/PD63</f>
        <v>#DIV/0!</v>
      </c>
    </row>
    <row r="64" spans="1:421" ht="15.75" customHeight="1" thickBot="1" x14ac:dyDescent="0.3">
      <c r="A64" s="18"/>
      <c r="B64" s="18"/>
      <c r="C64" s="95"/>
      <c r="D64" s="58"/>
      <c r="E64" s="52" t="s">
        <v>9</v>
      </c>
      <c r="F64" s="13">
        <f>COUNTIF(F74:F98,"X")</f>
        <v>0</v>
      </c>
      <c r="G64" s="13">
        <f>COUNTIF(G74:G98,"X")</f>
        <v>0</v>
      </c>
      <c r="H64" s="13">
        <f>COUNTIF(H74:H98,"X")</f>
        <v>0</v>
      </c>
      <c r="I64" s="13">
        <f>COUNTIF(I74:I98,"X")</f>
        <v>0</v>
      </c>
      <c r="J64" s="13">
        <f>COUNTIF(J74:J98,"X")</f>
        <v>0</v>
      </c>
      <c r="K64" s="13">
        <f>COUNTIF(K74:K98,"X")</f>
        <v>0</v>
      </c>
      <c r="L64" s="13">
        <f>COUNTIF(L74:L98,"X")</f>
        <v>0</v>
      </c>
      <c r="M64" s="13">
        <f>COUNTIF(M74:M98,"X")</f>
        <v>0</v>
      </c>
      <c r="N64" s="13">
        <f>COUNTIF(N74:N98,"X")</f>
        <v>0</v>
      </c>
      <c r="O64" s="13">
        <f>COUNTIF(O74:O98,"X")</f>
        <v>0</v>
      </c>
      <c r="P64" s="70">
        <f>COUNTIF(P74:P98,"X")</f>
        <v>0</v>
      </c>
      <c r="Q64" s="13">
        <f>COUNTIF(Q74:Q98,"X")</f>
        <v>0</v>
      </c>
      <c r="R64" s="13">
        <f>COUNTIF(R74:R98,"X")</f>
        <v>0</v>
      </c>
      <c r="S64" s="13">
        <f>COUNTIF(S74:S98,"X")</f>
        <v>0</v>
      </c>
      <c r="T64" s="13">
        <f>COUNTIF(T74:T98,"X")</f>
        <v>0</v>
      </c>
      <c r="U64" s="13">
        <f>COUNTIF(U74:U98,"X")</f>
        <v>0</v>
      </c>
      <c r="V64" s="13">
        <f>COUNTIF(V74:V98,"X")</f>
        <v>0</v>
      </c>
      <c r="W64" s="70">
        <f>COUNTIF(W74:W98,"X")</f>
        <v>0</v>
      </c>
      <c r="X64" s="13">
        <f>COUNTIF(X74:X98,"X")</f>
        <v>0</v>
      </c>
      <c r="Y64" s="13">
        <f>COUNTIF(Y74:Y98,"X")</f>
        <v>0</v>
      </c>
      <c r="Z64" s="13">
        <f>COUNTIF(Z74:Z98,"X")</f>
        <v>0</v>
      </c>
      <c r="AA64" s="13">
        <f>COUNTIF(AA74:AA98,"X")</f>
        <v>0</v>
      </c>
      <c r="AB64" s="13">
        <f>COUNTIF(AB74:AB98,"X")</f>
        <v>0</v>
      </c>
      <c r="AC64" s="13">
        <f>COUNTIF(AC74:AC98,"X")</f>
        <v>0</v>
      </c>
      <c r="AD64" s="13">
        <f>COUNTIF(AD74:AD98,"X")</f>
        <v>0</v>
      </c>
      <c r="AE64" s="13">
        <f>COUNTIF(AE65:AE98,"X")</f>
        <v>2</v>
      </c>
      <c r="AF64" s="13">
        <f>COUNTIF(AF65:AF98,"X")</f>
        <v>1</v>
      </c>
      <c r="AG64" s="13">
        <f>COUNTIF(AG65:AG98,"X")</f>
        <v>1</v>
      </c>
      <c r="AH64" s="13">
        <f>COUNTIF(AH65:AH98,"X")</f>
        <v>0</v>
      </c>
      <c r="AI64" s="13">
        <f>COUNTIF(AI65:AI98,"X")</f>
        <v>0</v>
      </c>
      <c r="AJ64" s="13">
        <f>COUNTIF(AJ65:AJ98,"X")</f>
        <v>0</v>
      </c>
      <c r="AK64" s="13">
        <f>COUNTIF(AK65:AK98,"X")</f>
        <v>0</v>
      </c>
      <c r="AL64" s="13">
        <f>COUNTIF(AL65:AL98,"X")</f>
        <v>0</v>
      </c>
      <c r="AM64" s="13">
        <f>COUNTIF(AM65:AM98,"X")</f>
        <v>2</v>
      </c>
      <c r="AN64" s="13">
        <f>COUNTIF(AN65:AN98,"X")</f>
        <v>0</v>
      </c>
      <c r="AO64" s="13">
        <f>COUNTIF(AO65:AO98,"X")</f>
        <v>0</v>
      </c>
      <c r="AP64" s="13">
        <f>COUNTIF(AP65:AP98,"X")</f>
        <v>0</v>
      </c>
      <c r="AQ64" s="13">
        <f>COUNTIF(AQ65:AQ98,"X")</f>
        <v>0</v>
      </c>
      <c r="AR64" s="13">
        <f>COUNTIF(AR65:AR98,"X")</f>
        <v>1</v>
      </c>
      <c r="AS64" s="13">
        <f>COUNTIF(AS65:AS98,"X")</f>
        <v>1</v>
      </c>
      <c r="AT64" s="13">
        <f>COUNTIF(AT65:AT98,"X")</f>
        <v>1</v>
      </c>
      <c r="AU64" s="13">
        <f>COUNTIF(AU65:AU98,"X")</f>
        <v>1</v>
      </c>
      <c r="AV64" s="13">
        <f>COUNTIF(AV65:AV98,"X")</f>
        <v>0</v>
      </c>
      <c r="AW64" s="13">
        <f>COUNTIF(AW65:AW98,"X")</f>
        <v>0</v>
      </c>
      <c r="AX64" s="13">
        <f>COUNTIF(AX65:AX98,"X")</f>
        <v>0</v>
      </c>
      <c r="AY64" s="13">
        <f>COUNTIF(AY65:AY98,"X")</f>
        <v>0</v>
      </c>
      <c r="AZ64" s="13">
        <f>COUNTIF(AZ65:AZ98,"X")</f>
        <v>0</v>
      </c>
      <c r="BA64" s="13">
        <f>COUNTIF(BA65:BA98,"X")</f>
        <v>0</v>
      </c>
      <c r="BB64" s="13">
        <f>COUNTIF(BB65:BB98,"X")</f>
        <v>0</v>
      </c>
      <c r="BC64" s="13">
        <f>COUNTIF(BC65:BC98,"X")</f>
        <v>0</v>
      </c>
      <c r="BD64" s="13">
        <f>COUNTIF(BD65:BD98,"X")</f>
        <v>0</v>
      </c>
      <c r="BE64" s="13">
        <f>COUNTIF(BE65:BE98,"X")</f>
        <v>0</v>
      </c>
      <c r="BF64" s="13">
        <f>COUNTIF(BF65:BF98,"X")</f>
        <v>0</v>
      </c>
      <c r="BG64" s="13">
        <f>COUNTIF(BG65:BG98,"X")</f>
        <v>0</v>
      </c>
      <c r="BH64" s="13">
        <f>COUNTIF(BH65:BH98,"X")</f>
        <v>0</v>
      </c>
      <c r="BI64" s="13">
        <f>COUNTIF(BI65:BI98,"X")</f>
        <v>0</v>
      </c>
      <c r="BJ64" s="13">
        <f>COUNTIF(BJ65:BJ98,"X")</f>
        <v>0</v>
      </c>
      <c r="BK64" s="13">
        <f>COUNTIF(BK65:BK98,"X")</f>
        <v>0</v>
      </c>
      <c r="BL64" s="13">
        <f>COUNTIF(BL65:BL98,"X")</f>
        <v>0</v>
      </c>
      <c r="BM64" s="13">
        <f>COUNTIF(BM65:BM98,"X")</f>
        <v>0</v>
      </c>
      <c r="BN64" s="13">
        <f>COUNTIF(BN65:BN98,"X")</f>
        <v>0</v>
      </c>
      <c r="BO64" s="13">
        <f>COUNTIF(BO65:BO98,"X")</f>
        <v>0</v>
      </c>
      <c r="BP64" s="13">
        <f>COUNTIF(BP65:BP98,"X")</f>
        <v>0</v>
      </c>
      <c r="BQ64" s="13">
        <f>COUNTIF(BQ65:BQ98,"X")</f>
        <v>0</v>
      </c>
      <c r="BR64" s="13">
        <f>COUNTIF(BR65:BR98,"X")</f>
        <v>0</v>
      </c>
      <c r="BS64" s="13">
        <f>COUNTIF(BS65:BS98,"X")</f>
        <v>0</v>
      </c>
      <c r="BT64" s="13">
        <f>COUNTIF(BT65:BT98,"X")</f>
        <v>0</v>
      </c>
      <c r="BU64" s="13">
        <f>COUNTIF(BU65:BU98,"X")</f>
        <v>0</v>
      </c>
      <c r="BV64" s="13">
        <f>COUNTIF(BV65:BV98,"X")</f>
        <v>0</v>
      </c>
      <c r="BW64" s="13">
        <f>COUNTIF(BW65:BW98,"X")</f>
        <v>0</v>
      </c>
      <c r="BX64" s="13">
        <f>COUNTIF(BX65:BX98,"X")</f>
        <v>0</v>
      </c>
      <c r="BY64" s="13">
        <f>COUNTIF(BY65:BY98,"X")</f>
        <v>0</v>
      </c>
      <c r="BZ64" s="13">
        <f>COUNTIF(BZ65:BZ98,"X")</f>
        <v>0</v>
      </c>
      <c r="CA64" s="13">
        <f>COUNTIF(CA65:CA98,"X")</f>
        <v>0</v>
      </c>
      <c r="CB64" s="13">
        <f>COUNTIF(CB65:CB98,"X")</f>
        <v>0</v>
      </c>
      <c r="CC64" s="13">
        <f>COUNTIF(CC65:CC98,"X")</f>
        <v>0</v>
      </c>
      <c r="CD64" s="13">
        <f>COUNTIF(CD65:CD98,"X")</f>
        <v>0</v>
      </c>
      <c r="CE64" s="13">
        <f>COUNTIF(CE65:CE98,"X")</f>
        <v>0</v>
      </c>
      <c r="CF64" s="13">
        <f>COUNTIF(CF65:CF98,"X")</f>
        <v>0</v>
      </c>
      <c r="CG64" s="13">
        <f>COUNTIF(CG65:CG98,"X")</f>
        <v>0</v>
      </c>
      <c r="CH64" s="13">
        <f>COUNTIF(CH65:CH98,"X")</f>
        <v>0</v>
      </c>
      <c r="CI64" s="13">
        <f>COUNTIF(CI65:CI98,"X")</f>
        <v>0</v>
      </c>
      <c r="CJ64" s="13">
        <f>COUNTIF(CJ65:CJ98,"X")</f>
        <v>0</v>
      </c>
      <c r="CK64" s="13">
        <f>COUNTIF(CK65:CK98,"X")</f>
        <v>0</v>
      </c>
      <c r="CL64" s="13">
        <f>COUNTIF(CL65:CL98,"X")</f>
        <v>0</v>
      </c>
      <c r="CM64" s="13">
        <f>COUNTIF(CM65:CM98,"X")</f>
        <v>0</v>
      </c>
      <c r="CN64" s="13">
        <f>COUNTIF(CN65:CN98,"X")</f>
        <v>0</v>
      </c>
      <c r="CO64" s="13">
        <f>COUNTIF(CO65:CO98,"X")</f>
        <v>0</v>
      </c>
      <c r="CP64" s="13">
        <f>COUNTIF(CP65:CP98,"X")</f>
        <v>0</v>
      </c>
      <c r="CQ64" s="13">
        <f>COUNTIF(CQ65:CQ98,"X")</f>
        <v>0</v>
      </c>
      <c r="CR64" s="13">
        <f>COUNTIF(CR65:CR98,"X")</f>
        <v>0</v>
      </c>
      <c r="CS64" s="13">
        <f>COUNTIF(CS65:CS98,"X")</f>
        <v>0</v>
      </c>
      <c r="CT64" s="13">
        <f>COUNTIF(CT65:CT98,"X")</f>
        <v>0</v>
      </c>
      <c r="CU64" s="13">
        <f>COUNTIF(CU65:CU98,"X")</f>
        <v>0</v>
      </c>
      <c r="CV64" s="13">
        <f>COUNTIF(CV65:CV98,"X")</f>
        <v>0</v>
      </c>
      <c r="CW64" s="13">
        <f>COUNTIF(CW65:CW98,"X")</f>
        <v>0</v>
      </c>
      <c r="CX64" s="13">
        <f>COUNTIF(CX65:CX98,"X")</f>
        <v>0</v>
      </c>
      <c r="CY64" s="13">
        <f>COUNTIF(CY65:CY98,"X")</f>
        <v>0</v>
      </c>
      <c r="CZ64" s="13">
        <f>COUNTIF(CZ65:CZ98,"X")</f>
        <v>0</v>
      </c>
      <c r="DA64" s="13">
        <f>COUNTIF(DA65:DA98,"X")</f>
        <v>0</v>
      </c>
      <c r="DB64" s="13">
        <f>COUNTIF(DB65:DB98,"X")</f>
        <v>0</v>
      </c>
      <c r="DC64" s="13">
        <f>COUNTIF(DC65:DC98,"X")</f>
        <v>0</v>
      </c>
      <c r="DD64" s="13">
        <f>COUNTIF(DD65:DD98,"X")</f>
        <v>0</v>
      </c>
      <c r="DE64" s="13">
        <f>COUNTIF(DE65:DE98,"X")</f>
        <v>0</v>
      </c>
      <c r="DF64" s="13">
        <f>COUNTIF(DF65:DF98,"X")</f>
        <v>0</v>
      </c>
      <c r="DG64" s="13">
        <f>COUNTIF(DG65:DG98,"X")</f>
        <v>0</v>
      </c>
      <c r="DH64" s="13">
        <f>COUNTIF(DH65:DH98,"X")</f>
        <v>0</v>
      </c>
      <c r="DI64" s="13">
        <f>COUNTIF(DI65:DI98,"X")</f>
        <v>0</v>
      </c>
      <c r="DJ64" s="13">
        <f>COUNTIF(DJ65:DJ98,"X")</f>
        <v>0</v>
      </c>
      <c r="DK64" s="13">
        <f>COUNTIF(DK65:DK98,"X")</f>
        <v>0</v>
      </c>
      <c r="DL64" s="13">
        <f>COUNTIF(DL65:DL98,"X")</f>
        <v>0</v>
      </c>
      <c r="DM64" s="13">
        <f>COUNTIF(DM65:DM98,"X")</f>
        <v>0</v>
      </c>
      <c r="DN64" s="13">
        <f>COUNTIF(DN65:DN98,"X")</f>
        <v>0</v>
      </c>
      <c r="DO64" s="13">
        <f>COUNTIF(DO65:DO98,"X")</f>
        <v>0</v>
      </c>
      <c r="DP64" s="13">
        <f>COUNTIF(DP65:DP98,"X")</f>
        <v>0</v>
      </c>
      <c r="DQ64" s="13">
        <f>COUNTIF(DQ65:DQ98,"X")</f>
        <v>0</v>
      </c>
      <c r="DR64" s="13">
        <f>COUNTIF(DR65:DR98,"X")</f>
        <v>0</v>
      </c>
      <c r="DS64" s="13">
        <f>COUNTIF(DS65:DS98,"X")</f>
        <v>0</v>
      </c>
      <c r="DT64" s="13">
        <f>COUNTIF(DT65:DT98,"X")</f>
        <v>0</v>
      </c>
      <c r="DU64" s="13">
        <f>COUNTIF(DU65:DU98,"X")</f>
        <v>0</v>
      </c>
      <c r="DV64" s="13">
        <f>COUNTIF(DV65:DV98,"X")</f>
        <v>0</v>
      </c>
      <c r="DW64" s="13">
        <f>COUNTIF(DW65:DW98,"X")</f>
        <v>0</v>
      </c>
      <c r="DX64" s="13">
        <f>COUNTIF(DX65:DX98,"X")</f>
        <v>0</v>
      </c>
      <c r="DY64" s="13">
        <f>COUNTIF(DY65:DY98,"X")</f>
        <v>0</v>
      </c>
      <c r="DZ64" s="13">
        <f>COUNTIF(DZ65:DZ98,"X")</f>
        <v>0</v>
      </c>
      <c r="EA64" s="13">
        <f>COUNTIF(EA65:EA98,"X")</f>
        <v>0</v>
      </c>
      <c r="EB64" s="13">
        <f>COUNTIF(EB65:EB98,"X")</f>
        <v>0</v>
      </c>
      <c r="EC64" s="13">
        <f>COUNTIF(EC65:EC98,"X")</f>
        <v>0</v>
      </c>
      <c r="ED64" s="13">
        <f>COUNTIF(ED65:ED98,"X")</f>
        <v>0</v>
      </c>
      <c r="EE64" s="13">
        <f>COUNTIF(EE65:EE98,"X")</f>
        <v>0</v>
      </c>
      <c r="EF64" s="13">
        <f>COUNTIF(EF65:EF98,"X")</f>
        <v>0</v>
      </c>
      <c r="EG64" s="13">
        <f>COUNTIF(EG65:EG98,"X")</f>
        <v>0</v>
      </c>
      <c r="EH64" s="13">
        <f>COUNTIF(EH65:EH98,"X")</f>
        <v>0</v>
      </c>
      <c r="EI64" s="13">
        <f>COUNTIF(EI65:EI98,"X")</f>
        <v>0</v>
      </c>
      <c r="EJ64" s="13">
        <f>COUNTIF(EJ65:EJ98,"X")</f>
        <v>0</v>
      </c>
      <c r="EK64" s="13">
        <f>COUNTIF(EK65:EK98,"X")</f>
        <v>0</v>
      </c>
      <c r="EL64" s="13">
        <f>COUNTIF(EL65:EL98,"X")</f>
        <v>0</v>
      </c>
      <c r="EM64" s="13">
        <f>COUNTIF(EM65:EM98,"X")</f>
        <v>0</v>
      </c>
      <c r="EN64" s="13">
        <f>COUNTIF(EN65:EN98,"X")</f>
        <v>0</v>
      </c>
      <c r="EO64" s="13">
        <f>COUNTIF(EO65:EO98,"X")</f>
        <v>0</v>
      </c>
      <c r="EP64" s="13">
        <f>COUNTIF(EP65:EP98,"X")</f>
        <v>0</v>
      </c>
      <c r="EQ64" s="13">
        <f>COUNTIF(EQ65:EQ98,"X")</f>
        <v>0</v>
      </c>
      <c r="ER64" s="13">
        <f>COUNTIF(ER65:ER98,"X")</f>
        <v>0</v>
      </c>
      <c r="ES64" s="13">
        <f>COUNTIF(ES65:ES98,"X")</f>
        <v>0</v>
      </c>
      <c r="ET64" s="13">
        <f>COUNTIF(ET65:ET98,"X")</f>
        <v>0</v>
      </c>
      <c r="EU64" s="13">
        <f>COUNTIF(EU65:EU98,"X")</f>
        <v>0</v>
      </c>
      <c r="EV64" s="13">
        <f>COUNTIF(EV65:EV98,"X")</f>
        <v>0</v>
      </c>
      <c r="EW64" s="13">
        <f>COUNTIF(EW65:EW98,"X")</f>
        <v>0</v>
      </c>
      <c r="EX64" s="13">
        <f>COUNTIF(EX65:EX98,"X")</f>
        <v>0</v>
      </c>
      <c r="EY64" s="13">
        <f>COUNTIF(EY65:EY98,"X")</f>
        <v>0</v>
      </c>
      <c r="EZ64" s="13">
        <f>COUNTIF(EZ65:EZ98,"X")</f>
        <v>0</v>
      </c>
      <c r="FA64" s="13">
        <f>COUNTIF(FA65:FA98,"X")</f>
        <v>0</v>
      </c>
      <c r="FB64" s="13">
        <f>COUNTIF(FB65:FB98,"X")</f>
        <v>0</v>
      </c>
      <c r="FC64" s="13">
        <f>COUNTIF(FC65:FC98,"X")</f>
        <v>0</v>
      </c>
      <c r="FD64" s="13">
        <f>COUNTIF(FD65:FD98,"X")</f>
        <v>0</v>
      </c>
      <c r="FE64" s="13">
        <f>COUNTIF(FE65:FE98,"X")</f>
        <v>0</v>
      </c>
      <c r="FF64" s="13">
        <f>COUNTIF(FF65:FF98,"X")</f>
        <v>0</v>
      </c>
      <c r="FG64" s="13">
        <f>COUNTIF(FG65:FG98,"X")</f>
        <v>0</v>
      </c>
      <c r="FH64" s="13">
        <f>COUNTIF(FH65:FH98,"X")</f>
        <v>0</v>
      </c>
      <c r="FI64" s="13">
        <f>COUNTIF(FI65:FI98,"X")</f>
        <v>0</v>
      </c>
      <c r="FJ64" s="13">
        <f>COUNTIF(FJ65:FJ98,"X")</f>
        <v>0</v>
      </c>
      <c r="FK64" s="13">
        <f>COUNTIF(FK65:FK98,"X")</f>
        <v>0</v>
      </c>
      <c r="FL64" s="13">
        <f>COUNTIF(FL65:FL98,"X")</f>
        <v>0</v>
      </c>
      <c r="FM64" s="13">
        <f>COUNTIF(FM65:FM98,"X")</f>
        <v>0</v>
      </c>
      <c r="FN64" s="13">
        <f>COUNTIF(FN65:FN98,"X")</f>
        <v>0</v>
      </c>
      <c r="FO64" s="13">
        <f>COUNTIF(FO65:FO98,"X")</f>
        <v>0</v>
      </c>
      <c r="FP64" s="13">
        <f>COUNTIF(FP65:FP98,"X")</f>
        <v>0</v>
      </c>
      <c r="FQ64" s="13">
        <f>COUNTIF(FQ65:FQ98,"X")</f>
        <v>0</v>
      </c>
      <c r="FR64" s="13">
        <f>COUNTIF(FR65:FR98,"X")</f>
        <v>0</v>
      </c>
      <c r="FS64" s="13">
        <f>COUNTIF(FS65:FS98,"X")</f>
        <v>0</v>
      </c>
      <c r="FT64" s="13">
        <f>COUNTIF(FT65:FT98,"X")</f>
        <v>0</v>
      </c>
      <c r="FU64" s="13">
        <f>COUNTIF(FU65:FU98,"X")</f>
        <v>0</v>
      </c>
      <c r="FV64" s="13">
        <f>COUNTIF(FV65:FV98,"X")</f>
        <v>0</v>
      </c>
      <c r="FW64" s="13">
        <f>COUNTIF(FW65:FW98,"X")</f>
        <v>0</v>
      </c>
      <c r="FX64" s="13">
        <f>COUNTIF(FX65:FX98,"X")</f>
        <v>0</v>
      </c>
      <c r="FY64" s="13">
        <f>COUNTIF(FY65:FY98,"X")</f>
        <v>0</v>
      </c>
      <c r="FZ64" s="13">
        <f>COUNTIF(FZ65:FZ98,"X")</f>
        <v>0</v>
      </c>
      <c r="GA64" s="13">
        <f>COUNTIF(GA65:GA98,"X")</f>
        <v>0</v>
      </c>
      <c r="GB64" s="13">
        <f>COUNTIF(GB65:GB98,"X")</f>
        <v>0</v>
      </c>
      <c r="GC64" s="13">
        <f>COUNTIF(GC65:GC98,"X")</f>
        <v>0</v>
      </c>
      <c r="GD64" s="13">
        <f>COUNTIF(GD65:GD98,"X")</f>
        <v>0</v>
      </c>
      <c r="GE64" s="13">
        <f>COUNTIF(GE65:GE98,"X")</f>
        <v>0</v>
      </c>
      <c r="GF64" s="13">
        <f>COUNTIF(GF65:GF98,"X")</f>
        <v>0</v>
      </c>
      <c r="GG64" s="13">
        <f>COUNTIF(GG65:GG98,"X")</f>
        <v>0</v>
      </c>
      <c r="GH64" s="13">
        <f>COUNTIF(GH65:GH98,"X")</f>
        <v>0</v>
      </c>
      <c r="GI64" s="13">
        <f>COUNTIF(GI65:GI98,"X")</f>
        <v>0</v>
      </c>
      <c r="GJ64" s="13">
        <f>COUNTIF(GJ65:GJ98,"X")</f>
        <v>0</v>
      </c>
      <c r="GK64" s="13">
        <f>COUNTIF(GK65:GK98,"X")</f>
        <v>0</v>
      </c>
      <c r="GL64" s="13">
        <f>COUNTIF(GL65:GL98,"X")</f>
        <v>0</v>
      </c>
      <c r="GM64" s="13">
        <f>COUNTIF(GM65:GM98,"X")</f>
        <v>0</v>
      </c>
      <c r="GN64" s="13">
        <f>COUNTIF(GN65:GN98,"X")</f>
        <v>0</v>
      </c>
      <c r="GO64" s="13">
        <f>COUNTIF(GO65:GO98,"X")</f>
        <v>0</v>
      </c>
      <c r="GP64" s="13">
        <f>COUNTIF(GP65:GP98,"X")</f>
        <v>0</v>
      </c>
      <c r="GQ64" s="13">
        <f>COUNTIF(GQ65:GQ98,"X")</f>
        <v>0</v>
      </c>
      <c r="GR64" s="13">
        <f>COUNTIF(GR65:GR98,"X")</f>
        <v>0</v>
      </c>
      <c r="GS64" s="13">
        <f>COUNTIF(GS65:GS98,"X")</f>
        <v>0</v>
      </c>
      <c r="GT64" s="13">
        <f>COUNTIF(GT65:GT98,"X")</f>
        <v>0</v>
      </c>
      <c r="GU64" s="13">
        <f>COUNTIF(GU65:GU98,"X")</f>
        <v>0</v>
      </c>
      <c r="GV64" s="13">
        <f>COUNTIF(GV65:GV98,"X")</f>
        <v>0</v>
      </c>
      <c r="GW64" s="13">
        <f>COUNTIF(GW65:GW98,"X")</f>
        <v>0</v>
      </c>
      <c r="GX64" s="13">
        <f>COUNTIF(GX65:GX98,"X")</f>
        <v>0</v>
      </c>
      <c r="GY64" s="13">
        <f>COUNTIF(GY65:GY98,"X")</f>
        <v>0</v>
      </c>
      <c r="GZ64" s="13">
        <f>COUNTIF(GZ65:GZ98,"X")</f>
        <v>0</v>
      </c>
      <c r="HA64" s="13">
        <f>COUNTIF(HA65:HA98,"X")</f>
        <v>0</v>
      </c>
      <c r="HB64" s="13">
        <f>COUNTIF(HB65:HB98,"X")</f>
        <v>0</v>
      </c>
      <c r="HC64" s="13">
        <f>COUNTIF(HC65:HC98,"X")</f>
        <v>0</v>
      </c>
      <c r="HD64" s="13">
        <f>COUNTIF(HD65:HD98,"X")</f>
        <v>0</v>
      </c>
      <c r="HE64" s="13">
        <f>COUNTIF(HE65:HE98,"X")</f>
        <v>0</v>
      </c>
      <c r="HF64" s="13">
        <f>COUNTIF(HF65:HF98,"X")</f>
        <v>0</v>
      </c>
      <c r="HG64" s="13">
        <f>COUNTIF(HG65:HG98,"X")</f>
        <v>0</v>
      </c>
      <c r="HH64" s="13">
        <f>COUNTIF(HH65:HH98,"X")</f>
        <v>0</v>
      </c>
      <c r="HI64" s="13">
        <f>COUNTIF(HI65:HI98,"X")</f>
        <v>0</v>
      </c>
      <c r="HJ64" s="13">
        <f>COUNTIF(HJ65:HJ98,"X")</f>
        <v>0</v>
      </c>
      <c r="HK64" s="13">
        <f>COUNTIF(HK65:HK98,"X")</f>
        <v>0</v>
      </c>
      <c r="HL64" s="13">
        <f>COUNTIF(HL65:HL98,"X")</f>
        <v>0</v>
      </c>
      <c r="HM64" s="13">
        <f>COUNTIF(HM65:HM98,"X")</f>
        <v>0</v>
      </c>
      <c r="HN64" s="13">
        <f>COUNTIF(HN65:HN98,"X")</f>
        <v>0</v>
      </c>
      <c r="HO64" s="13">
        <f>COUNTIF(HO65:HO98,"X")</f>
        <v>0</v>
      </c>
      <c r="HP64" s="13">
        <f>COUNTIF(HP65:HP98,"X")</f>
        <v>0</v>
      </c>
      <c r="HQ64" s="13">
        <f>COUNTIF(HQ65:HQ98,"X")</f>
        <v>0</v>
      </c>
      <c r="HR64" s="13">
        <f>COUNTIF(HR65:HR98,"X")</f>
        <v>0</v>
      </c>
      <c r="HS64" s="13">
        <f>COUNTIF(HS65:HS98,"X")</f>
        <v>0</v>
      </c>
      <c r="HT64" s="13">
        <f>COUNTIF(HT65:HT98,"X")</f>
        <v>0</v>
      </c>
      <c r="HU64" s="13">
        <f>COUNTIF(HU65:HU98,"X")</f>
        <v>0</v>
      </c>
      <c r="HV64" s="13">
        <f>COUNTIF(HV65:HV98,"X")</f>
        <v>0</v>
      </c>
      <c r="HW64" s="13">
        <f>COUNTIF(HW65:HW98,"X")</f>
        <v>0</v>
      </c>
      <c r="HX64" s="13">
        <f>COUNTIF(HX65:HX98,"X")</f>
        <v>0</v>
      </c>
      <c r="HY64" s="13">
        <f>COUNTIF(HY65:HY98,"X")</f>
        <v>0</v>
      </c>
      <c r="HZ64" s="13">
        <f>COUNTIF(HZ65:HZ98,"X")</f>
        <v>0</v>
      </c>
      <c r="IA64" s="13">
        <f>COUNTIF(IA65:IA98,"X")</f>
        <v>0</v>
      </c>
      <c r="IB64" s="13">
        <f>COUNTIF(IB65:IB98,"X")</f>
        <v>0</v>
      </c>
      <c r="IC64" s="13">
        <f>COUNTIF(IC65:IC98,"X")</f>
        <v>0</v>
      </c>
      <c r="ID64" s="13">
        <f>COUNTIF(ID65:ID98,"X")</f>
        <v>0</v>
      </c>
      <c r="IE64" s="13">
        <f>COUNTIF(IE65:IE98,"X")</f>
        <v>0</v>
      </c>
      <c r="IF64" s="13">
        <f>COUNTIF(IF65:IF98,"X")</f>
        <v>0</v>
      </c>
      <c r="IG64" s="13">
        <f>COUNTIF(IG65:IG98,"X")</f>
        <v>0</v>
      </c>
      <c r="IH64" s="13">
        <f>COUNTIF(IH65:IH98,"X")</f>
        <v>0</v>
      </c>
      <c r="II64" s="13">
        <f>COUNTIF(II65:II98,"X")</f>
        <v>0</v>
      </c>
      <c r="IJ64" s="13">
        <f>COUNTIF(IJ65:IJ98,"X")</f>
        <v>0</v>
      </c>
      <c r="IK64" s="13">
        <f>COUNTIF(IK65:IK98,"X")</f>
        <v>0</v>
      </c>
      <c r="IL64" s="13">
        <f>COUNTIF(IL65:IL98,"X")</f>
        <v>0</v>
      </c>
      <c r="IM64" s="13">
        <f>COUNTIF(IM65:IM98,"X")</f>
        <v>0</v>
      </c>
      <c r="IN64" s="13">
        <f>COUNTIF(IN65:IN98,"X")</f>
        <v>0</v>
      </c>
      <c r="IO64" s="13">
        <f>COUNTIF(IO65:IO98,"X")</f>
        <v>0</v>
      </c>
      <c r="IP64" s="13">
        <f>COUNTIF(IP65:IP98,"X")</f>
        <v>0</v>
      </c>
      <c r="IQ64" s="13">
        <f>COUNTIF(IQ65:IQ98,"X")</f>
        <v>0</v>
      </c>
      <c r="IR64" s="13">
        <f>COUNTIF(IR65:IR98,"X")</f>
        <v>0</v>
      </c>
      <c r="IS64" s="13">
        <f>COUNTIF(IS65:IS98,"X")</f>
        <v>0</v>
      </c>
      <c r="IT64" s="13">
        <f>COUNTIF(IT65:IT98,"X")</f>
        <v>0</v>
      </c>
      <c r="IU64" s="13">
        <f>COUNTIF(IU65:IU98,"X")</f>
        <v>0</v>
      </c>
      <c r="IV64" s="13">
        <f>COUNTIF(IV65:IV98,"X")</f>
        <v>0</v>
      </c>
      <c r="IW64" s="13">
        <f>COUNTIF(IW65:IW98,"X")</f>
        <v>0</v>
      </c>
      <c r="IX64" s="13">
        <f>COUNTIF(IX65:IX98,"X")</f>
        <v>0</v>
      </c>
      <c r="IY64" s="13">
        <f>COUNTIF(IY65:IY98,"X")</f>
        <v>0</v>
      </c>
      <c r="IZ64" s="13">
        <f>COUNTIF(IZ65:IZ98,"X")</f>
        <v>0</v>
      </c>
      <c r="JA64" s="13">
        <f>COUNTIF(JA65:JA98,"X")</f>
        <v>0</v>
      </c>
      <c r="JB64" s="13">
        <f>COUNTIF(JB65:JB98,"X")</f>
        <v>0</v>
      </c>
      <c r="JC64" s="13">
        <f>COUNTIF(JC65:JC98,"X")</f>
        <v>0</v>
      </c>
      <c r="JD64" s="13">
        <f>COUNTIF(JD65:JD98,"X")</f>
        <v>0</v>
      </c>
      <c r="JE64" s="13">
        <f>COUNTIF(JE65:JE98,"X")</f>
        <v>0</v>
      </c>
      <c r="JF64" s="13">
        <f>COUNTIF(JF65:JF98,"X")</f>
        <v>0</v>
      </c>
      <c r="JG64" s="13">
        <f>COUNTIF(JG65:JG98,"X")</f>
        <v>0</v>
      </c>
      <c r="JH64" s="13">
        <f>COUNTIF(JH65:JH98,"X")</f>
        <v>0</v>
      </c>
      <c r="JI64" s="13">
        <f>COUNTIF(JI65:JI98,"X")</f>
        <v>0</v>
      </c>
      <c r="JJ64" s="13">
        <f>COUNTIF(JJ65:JJ98,"X")</f>
        <v>0</v>
      </c>
      <c r="JK64" s="13">
        <f>COUNTIF(JK65:JK98,"X")</f>
        <v>0</v>
      </c>
      <c r="JL64" s="13">
        <f>COUNTIF(JL65:JL98,"X")</f>
        <v>0</v>
      </c>
      <c r="JM64" s="13">
        <f>COUNTIF(JM65:JM98,"X")</f>
        <v>0</v>
      </c>
      <c r="JN64" s="13">
        <f>COUNTIF(JN65:JN98,"X")</f>
        <v>0</v>
      </c>
      <c r="JO64" s="13">
        <f>COUNTIF(JO65:JO98,"X")</f>
        <v>0</v>
      </c>
      <c r="JP64" s="13">
        <f>COUNTIF(JP65:JP98,"X")</f>
        <v>0</v>
      </c>
      <c r="JQ64" s="13">
        <f>COUNTIF(JQ65:JQ98,"X")</f>
        <v>0</v>
      </c>
      <c r="JR64" s="13">
        <f>COUNTIF(JR65:JR98,"X")</f>
        <v>0</v>
      </c>
      <c r="JS64" s="13">
        <f>COUNTIF(JS65:JS98,"X")</f>
        <v>0</v>
      </c>
      <c r="JT64" s="13">
        <f>COUNTIF(JT65:JT98,"X")</f>
        <v>0</v>
      </c>
      <c r="JU64" s="13">
        <f>COUNTIF(JU65:JU98,"X")</f>
        <v>0</v>
      </c>
      <c r="JV64" s="13">
        <f>COUNTIF(JV65:JV98,"X")</f>
        <v>0</v>
      </c>
      <c r="JW64" s="13">
        <f>COUNTIF(JW65:JW98,"X")</f>
        <v>0</v>
      </c>
      <c r="JX64" s="13">
        <f>COUNTIF(JX65:JX98,"X")</f>
        <v>0</v>
      </c>
      <c r="JY64" s="13">
        <f>COUNTIF(JY65:JY98,"X")</f>
        <v>0</v>
      </c>
      <c r="JZ64" s="13">
        <f>COUNTIF(JZ65:JZ98,"X")</f>
        <v>0</v>
      </c>
      <c r="KA64" s="13">
        <f>COUNTIF(KA65:KA98,"X")</f>
        <v>0</v>
      </c>
      <c r="KB64" s="13">
        <f>COUNTIF(KB65:KB98,"X")</f>
        <v>0</v>
      </c>
      <c r="KC64" s="13">
        <f>COUNTIF(KC65:KC98,"X")</f>
        <v>0</v>
      </c>
      <c r="KD64" s="13">
        <f>COUNTIF(KD65:KD98,"X")</f>
        <v>0</v>
      </c>
      <c r="KE64" s="13">
        <f>COUNTIF(KE65:KE98,"X")</f>
        <v>0</v>
      </c>
      <c r="KF64" s="13">
        <f>COUNTIF(KF65:KF98,"X")</f>
        <v>0</v>
      </c>
      <c r="KG64" s="13">
        <f>COUNTIF(KG65:KG98,"X")</f>
        <v>0</v>
      </c>
      <c r="KH64" s="13">
        <f>COUNTIF(KH65:KH98,"X")</f>
        <v>0</v>
      </c>
      <c r="KI64" s="13">
        <f>COUNTIF(KI65:KI98,"X")</f>
        <v>0</v>
      </c>
      <c r="KJ64" s="13">
        <f>COUNTIF(KJ65:KJ98,"X")</f>
        <v>0</v>
      </c>
      <c r="KK64" s="13">
        <f>COUNTIF(KK65:KK98,"X")</f>
        <v>0</v>
      </c>
      <c r="KL64" s="13">
        <f>COUNTIF(KL65:KL98,"X")</f>
        <v>0</v>
      </c>
      <c r="KM64" s="13">
        <f>COUNTIF(KM65:KM98,"X")</f>
        <v>0</v>
      </c>
      <c r="KN64" s="13">
        <f>COUNTIF(KN65:KN98,"X")</f>
        <v>0</v>
      </c>
      <c r="KO64" s="13">
        <f>COUNTIF(KO65:KO98,"X")</f>
        <v>0</v>
      </c>
      <c r="KP64" s="13">
        <f>COUNTIF(KP65:KP98,"X")</f>
        <v>0</v>
      </c>
      <c r="KQ64" s="13">
        <f>COUNTIF(KQ65:KQ98,"X")</f>
        <v>0</v>
      </c>
      <c r="KR64" s="13">
        <f>COUNTIF(KR65:KR98,"X")</f>
        <v>0</v>
      </c>
      <c r="KS64" s="13">
        <f>COUNTIF(KS65:KS98,"X")</f>
        <v>0</v>
      </c>
      <c r="KT64" s="13">
        <f>COUNTIF(KT65:KT98,"X")</f>
        <v>0</v>
      </c>
      <c r="KU64" s="13">
        <f>COUNTIF(KU65:KU98,"X")</f>
        <v>0</v>
      </c>
      <c r="KV64" s="13">
        <f>COUNTIF(KV65:KV98,"X")</f>
        <v>0</v>
      </c>
      <c r="KW64" s="13">
        <f>COUNTIF(KW65:KW98,"X")</f>
        <v>0</v>
      </c>
      <c r="KX64" s="13">
        <f>COUNTIF(KX65:KX98,"X")</f>
        <v>0</v>
      </c>
      <c r="KY64" s="13">
        <f>COUNTIF(KY65:KY98,"X")</f>
        <v>0</v>
      </c>
      <c r="KZ64" s="13">
        <f>COUNTIF(KZ65:KZ98,"X")</f>
        <v>0</v>
      </c>
      <c r="LA64" s="13">
        <f>COUNTIF(LA65:LA98,"X")</f>
        <v>0</v>
      </c>
      <c r="LB64" s="13">
        <f>COUNTIF(LB65:LB98,"X")</f>
        <v>0</v>
      </c>
      <c r="LC64" s="13">
        <f>COUNTIF(LC65:LC98,"X")</f>
        <v>0</v>
      </c>
      <c r="LD64" s="13">
        <f>COUNTIF(LD65:LD98,"X")</f>
        <v>0</v>
      </c>
      <c r="LE64" s="13">
        <f>COUNTIF(LE65:LE98,"X")</f>
        <v>0</v>
      </c>
      <c r="LF64" s="13">
        <f>COUNTIF(LF65:LF98,"X")</f>
        <v>0</v>
      </c>
      <c r="LG64" s="13">
        <f>COUNTIF(LG65:LG98,"X")</f>
        <v>0</v>
      </c>
      <c r="LH64" s="13">
        <f>COUNTIF(LH65:LH98,"X")</f>
        <v>0</v>
      </c>
      <c r="LI64" s="13">
        <f>COUNTIF(LI65:LI98,"X")</f>
        <v>0</v>
      </c>
      <c r="LJ64" s="13">
        <f>COUNTIF(LJ65:LJ98,"X")</f>
        <v>0</v>
      </c>
      <c r="LK64" s="13">
        <f>COUNTIF(LK65:LK98,"X")</f>
        <v>0</v>
      </c>
      <c r="LL64" s="13">
        <f>COUNTIF(LL65:LL98,"X")</f>
        <v>0</v>
      </c>
      <c r="LM64" s="13">
        <f>COUNTIF(LM65:LM98,"X")</f>
        <v>0</v>
      </c>
      <c r="LN64" s="13">
        <f>COUNTIF(LN65:LN98,"X")</f>
        <v>0</v>
      </c>
      <c r="LO64" s="13">
        <f>COUNTIF(LO65:LO98,"X")</f>
        <v>0</v>
      </c>
      <c r="LP64" s="13">
        <f>COUNTIF(LP65:LP98,"X")</f>
        <v>0</v>
      </c>
      <c r="LQ64" s="13">
        <f>COUNTIF(LQ65:LQ98,"X")</f>
        <v>0</v>
      </c>
      <c r="LR64" s="13">
        <f>COUNTIF(LR65:LR98,"X")</f>
        <v>0</v>
      </c>
      <c r="LS64" s="13">
        <f>COUNTIF(LS65:LS98,"X")</f>
        <v>0</v>
      </c>
      <c r="LT64" s="13">
        <f>COUNTIF(LT65:LT98,"X")</f>
        <v>0</v>
      </c>
      <c r="LU64" s="13">
        <f>COUNTIF(LU65:LU98,"X")</f>
        <v>0</v>
      </c>
      <c r="LV64" s="13">
        <f>COUNTIF(LV65:LV98,"X")</f>
        <v>0</v>
      </c>
      <c r="LW64" s="13">
        <f>COUNTIF(LW65:LW98,"X")</f>
        <v>0</v>
      </c>
      <c r="LX64" s="13">
        <f>COUNTIF(LX65:LX98,"X")</f>
        <v>0</v>
      </c>
      <c r="LY64" s="13">
        <f>COUNTIF(LY65:LY98,"X")</f>
        <v>0</v>
      </c>
      <c r="LZ64" s="13">
        <f>COUNTIF(LZ65:LZ98,"X")</f>
        <v>0</v>
      </c>
      <c r="MA64" s="13">
        <f>COUNTIF(MA65:MA98,"X")</f>
        <v>0</v>
      </c>
      <c r="MB64" s="13">
        <f>COUNTIF(MB65:MB98,"X")</f>
        <v>0</v>
      </c>
      <c r="MC64" s="13">
        <f>COUNTIF(MC65:MC98,"X")</f>
        <v>0</v>
      </c>
      <c r="MD64" s="13">
        <f>COUNTIF(MD65:MD98,"X")</f>
        <v>0</v>
      </c>
      <c r="ME64" s="13">
        <f>COUNTIF(ME65:ME98,"X")</f>
        <v>0</v>
      </c>
      <c r="MF64" s="13">
        <f>COUNTIF(MF65:MF98,"X")</f>
        <v>0</v>
      </c>
      <c r="MG64" s="13">
        <f>COUNTIF(MG65:MG98,"X")</f>
        <v>0</v>
      </c>
      <c r="MH64" s="13">
        <f>COUNTIF(MH65:MH98,"X")</f>
        <v>0</v>
      </c>
      <c r="MI64" s="13">
        <f>COUNTIF(MI65:MI98,"X")</f>
        <v>0</v>
      </c>
      <c r="MJ64" s="13">
        <f>COUNTIF(MJ65:MJ98,"X")</f>
        <v>0</v>
      </c>
      <c r="MK64" s="13">
        <f>COUNTIF(MK65:MK98,"X")</f>
        <v>0</v>
      </c>
      <c r="ML64" s="13">
        <f>COUNTIF(ML65:ML98,"X")</f>
        <v>0</v>
      </c>
      <c r="MM64" s="13">
        <f>COUNTIF(MM65:MM98,"X")</f>
        <v>0</v>
      </c>
      <c r="MN64" s="13">
        <f>COUNTIF(MN65:MN98,"X")</f>
        <v>0</v>
      </c>
      <c r="MO64" s="13">
        <f>COUNTIF(MO65:MO98,"X")</f>
        <v>0</v>
      </c>
      <c r="MP64" s="13">
        <f>COUNTIF(MP65:MP98,"X")</f>
        <v>0</v>
      </c>
      <c r="MQ64" s="13">
        <f>COUNTIF(MQ65:MQ98,"X")</f>
        <v>0</v>
      </c>
      <c r="MR64" s="13">
        <f>COUNTIF(MR65:MR98,"X")</f>
        <v>0</v>
      </c>
      <c r="MS64" s="13">
        <f>COUNTIF(MS65:MS98,"X")</f>
        <v>0</v>
      </c>
      <c r="MT64" s="13">
        <f>COUNTIF(MT65:MT98,"X")</f>
        <v>0</v>
      </c>
      <c r="MU64" s="13">
        <f>COUNTIF(MU65:MU98,"X")</f>
        <v>0</v>
      </c>
      <c r="MV64" s="13">
        <f>COUNTIF(MV65:MV98,"X")</f>
        <v>0</v>
      </c>
      <c r="MW64" s="13">
        <f>COUNTIF(MW65:MW98,"X")</f>
        <v>0</v>
      </c>
      <c r="MX64" s="13">
        <f>COUNTIF(MX65:MX98,"X")</f>
        <v>0</v>
      </c>
      <c r="MY64" s="13">
        <f>COUNTIF(MY65:MY98,"X")</f>
        <v>0</v>
      </c>
      <c r="MZ64" s="13">
        <f>COUNTIF(MZ65:MZ98,"X")</f>
        <v>0</v>
      </c>
      <c r="NA64" s="13">
        <f>COUNTIF(NA65:NA98,"X")</f>
        <v>0</v>
      </c>
      <c r="NB64" s="13">
        <f>COUNTIF(NB65:NB98,"X")</f>
        <v>0</v>
      </c>
      <c r="NC64" s="13">
        <f>COUNTIF(NC65:NC98,"X")</f>
        <v>0</v>
      </c>
      <c r="ND64" s="13">
        <f>COUNTIF(ND65:ND98,"X")</f>
        <v>0</v>
      </c>
      <c r="NE64" s="13">
        <f>COUNTIF(NE65:NE98,"X")</f>
        <v>0</v>
      </c>
      <c r="NF64" s="13">
        <f>COUNTIF(NF65:NF98,"X")</f>
        <v>0</v>
      </c>
      <c r="NG64" s="13">
        <f>COUNTIF(NG65:NG98,"X")</f>
        <v>0</v>
      </c>
      <c r="NH64" s="13">
        <f>COUNTIF(NH65:NH98,"X")</f>
        <v>0</v>
      </c>
      <c r="NI64" s="13">
        <f>COUNTIF(NI65:NI98,"X")</f>
        <v>0</v>
      </c>
      <c r="NJ64" s="13">
        <f>COUNTIF(NJ65:NJ98,"X")</f>
        <v>0</v>
      </c>
      <c r="NK64" s="13">
        <f>COUNTIF(NK65:NK98,"X")</f>
        <v>0</v>
      </c>
      <c r="NL64" s="13">
        <f>COUNTIF(NL65:NL98,"X")</f>
        <v>0</v>
      </c>
      <c r="NM64" s="13">
        <f>COUNTIF(NM65:NM98,"X")</f>
        <v>0</v>
      </c>
      <c r="NN64" s="13">
        <f>COUNTIF(NN65:NN98,"X")</f>
        <v>0</v>
      </c>
      <c r="NO64" s="13">
        <f>COUNTIF(NO65:NO98,"X")</f>
        <v>0</v>
      </c>
      <c r="NP64" s="13">
        <f>COUNTIF(NP65:NP98,"X")</f>
        <v>0</v>
      </c>
      <c r="NQ64" s="13">
        <f>COUNTIF(NQ65:NQ98,"X")</f>
        <v>0</v>
      </c>
      <c r="NR64" s="13">
        <f>COUNTIF(NR65:NR98,"X")</f>
        <v>0</v>
      </c>
      <c r="NS64" s="13">
        <f>COUNTIF(NS65:NS98,"X")</f>
        <v>0</v>
      </c>
      <c r="NT64" s="14">
        <f>SUM(F64:NS64)</f>
        <v>10</v>
      </c>
      <c r="NU64" s="93"/>
      <c r="NV64" s="30">
        <f>SUMIF(NW65:NW98,0,NV65:NV98)</f>
        <v>4</v>
      </c>
      <c r="NW64" s="30">
        <f>SUMIF(NW65:NW98,0,NV65:NV98)</f>
        <v>4</v>
      </c>
      <c r="NX64" s="14">
        <f>SUM(F64:AU64)</f>
        <v>10</v>
      </c>
      <c r="NY64" s="93"/>
      <c r="NZ64" s="30">
        <f>SUMIF(OA65:OA98,0,NZ65:NZ98)</f>
        <v>0</v>
      </c>
      <c r="OA64" s="30">
        <f>SUMIF(OA65:OA98,0,NZ65:NZ98)</f>
        <v>0</v>
      </c>
      <c r="OB64" s="14">
        <f>SUM(AV64:CK64)</f>
        <v>0</v>
      </c>
      <c r="OC64" s="93"/>
      <c r="OD64" s="30">
        <f>SUMIF(OE65:OE98,0,OD65:OD98)</f>
        <v>0</v>
      </c>
      <c r="OE64" s="30">
        <f>SUMIF(OE65:OE98,0,OD65:OD98)</f>
        <v>0</v>
      </c>
      <c r="OF64" s="14">
        <f>SUM(CL64:EA64)</f>
        <v>0</v>
      </c>
      <c r="OG64" s="85"/>
      <c r="OH64" s="30">
        <f>SUMIF(OI65:OI98,0,OH65:OH98)</f>
        <v>0</v>
      </c>
      <c r="OI64" s="30">
        <f>SUMIF(OI65:OI98,0,OH65:OH98)</f>
        <v>0</v>
      </c>
      <c r="OJ64" s="14">
        <f>SUM(EB64:FQ64)</f>
        <v>0</v>
      </c>
      <c r="OK64" s="85"/>
      <c r="OL64" s="30">
        <f>SUMIF(OM65:OM98,0,OL65:OL98)</f>
        <v>0</v>
      </c>
      <c r="OM64" s="30">
        <f>SUMIF(OM65:OM98,0,OL65:OL98)</f>
        <v>0</v>
      </c>
      <c r="ON64" s="14">
        <f>SUM(FR64:HG64)</f>
        <v>0</v>
      </c>
      <c r="OO64" s="85"/>
      <c r="OP64" s="30">
        <f>SUMIF(OQ65:OQ98,0,OP65:OP98)</f>
        <v>0</v>
      </c>
      <c r="OQ64" s="85"/>
      <c r="OR64" s="14">
        <f>SUM(HH64:IW64)</f>
        <v>0</v>
      </c>
      <c r="OS64" s="85"/>
      <c r="OT64" s="30">
        <f>SUMIF(OU65:OU98,0,OT65:OT98)</f>
        <v>0</v>
      </c>
      <c r="OU64" s="30">
        <f>SUMIF(OU65:OU98,0,OT65:OT98)</f>
        <v>0</v>
      </c>
      <c r="OV64" s="14">
        <f>SUM(IX64:KM64)</f>
        <v>0</v>
      </c>
      <c r="OW64" s="85"/>
      <c r="OX64" s="30">
        <f>SUMIF(OY65:OY98,0,OX65:OX98)</f>
        <v>0</v>
      </c>
      <c r="OY64" s="30">
        <f>SUMIF(OY65:OY98,0,OX65:OX98)</f>
        <v>0</v>
      </c>
      <c r="OZ64" s="14">
        <f>SUM(KN64:MC64)</f>
        <v>0</v>
      </c>
      <c r="PA64" s="85"/>
      <c r="PB64" s="30">
        <f>SUMIF(PC65:PC98,0,PB65:PB98)</f>
        <v>0</v>
      </c>
      <c r="PC64" s="30">
        <f>SUMIF(PC65:PC98,0,PB65:PB98)</f>
        <v>0</v>
      </c>
      <c r="PD64" s="14">
        <f>SUM(MD64:NS64)</f>
        <v>0</v>
      </c>
      <c r="PE64" s="85"/>
    </row>
    <row r="65" spans="3:421" ht="15.75" customHeight="1" outlineLevel="1" x14ac:dyDescent="0.25">
      <c r="C65" s="88" t="s">
        <v>56</v>
      </c>
      <c r="D65" s="90" t="s">
        <v>109</v>
      </c>
      <c r="E65" s="53" t="s">
        <v>8</v>
      </c>
      <c r="F65" s="33">
        <v>1</v>
      </c>
      <c r="G65" s="33"/>
      <c r="H65" s="33"/>
      <c r="I65" s="33">
        <v>1</v>
      </c>
      <c r="J65" s="33"/>
      <c r="K65" s="33"/>
      <c r="L65" s="33"/>
      <c r="M65" s="33"/>
      <c r="N65" s="33"/>
      <c r="O65" s="33"/>
      <c r="P65" s="69"/>
      <c r="Q65" s="33"/>
      <c r="R65" s="33"/>
      <c r="S65" s="33"/>
      <c r="T65" s="33"/>
      <c r="U65" s="33"/>
      <c r="V65" s="33"/>
      <c r="W65" s="69"/>
      <c r="X65" s="33"/>
      <c r="Y65" s="33"/>
      <c r="Z65" s="33"/>
      <c r="AA65" s="33"/>
      <c r="AB65" s="33"/>
      <c r="AC65" s="33"/>
      <c r="AD65" s="33"/>
      <c r="AE65" s="33">
        <v>1</v>
      </c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>
        <v>1</v>
      </c>
      <c r="BA65" s="33">
        <v>1</v>
      </c>
      <c r="BB65" s="33">
        <v>1</v>
      </c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  <c r="HI65" s="33"/>
      <c r="HJ65" s="33"/>
      <c r="HK65" s="33"/>
      <c r="HL65" s="33"/>
      <c r="HM65" s="33"/>
      <c r="HN65" s="33"/>
      <c r="HO65" s="33"/>
      <c r="HP65" s="33"/>
      <c r="HQ65" s="33"/>
      <c r="HR65" s="33"/>
      <c r="HS65" s="33"/>
      <c r="HT65" s="33"/>
      <c r="HU65" s="33"/>
      <c r="HV65" s="33"/>
      <c r="HW65" s="33"/>
      <c r="HX65" s="33"/>
      <c r="HY65" s="33"/>
      <c r="HZ65" s="33"/>
      <c r="IA65" s="33"/>
      <c r="IB65" s="33"/>
      <c r="IC65" s="33"/>
      <c r="ID65" s="33"/>
      <c r="IE65" s="33"/>
      <c r="IF65" s="33"/>
      <c r="IG65" s="33"/>
      <c r="IH65" s="33"/>
      <c r="II65" s="33"/>
      <c r="IJ65" s="33"/>
      <c r="IK65" s="33"/>
      <c r="IL65" s="33"/>
      <c r="IM65" s="33"/>
      <c r="IN65" s="33"/>
      <c r="IO65" s="33"/>
      <c r="IP65" s="33"/>
      <c r="IQ65" s="33"/>
      <c r="IR65" s="33"/>
      <c r="IS65" s="33"/>
      <c r="IT65" s="33"/>
      <c r="IU65" s="33"/>
      <c r="IV65" s="33"/>
      <c r="IW65" s="33"/>
      <c r="IX65" s="33"/>
      <c r="IY65" s="33"/>
      <c r="IZ65" s="33"/>
      <c r="JA65" s="33"/>
      <c r="JB65" s="33"/>
      <c r="JC65" s="33"/>
      <c r="JD65" s="33"/>
      <c r="JE65" s="33"/>
      <c r="JF65" s="33"/>
      <c r="JG65" s="33"/>
      <c r="JH65" s="33"/>
      <c r="JI65" s="33"/>
      <c r="JJ65" s="33"/>
      <c r="JK65" s="33"/>
      <c r="JL65" s="33"/>
      <c r="JM65" s="33"/>
      <c r="JN65" s="33"/>
      <c r="JO65" s="33"/>
      <c r="JP65" s="33"/>
      <c r="JQ65" s="33"/>
      <c r="JR65" s="33"/>
      <c r="JS65" s="33"/>
      <c r="JT65" s="33"/>
      <c r="JU65" s="33"/>
      <c r="JV65" s="33"/>
      <c r="JW65" s="33"/>
      <c r="JX65" s="33"/>
      <c r="JY65" s="33"/>
      <c r="JZ65" s="33"/>
      <c r="KA65" s="33"/>
      <c r="KB65" s="33"/>
      <c r="KC65" s="33"/>
      <c r="KD65" s="33"/>
      <c r="KE65" s="33"/>
      <c r="KF65" s="33"/>
      <c r="KG65" s="33"/>
      <c r="KH65" s="33"/>
      <c r="KI65" s="33"/>
      <c r="KJ65" s="33"/>
      <c r="KK65" s="33"/>
      <c r="KL65" s="33"/>
      <c r="KM65" s="33"/>
      <c r="KN65" s="33"/>
      <c r="KO65" s="33"/>
      <c r="KP65" s="33"/>
      <c r="KQ65" s="33"/>
      <c r="KR65" s="33"/>
      <c r="KS65" s="33"/>
      <c r="KT65" s="33"/>
      <c r="KU65" s="33"/>
      <c r="KV65" s="33"/>
      <c r="KW65" s="33"/>
      <c r="KX65" s="33"/>
      <c r="KY65" s="33"/>
      <c r="KZ65" s="33"/>
      <c r="LA65" s="33"/>
      <c r="LB65" s="33"/>
      <c r="LC65" s="33"/>
      <c r="LD65" s="33"/>
      <c r="LE65" s="33"/>
      <c r="LF65" s="33"/>
      <c r="LG65" s="33"/>
      <c r="LH65" s="33"/>
      <c r="LI65" s="33"/>
      <c r="LJ65" s="33"/>
      <c r="LK65" s="33"/>
      <c r="LL65" s="33"/>
      <c r="LM65" s="33"/>
      <c r="LN65" s="33"/>
      <c r="LO65" s="33"/>
      <c r="LP65" s="33"/>
      <c r="LQ65" s="33"/>
      <c r="LR65" s="33"/>
      <c r="LS65" s="33"/>
      <c r="LT65" s="33"/>
      <c r="LU65" s="33"/>
      <c r="LV65" s="33"/>
      <c r="LW65" s="33"/>
      <c r="LX65" s="33"/>
      <c r="LY65" s="33"/>
      <c r="LZ65" s="33"/>
      <c r="MA65" s="33"/>
      <c r="MB65" s="33"/>
      <c r="MC65" s="33"/>
      <c r="MD65" s="33"/>
      <c r="ME65" s="33"/>
      <c r="MF65" s="33"/>
      <c r="MG65" s="33"/>
      <c r="MH65" s="33"/>
      <c r="MI65" s="33"/>
      <c r="MJ65" s="33"/>
      <c r="MK65" s="33"/>
      <c r="ML65" s="33"/>
      <c r="MM65" s="33"/>
      <c r="MN65" s="33"/>
      <c r="MO65" s="33"/>
      <c r="MP65" s="33"/>
      <c r="MQ65" s="33"/>
      <c r="MR65" s="33"/>
      <c r="MS65" s="33"/>
      <c r="MT65" s="33"/>
      <c r="MU65" s="33"/>
      <c r="MV65" s="33"/>
      <c r="MW65" s="33"/>
      <c r="MX65" s="33"/>
      <c r="MY65" s="33"/>
      <c r="MZ65" s="33"/>
      <c r="NA65" s="33"/>
      <c r="NB65" s="33"/>
      <c r="NC65" s="33"/>
      <c r="ND65" s="33"/>
      <c r="NE65" s="33"/>
      <c r="NF65" s="33"/>
      <c r="NG65" s="33"/>
      <c r="NH65" s="33"/>
      <c r="NI65" s="33"/>
      <c r="NJ65" s="33"/>
      <c r="NK65" s="33"/>
      <c r="NL65" s="33"/>
      <c r="NM65" s="33"/>
      <c r="NN65" s="33"/>
      <c r="NO65" s="33"/>
      <c r="NP65" s="33"/>
      <c r="NQ65" s="33"/>
      <c r="NR65" s="33"/>
      <c r="NS65" s="33"/>
      <c r="NT65" s="31">
        <f>COUNTIF(F65:NS65,"1")</f>
        <v>6</v>
      </c>
      <c r="NU65" s="80">
        <f>NT66/NT65</f>
        <v>0.5</v>
      </c>
      <c r="NV65" s="29" t="str">
        <f>+IF(NX65&gt;=1,"1",0)</f>
        <v>1</v>
      </c>
      <c r="NW65" s="38">
        <f t="shared" ref="NW65:NW98" si="219">MOD(ROW(NW65),2)</f>
        <v>1</v>
      </c>
      <c r="NX65" s="35">
        <f>COUNTIF(F65:AU65,"1")</f>
        <v>3</v>
      </c>
      <c r="NY65" s="80" t="e">
        <f>NX66,NX65</f>
        <v>#VALUE!</v>
      </c>
      <c r="NZ65" s="29" t="str">
        <f>+IF(OB65&gt;=1,"1",0)</f>
        <v>1</v>
      </c>
      <c r="OA65" s="38">
        <f t="shared" ref="OA65:OA98" si="220">MOD(ROW(OA65),2)</f>
        <v>1</v>
      </c>
      <c r="OB65" s="35">
        <f>COUNTIF(AV65:CK65,"1")</f>
        <v>3</v>
      </c>
      <c r="OC65" s="80">
        <f>OB66/OB65</f>
        <v>0</v>
      </c>
      <c r="OD65" s="29">
        <f>+IF(OF65&gt;=1,"1",0)</f>
        <v>0</v>
      </c>
      <c r="OE65" s="38">
        <f t="shared" ref="OE65:OE98" si="221">MOD(ROW(OE65),2)</f>
        <v>1</v>
      </c>
      <c r="OF65" s="35">
        <f>COUNTIF(CL65:EA65,"1")</f>
        <v>0</v>
      </c>
      <c r="OG65" s="80" t="e">
        <f>OF66/OF65</f>
        <v>#DIV/0!</v>
      </c>
      <c r="OH65" s="29">
        <f>+IF(OJ65&gt;=1,"1",0)</f>
        <v>0</v>
      </c>
      <c r="OI65" s="38">
        <f t="shared" ref="OI65:OI98" si="222">MOD(ROW(OI65),2)</f>
        <v>1</v>
      </c>
      <c r="OJ65" s="35">
        <f>COUNTIF(EB65:FQ65,"1")</f>
        <v>0</v>
      </c>
      <c r="OK65" s="79" t="e">
        <f>OJ66/OJ65</f>
        <v>#DIV/0!</v>
      </c>
      <c r="OL65" s="29">
        <f>+IF(ON65&gt;=1,"1",0)</f>
        <v>0</v>
      </c>
      <c r="OM65" s="38">
        <f t="shared" ref="OM65:OM98" si="223">MOD(ROW(OM65),2)</f>
        <v>1</v>
      </c>
      <c r="ON65" s="35">
        <f>COUNTIF(FR65:HG65,"1")</f>
        <v>0</v>
      </c>
      <c r="OO65" s="79" t="e">
        <f>ON66/ON65</f>
        <v>#DIV/0!</v>
      </c>
      <c r="OP65" s="29">
        <f>+IF(OR65&gt;=1,"1",0)</f>
        <v>0</v>
      </c>
      <c r="OQ65" s="38">
        <f t="shared" ref="OQ65:OQ98" si="224">MOD(ROW(OQ65),2)</f>
        <v>1</v>
      </c>
      <c r="OR65" s="35">
        <f>COUNTIF(HH65:IW65,"1")</f>
        <v>0</v>
      </c>
      <c r="OS65" s="79" t="e">
        <f>OR66/OR65</f>
        <v>#DIV/0!</v>
      </c>
      <c r="OT65" s="29">
        <f>+IF(OV65&gt;=1,"1",0)</f>
        <v>0</v>
      </c>
      <c r="OU65" s="38">
        <f t="shared" ref="OU65:OU98" si="225">MOD(ROW(OU65),2)</f>
        <v>1</v>
      </c>
      <c r="OV65" s="35">
        <f>COUNTIF(IX65:KM65,"1")</f>
        <v>0</v>
      </c>
      <c r="OW65" s="79" t="e">
        <f>OV66/OV65</f>
        <v>#DIV/0!</v>
      </c>
      <c r="OX65" s="29">
        <f>+IF(OZ65&gt;=1,"1",0)</f>
        <v>0</v>
      </c>
      <c r="OY65" s="38">
        <f t="shared" ref="OY65:OY98" si="226">MOD(ROW(OY65),2)</f>
        <v>1</v>
      </c>
      <c r="OZ65" s="35">
        <f>COUNTIF(KN65:MC65,"1")</f>
        <v>0</v>
      </c>
      <c r="PA65" s="79" t="e">
        <f>OZ66/OZ65</f>
        <v>#DIV/0!</v>
      </c>
      <c r="PB65" s="29">
        <f>+IF(PD65&gt;=1,"1",0)</f>
        <v>0</v>
      </c>
      <c r="PC65" s="38">
        <f t="shared" ref="PC65:PC98" si="227">MOD(ROW(PC65),2)</f>
        <v>1</v>
      </c>
      <c r="PD65" s="35">
        <f>COUNTIF(MD65:NS65,"1")</f>
        <v>0</v>
      </c>
      <c r="PE65" s="79" t="e">
        <f>PD66/PD65</f>
        <v>#DIV/0!</v>
      </c>
    </row>
    <row r="66" spans="3:421" ht="15.75" customHeight="1" outlineLevel="1" thickBot="1" x14ac:dyDescent="0.3">
      <c r="C66" s="89"/>
      <c r="D66" s="91"/>
      <c r="E66" s="54" t="s">
        <v>9</v>
      </c>
      <c r="F66" s="34" t="s">
        <v>75</v>
      </c>
      <c r="G66" s="34"/>
      <c r="H66" s="34"/>
      <c r="I66" s="34" t="s">
        <v>75</v>
      </c>
      <c r="J66" s="34"/>
      <c r="K66" s="34"/>
      <c r="L66" s="34"/>
      <c r="M66" s="34"/>
      <c r="N66" s="34"/>
      <c r="O66" s="34"/>
      <c r="P66" s="70"/>
      <c r="Q66" s="34"/>
      <c r="R66" s="34"/>
      <c r="S66" s="34"/>
      <c r="T66" s="34"/>
      <c r="U66" s="34"/>
      <c r="V66" s="34"/>
      <c r="W66" s="70"/>
      <c r="X66" s="34"/>
      <c r="Y66" s="34"/>
      <c r="Z66" s="34"/>
      <c r="AA66" s="34"/>
      <c r="AB66" s="34"/>
      <c r="AC66" s="34"/>
      <c r="AD66" s="34"/>
      <c r="AE66" s="34" t="s">
        <v>75</v>
      </c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  <c r="HI66" s="34"/>
      <c r="HJ66" s="34"/>
      <c r="HK66" s="34"/>
      <c r="HL66" s="34"/>
      <c r="HM66" s="34"/>
      <c r="HN66" s="34"/>
      <c r="HO66" s="34"/>
      <c r="HP66" s="34"/>
      <c r="HQ66" s="34"/>
      <c r="HR66" s="34"/>
      <c r="HS66" s="34"/>
      <c r="HT66" s="34"/>
      <c r="HU66" s="34"/>
      <c r="HV66" s="34"/>
      <c r="HW66" s="34"/>
      <c r="HX66" s="34"/>
      <c r="HY66" s="34"/>
      <c r="HZ66" s="34"/>
      <c r="IA66" s="34"/>
      <c r="IB66" s="34"/>
      <c r="IC66" s="34"/>
      <c r="ID66" s="34"/>
      <c r="IE66" s="34"/>
      <c r="IF66" s="34"/>
      <c r="IG66" s="34"/>
      <c r="IH66" s="34"/>
      <c r="II66" s="34"/>
      <c r="IJ66" s="34"/>
      <c r="IK66" s="34"/>
      <c r="IL66" s="34"/>
      <c r="IM66" s="34"/>
      <c r="IN66" s="34"/>
      <c r="IO66" s="34"/>
      <c r="IP66" s="34"/>
      <c r="IQ66" s="34"/>
      <c r="IR66" s="34"/>
      <c r="IS66" s="34"/>
      <c r="IT66" s="34"/>
      <c r="IU66" s="34"/>
      <c r="IV66" s="34"/>
      <c r="IW66" s="34"/>
      <c r="IX66" s="34"/>
      <c r="IY66" s="34"/>
      <c r="IZ66" s="34"/>
      <c r="JA66" s="34"/>
      <c r="JB66" s="34"/>
      <c r="JC66" s="34"/>
      <c r="JD66" s="34"/>
      <c r="JE66" s="34"/>
      <c r="JF66" s="34"/>
      <c r="JG66" s="34"/>
      <c r="JH66" s="34"/>
      <c r="JI66" s="34"/>
      <c r="JJ66" s="34"/>
      <c r="JK66" s="34"/>
      <c r="JL66" s="34"/>
      <c r="JM66" s="34"/>
      <c r="JN66" s="34"/>
      <c r="JO66" s="34"/>
      <c r="JP66" s="34"/>
      <c r="JQ66" s="34"/>
      <c r="JR66" s="34"/>
      <c r="JS66" s="34"/>
      <c r="JT66" s="34"/>
      <c r="JU66" s="34"/>
      <c r="JV66" s="34"/>
      <c r="JW66" s="34"/>
      <c r="JX66" s="34"/>
      <c r="JY66" s="34"/>
      <c r="JZ66" s="34"/>
      <c r="KA66" s="34"/>
      <c r="KB66" s="34"/>
      <c r="KC66" s="34"/>
      <c r="KD66" s="34"/>
      <c r="KE66" s="34"/>
      <c r="KF66" s="34"/>
      <c r="KG66" s="34"/>
      <c r="KH66" s="34"/>
      <c r="KI66" s="34"/>
      <c r="KJ66" s="34"/>
      <c r="KK66" s="34"/>
      <c r="KL66" s="34"/>
      <c r="KM66" s="34"/>
      <c r="KN66" s="34"/>
      <c r="KO66" s="34"/>
      <c r="KP66" s="34"/>
      <c r="KQ66" s="34"/>
      <c r="KR66" s="34"/>
      <c r="KS66" s="34"/>
      <c r="KT66" s="34"/>
      <c r="KU66" s="34"/>
      <c r="KV66" s="34"/>
      <c r="KW66" s="34"/>
      <c r="KX66" s="34"/>
      <c r="KY66" s="34"/>
      <c r="KZ66" s="34"/>
      <c r="LA66" s="34"/>
      <c r="LB66" s="34"/>
      <c r="LC66" s="34"/>
      <c r="LD66" s="34"/>
      <c r="LE66" s="34"/>
      <c r="LF66" s="34"/>
      <c r="LG66" s="34"/>
      <c r="LH66" s="34"/>
      <c r="LI66" s="34"/>
      <c r="LJ66" s="34"/>
      <c r="LK66" s="34"/>
      <c r="LL66" s="34"/>
      <c r="LM66" s="34"/>
      <c r="LN66" s="34"/>
      <c r="LO66" s="34"/>
      <c r="LP66" s="34"/>
      <c r="LQ66" s="34"/>
      <c r="LR66" s="34"/>
      <c r="LS66" s="34"/>
      <c r="LT66" s="34"/>
      <c r="LU66" s="34"/>
      <c r="LV66" s="34"/>
      <c r="LW66" s="34"/>
      <c r="LX66" s="34"/>
      <c r="LY66" s="34"/>
      <c r="LZ66" s="34"/>
      <c r="MA66" s="34"/>
      <c r="MB66" s="34"/>
      <c r="MC66" s="34"/>
      <c r="MD66" s="34"/>
      <c r="ME66" s="34"/>
      <c r="MF66" s="34"/>
      <c r="MG66" s="34"/>
      <c r="MH66" s="34"/>
      <c r="MI66" s="34"/>
      <c r="MJ66" s="34"/>
      <c r="MK66" s="34"/>
      <c r="ML66" s="34"/>
      <c r="MM66" s="34"/>
      <c r="MN66" s="34"/>
      <c r="MO66" s="34"/>
      <c r="MP66" s="34"/>
      <c r="MQ66" s="34"/>
      <c r="MR66" s="34"/>
      <c r="MS66" s="34"/>
      <c r="MT66" s="34"/>
      <c r="MU66" s="34"/>
      <c r="MV66" s="34"/>
      <c r="MW66" s="34"/>
      <c r="MX66" s="34"/>
      <c r="MY66" s="34"/>
      <c r="MZ66" s="34"/>
      <c r="NA66" s="34"/>
      <c r="NB66" s="34"/>
      <c r="NC66" s="34"/>
      <c r="ND66" s="34"/>
      <c r="NE66" s="34"/>
      <c r="NF66" s="34"/>
      <c r="NG66" s="34"/>
      <c r="NH66" s="34"/>
      <c r="NI66" s="34"/>
      <c r="NJ66" s="34"/>
      <c r="NK66" s="34"/>
      <c r="NL66" s="34"/>
      <c r="NM66" s="34"/>
      <c r="NN66" s="34"/>
      <c r="NO66" s="34"/>
      <c r="NP66" s="34"/>
      <c r="NQ66" s="34"/>
      <c r="NR66" s="34"/>
      <c r="NS66" s="34"/>
      <c r="NT66" s="7">
        <f>COUNTIF(F66:NS66,"x")</f>
        <v>3</v>
      </c>
      <c r="NU66" s="81"/>
      <c r="NV66" s="32">
        <f>IF(NX66=0,"0",NX66/NX65)</f>
        <v>1</v>
      </c>
      <c r="NW66" s="37">
        <f t="shared" si="219"/>
        <v>0</v>
      </c>
      <c r="NX66" s="36">
        <f>COUNTIF(F66:AU66,"x")</f>
        <v>3</v>
      </c>
      <c r="NY66" s="81"/>
      <c r="NZ66" s="32" t="str">
        <f>IF(OB66=0,"0",OB66/OB65)</f>
        <v>0</v>
      </c>
      <c r="OA66" s="37">
        <f t="shared" si="220"/>
        <v>0</v>
      </c>
      <c r="OB66" s="36">
        <f>COUNTIF(AV66:CK66,"x")</f>
        <v>0</v>
      </c>
      <c r="OC66" s="81"/>
      <c r="OD66" s="32" t="str">
        <f>IF(OF66=0,"0",OF66/OF65)</f>
        <v>0</v>
      </c>
      <c r="OE66" s="37">
        <f t="shared" si="221"/>
        <v>0</v>
      </c>
      <c r="OF66" s="36">
        <f>COUNTIF(CL66:EA66,"x")</f>
        <v>0</v>
      </c>
      <c r="OG66" s="81"/>
      <c r="OH66" s="32" t="str">
        <f>IF(OJ66=0,"0",OJ66/OJ65)</f>
        <v>0</v>
      </c>
      <c r="OI66" s="37">
        <f t="shared" si="222"/>
        <v>0</v>
      </c>
      <c r="OJ66" s="36">
        <f>COUNTIF(EB66:FQ66,"x")</f>
        <v>0</v>
      </c>
      <c r="OK66" s="74"/>
      <c r="OL66" s="32" t="str">
        <f>IF(ON66=0,"0",ON66/ON65)</f>
        <v>0</v>
      </c>
      <c r="OM66" s="37">
        <f t="shared" si="223"/>
        <v>0</v>
      </c>
      <c r="ON66" s="36">
        <f>COUNTIF(FR66:HG66,"x")</f>
        <v>0</v>
      </c>
      <c r="OO66" s="74"/>
      <c r="OP66" s="32" t="str">
        <f>IF(OR66=0,"0",OR66/OR65)</f>
        <v>0</v>
      </c>
      <c r="OQ66" s="37">
        <f t="shared" si="224"/>
        <v>0</v>
      </c>
      <c r="OR66" s="36">
        <f>COUNTIF(HH66:IW66,"x")</f>
        <v>0</v>
      </c>
      <c r="OS66" s="74"/>
      <c r="OT66" s="32" t="str">
        <f>IF(OV66=0,"0",OV66/OV65)</f>
        <v>0</v>
      </c>
      <c r="OU66" s="37">
        <f t="shared" si="225"/>
        <v>0</v>
      </c>
      <c r="OV66" s="36">
        <f>COUNTIF(IX66:KM66,"x")</f>
        <v>0</v>
      </c>
      <c r="OW66" s="74"/>
      <c r="OX66" s="32" t="str">
        <f>IF(OZ66=0,"0",OZ66/OZ65)</f>
        <v>0</v>
      </c>
      <c r="OY66" s="37">
        <f t="shared" si="226"/>
        <v>0</v>
      </c>
      <c r="OZ66" s="36">
        <f>COUNTIF(KN66:MC66,"x")</f>
        <v>0</v>
      </c>
      <c r="PA66" s="74"/>
      <c r="PB66" s="32" t="str">
        <f>IF(PD66=0,"0",PD66/PD65)</f>
        <v>0</v>
      </c>
      <c r="PC66" s="37">
        <f t="shared" si="227"/>
        <v>0</v>
      </c>
      <c r="PD66" s="36">
        <f>COUNTIF(MD66:NS66,"x")</f>
        <v>0</v>
      </c>
      <c r="PE66" s="74"/>
    </row>
    <row r="67" spans="3:421" ht="15.75" customHeight="1" outlineLevel="1" x14ac:dyDescent="0.25">
      <c r="C67" s="88" t="s">
        <v>83</v>
      </c>
      <c r="D67" s="90" t="s">
        <v>109</v>
      </c>
      <c r="E67" s="53" t="s">
        <v>8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69"/>
      <c r="Q67" s="33"/>
      <c r="R67" s="33"/>
      <c r="S67" s="33"/>
      <c r="T67" s="33"/>
      <c r="U67" s="33"/>
      <c r="V67" s="33"/>
      <c r="W67" s="69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  <c r="HI67" s="33"/>
      <c r="HJ67" s="33"/>
      <c r="HK67" s="33"/>
      <c r="HL67" s="33"/>
      <c r="HM67" s="33"/>
      <c r="HN67" s="33"/>
      <c r="HO67" s="33"/>
      <c r="HP67" s="33"/>
      <c r="HQ67" s="33"/>
      <c r="HR67" s="33"/>
      <c r="HS67" s="33"/>
      <c r="HT67" s="33"/>
      <c r="HU67" s="33"/>
      <c r="HV67" s="33"/>
      <c r="HW67" s="33"/>
      <c r="HX67" s="33"/>
      <c r="HY67" s="33"/>
      <c r="HZ67" s="33"/>
      <c r="IA67" s="33"/>
      <c r="IB67" s="33"/>
      <c r="IC67" s="33"/>
      <c r="ID67" s="33"/>
      <c r="IE67" s="33"/>
      <c r="IF67" s="33"/>
      <c r="IG67" s="33"/>
      <c r="IH67" s="33"/>
      <c r="II67" s="33"/>
      <c r="IJ67" s="33"/>
      <c r="IK67" s="33"/>
      <c r="IL67" s="33"/>
      <c r="IM67" s="33"/>
      <c r="IN67" s="33"/>
      <c r="IO67" s="33"/>
      <c r="IP67" s="33"/>
      <c r="IQ67" s="33"/>
      <c r="IR67" s="33"/>
      <c r="IS67" s="33"/>
      <c r="IT67" s="33"/>
      <c r="IU67" s="33"/>
      <c r="IV67" s="33"/>
      <c r="IW67" s="33"/>
      <c r="IX67" s="33"/>
      <c r="IY67" s="33"/>
      <c r="IZ67" s="33"/>
      <c r="JA67" s="33"/>
      <c r="JB67" s="33"/>
      <c r="JC67" s="33"/>
      <c r="JD67" s="33"/>
      <c r="JE67" s="33"/>
      <c r="JF67" s="33"/>
      <c r="JG67" s="33"/>
      <c r="JH67" s="33"/>
      <c r="JI67" s="33"/>
      <c r="JJ67" s="33"/>
      <c r="JK67" s="33"/>
      <c r="JL67" s="33"/>
      <c r="JM67" s="33"/>
      <c r="JN67" s="33"/>
      <c r="JO67" s="33"/>
      <c r="JP67" s="33"/>
      <c r="JQ67" s="33"/>
      <c r="JR67" s="33"/>
      <c r="JS67" s="33"/>
      <c r="JT67" s="33"/>
      <c r="JU67" s="33"/>
      <c r="JV67" s="33"/>
      <c r="JW67" s="33"/>
      <c r="JX67" s="33"/>
      <c r="JY67" s="33"/>
      <c r="JZ67" s="33"/>
      <c r="KA67" s="33"/>
      <c r="KB67" s="33"/>
      <c r="KC67" s="33"/>
      <c r="KD67" s="33"/>
      <c r="KE67" s="33"/>
      <c r="KF67" s="33"/>
      <c r="KG67" s="33"/>
      <c r="KH67" s="33"/>
      <c r="KI67" s="33"/>
      <c r="KJ67" s="33"/>
      <c r="KK67" s="33"/>
      <c r="KL67" s="33"/>
      <c r="KM67" s="33"/>
      <c r="KN67" s="33"/>
      <c r="KO67" s="33"/>
      <c r="KP67" s="33"/>
      <c r="KQ67" s="33"/>
      <c r="KR67" s="33"/>
      <c r="KS67" s="33"/>
      <c r="KT67" s="33"/>
      <c r="KU67" s="33"/>
      <c r="KV67" s="33"/>
      <c r="KW67" s="33"/>
      <c r="KX67" s="33"/>
      <c r="KY67" s="33"/>
      <c r="KZ67" s="33"/>
      <c r="LA67" s="33"/>
      <c r="LB67" s="33"/>
      <c r="LC67" s="33"/>
      <c r="LD67" s="33"/>
      <c r="LE67" s="33"/>
      <c r="LF67" s="33"/>
      <c r="LG67" s="33"/>
      <c r="LH67" s="33"/>
      <c r="LI67" s="33"/>
      <c r="LJ67" s="33"/>
      <c r="LK67" s="33"/>
      <c r="LL67" s="33"/>
      <c r="LM67" s="33"/>
      <c r="LN67" s="33"/>
      <c r="LO67" s="33"/>
      <c r="LP67" s="33"/>
      <c r="LQ67" s="33"/>
      <c r="LR67" s="33"/>
      <c r="LS67" s="33"/>
      <c r="LT67" s="33"/>
      <c r="LU67" s="33"/>
      <c r="LV67" s="33"/>
      <c r="LW67" s="33"/>
      <c r="LX67" s="33"/>
      <c r="LY67" s="33"/>
      <c r="LZ67" s="33"/>
      <c r="MA67" s="33"/>
      <c r="MB67" s="33"/>
      <c r="MC67" s="33"/>
      <c r="MD67" s="33"/>
      <c r="ME67" s="33"/>
      <c r="MF67" s="33"/>
      <c r="MG67" s="33"/>
      <c r="MH67" s="33"/>
      <c r="MI67" s="33"/>
      <c r="MJ67" s="33"/>
      <c r="MK67" s="33"/>
      <c r="ML67" s="33"/>
      <c r="MM67" s="33"/>
      <c r="MN67" s="33"/>
      <c r="MO67" s="33"/>
      <c r="MP67" s="33"/>
      <c r="MQ67" s="33"/>
      <c r="MR67" s="33"/>
      <c r="MS67" s="33"/>
      <c r="MT67" s="33"/>
      <c r="MU67" s="33"/>
      <c r="MV67" s="33"/>
      <c r="MW67" s="33"/>
      <c r="MX67" s="33"/>
      <c r="MY67" s="33"/>
      <c r="MZ67" s="33"/>
      <c r="NA67" s="33"/>
      <c r="NB67" s="33"/>
      <c r="NC67" s="33"/>
      <c r="ND67" s="33"/>
      <c r="NE67" s="33"/>
      <c r="NF67" s="33"/>
      <c r="NG67" s="33"/>
      <c r="NH67" s="33"/>
      <c r="NI67" s="33"/>
      <c r="NJ67" s="33"/>
      <c r="NK67" s="33"/>
      <c r="NL67" s="33"/>
      <c r="NM67" s="33"/>
      <c r="NN67" s="33"/>
      <c r="NO67" s="33"/>
      <c r="NP67" s="33"/>
      <c r="NQ67" s="33"/>
      <c r="NR67" s="33"/>
      <c r="NS67" s="33"/>
      <c r="NT67" s="31">
        <f>COUNTIF(F67:NS67,"1")</f>
        <v>0</v>
      </c>
      <c r="NU67" s="80" t="e">
        <f>NT68/NT67</f>
        <v>#DIV/0!</v>
      </c>
      <c r="NV67" s="29">
        <f>+IF(NX67&gt;=1,"1",0)</f>
        <v>0</v>
      </c>
      <c r="NW67" s="38">
        <f t="shared" si="219"/>
        <v>1</v>
      </c>
      <c r="NX67" s="35">
        <f>COUNTIF(F67:AU67,"1")</f>
        <v>0</v>
      </c>
      <c r="NY67" s="80" t="e">
        <f>NX68/NX67</f>
        <v>#DIV/0!</v>
      </c>
      <c r="NZ67" s="29">
        <f>+IF(OB67&gt;=1,"1",0)</f>
        <v>0</v>
      </c>
      <c r="OA67" s="38">
        <f t="shared" si="220"/>
        <v>1</v>
      </c>
      <c r="OB67" s="35">
        <f>COUNTIF(AV67:CK67,"1")</f>
        <v>0</v>
      </c>
      <c r="OC67" s="80" t="e">
        <f>OB68/OB67</f>
        <v>#DIV/0!</v>
      </c>
      <c r="OD67" s="29">
        <f>+IF(OF67&gt;=1,"1",0)</f>
        <v>0</v>
      </c>
      <c r="OE67" s="38">
        <f t="shared" si="221"/>
        <v>1</v>
      </c>
      <c r="OF67" s="35">
        <f>COUNTIF(CL67:EA67,"1")</f>
        <v>0</v>
      </c>
      <c r="OG67" s="80" t="e">
        <f>OF68/OF67</f>
        <v>#DIV/0!</v>
      </c>
      <c r="OH67" s="29">
        <f>+IF(OJ67&gt;=1,"1",0)</f>
        <v>0</v>
      </c>
      <c r="OI67" s="38">
        <f t="shared" si="222"/>
        <v>1</v>
      </c>
      <c r="OJ67" s="35">
        <f>COUNTIF(EB67:FQ67,"1")</f>
        <v>0</v>
      </c>
      <c r="OK67" s="79" t="e">
        <f>OJ68/OJ67</f>
        <v>#DIV/0!</v>
      </c>
      <c r="OL67" s="29">
        <f>+IF(ON67&gt;=1,"1",0)</f>
        <v>0</v>
      </c>
      <c r="OM67" s="38">
        <f t="shared" si="223"/>
        <v>1</v>
      </c>
      <c r="ON67" s="35">
        <f>COUNTIF(FR67:HG67,"1")</f>
        <v>0</v>
      </c>
      <c r="OO67" s="79" t="e">
        <f>ON68/ON67</f>
        <v>#DIV/0!</v>
      </c>
      <c r="OP67" s="29">
        <f>+IF(OR67&gt;=1,"1",0)</f>
        <v>0</v>
      </c>
      <c r="OQ67" s="38">
        <f t="shared" si="224"/>
        <v>1</v>
      </c>
      <c r="OR67" s="35">
        <f>COUNTIF(HH67:IW67,"1")</f>
        <v>0</v>
      </c>
      <c r="OS67" s="79" t="e">
        <f>OR68/OR67</f>
        <v>#DIV/0!</v>
      </c>
      <c r="OT67" s="29">
        <f>+IF(OV67&gt;=1,"1",0)</f>
        <v>0</v>
      </c>
      <c r="OU67" s="38">
        <f t="shared" si="225"/>
        <v>1</v>
      </c>
      <c r="OV67" s="35">
        <f>COUNTIF(IX67:KM67,"1")</f>
        <v>0</v>
      </c>
      <c r="OW67" s="79" t="e">
        <f>OV68/OV67</f>
        <v>#DIV/0!</v>
      </c>
      <c r="OX67" s="29">
        <f>+IF(OZ67&gt;=1,"1",0)</f>
        <v>0</v>
      </c>
      <c r="OY67" s="38">
        <f t="shared" si="226"/>
        <v>1</v>
      </c>
      <c r="OZ67" s="35">
        <f>COUNTIF(KN67:MC67,"1")</f>
        <v>0</v>
      </c>
      <c r="PA67" s="79" t="e">
        <f>OZ68/OZ67</f>
        <v>#DIV/0!</v>
      </c>
      <c r="PB67" s="29">
        <f>+IF(PD67&gt;=1,"1",0)</f>
        <v>0</v>
      </c>
      <c r="PC67" s="38">
        <f t="shared" si="227"/>
        <v>1</v>
      </c>
      <c r="PD67" s="35">
        <f>COUNTIF(MD67:NS67,"1")</f>
        <v>0</v>
      </c>
      <c r="PE67" s="79" t="e">
        <f>PD68/PD67</f>
        <v>#DIV/0!</v>
      </c>
    </row>
    <row r="68" spans="3:421" ht="15.75" customHeight="1" outlineLevel="1" thickBot="1" x14ac:dyDescent="0.3">
      <c r="C68" s="89"/>
      <c r="D68" s="91"/>
      <c r="E68" s="54" t="s">
        <v>9</v>
      </c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70"/>
      <c r="Q68" s="34"/>
      <c r="R68" s="34"/>
      <c r="S68" s="34"/>
      <c r="T68" s="34"/>
      <c r="U68" s="34"/>
      <c r="V68" s="34"/>
      <c r="W68" s="70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  <c r="HI68" s="34"/>
      <c r="HJ68" s="34"/>
      <c r="HK68" s="34"/>
      <c r="HL68" s="34"/>
      <c r="HM68" s="34"/>
      <c r="HN68" s="34"/>
      <c r="HO68" s="34"/>
      <c r="HP68" s="34"/>
      <c r="HQ68" s="34"/>
      <c r="HR68" s="34"/>
      <c r="HS68" s="34"/>
      <c r="HT68" s="34"/>
      <c r="HU68" s="34"/>
      <c r="HV68" s="34"/>
      <c r="HW68" s="34"/>
      <c r="HX68" s="34"/>
      <c r="HY68" s="34"/>
      <c r="HZ68" s="34"/>
      <c r="IA68" s="34"/>
      <c r="IB68" s="34"/>
      <c r="IC68" s="34"/>
      <c r="ID68" s="34"/>
      <c r="IE68" s="34"/>
      <c r="IF68" s="34"/>
      <c r="IG68" s="34"/>
      <c r="IH68" s="34"/>
      <c r="II68" s="34"/>
      <c r="IJ68" s="34"/>
      <c r="IK68" s="34"/>
      <c r="IL68" s="34"/>
      <c r="IM68" s="34"/>
      <c r="IN68" s="34"/>
      <c r="IO68" s="34"/>
      <c r="IP68" s="34"/>
      <c r="IQ68" s="34"/>
      <c r="IR68" s="34"/>
      <c r="IS68" s="34"/>
      <c r="IT68" s="34"/>
      <c r="IU68" s="34"/>
      <c r="IV68" s="34"/>
      <c r="IW68" s="34"/>
      <c r="IX68" s="34"/>
      <c r="IY68" s="34"/>
      <c r="IZ68" s="34"/>
      <c r="JA68" s="34"/>
      <c r="JB68" s="34"/>
      <c r="JC68" s="34"/>
      <c r="JD68" s="34"/>
      <c r="JE68" s="34"/>
      <c r="JF68" s="34"/>
      <c r="JG68" s="34"/>
      <c r="JH68" s="34"/>
      <c r="JI68" s="34"/>
      <c r="JJ68" s="34"/>
      <c r="JK68" s="34"/>
      <c r="JL68" s="34"/>
      <c r="JM68" s="34"/>
      <c r="JN68" s="34"/>
      <c r="JO68" s="34"/>
      <c r="JP68" s="34"/>
      <c r="JQ68" s="34"/>
      <c r="JR68" s="34"/>
      <c r="JS68" s="34"/>
      <c r="JT68" s="34"/>
      <c r="JU68" s="34"/>
      <c r="JV68" s="34"/>
      <c r="JW68" s="34"/>
      <c r="JX68" s="34"/>
      <c r="JY68" s="34"/>
      <c r="JZ68" s="34"/>
      <c r="KA68" s="34"/>
      <c r="KB68" s="34"/>
      <c r="KC68" s="34"/>
      <c r="KD68" s="34"/>
      <c r="KE68" s="34"/>
      <c r="KF68" s="34"/>
      <c r="KG68" s="34"/>
      <c r="KH68" s="34"/>
      <c r="KI68" s="34"/>
      <c r="KJ68" s="34"/>
      <c r="KK68" s="34"/>
      <c r="KL68" s="34"/>
      <c r="KM68" s="34"/>
      <c r="KN68" s="34"/>
      <c r="KO68" s="34"/>
      <c r="KP68" s="34"/>
      <c r="KQ68" s="34"/>
      <c r="KR68" s="34"/>
      <c r="KS68" s="34"/>
      <c r="KT68" s="34"/>
      <c r="KU68" s="34"/>
      <c r="KV68" s="34"/>
      <c r="KW68" s="34"/>
      <c r="KX68" s="34"/>
      <c r="KY68" s="34"/>
      <c r="KZ68" s="34"/>
      <c r="LA68" s="34"/>
      <c r="LB68" s="34"/>
      <c r="LC68" s="34"/>
      <c r="LD68" s="34"/>
      <c r="LE68" s="34"/>
      <c r="LF68" s="34"/>
      <c r="LG68" s="34"/>
      <c r="LH68" s="34"/>
      <c r="LI68" s="34"/>
      <c r="LJ68" s="34"/>
      <c r="LK68" s="34"/>
      <c r="LL68" s="34"/>
      <c r="LM68" s="34"/>
      <c r="LN68" s="34"/>
      <c r="LO68" s="34"/>
      <c r="LP68" s="34"/>
      <c r="LQ68" s="34"/>
      <c r="LR68" s="34"/>
      <c r="LS68" s="34"/>
      <c r="LT68" s="34"/>
      <c r="LU68" s="34"/>
      <c r="LV68" s="34"/>
      <c r="LW68" s="34"/>
      <c r="LX68" s="34"/>
      <c r="LY68" s="34"/>
      <c r="LZ68" s="34"/>
      <c r="MA68" s="34"/>
      <c r="MB68" s="34"/>
      <c r="MC68" s="34"/>
      <c r="MD68" s="34"/>
      <c r="ME68" s="34"/>
      <c r="MF68" s="34"/>
      <c r="MG68" s="34"/>
      <c r="MH68" s="34"/>
      <c r="MI68" s="34"/>
      <c r="MJ68" s="34"/>
      <c r="MK68" s="34"/>
      <c r="ML68" s="34"/>
      <c r="MM68" s="34"/>
      <c r="MN68" s="34"/>
      <c r="MO68" s="34"/>
      <c r="MP68" s="34"/>
      <c r="MQ68" s="34"/>
      <c r="MR68" s="34"/>
      <c r="MS68" s="34"/>
      <c r="MT68" s="34"/>
      <c r="MU68" s="34"/>
      <c r="MV68" s="34"/>
      <c r="MW68" s="34"/>
      <c r="MX68" s="34"/>
      <c r="MY68" s="34"/>
      <c r="MZ68" s="34"/>
      <c r="NA68" s="34"/>
      <c r="NB68" s="34"/>
      <c r="NC68" s="34"/>
      <c r="ND68" s="34"/>
      <c r="NE68" s="34"/>
      <c r="NF68" s="34"/>
      <c r="NG68" s="34"/>
      <c r="NH68" s="34"/>
      <c r="NI68" s="34"/>
      <c r="NJ68" s="34"/>
      <c r="NK68" s="34"/>
      <c r="NL68" s="34"/>
      <c r="NM68" s="34"/>
      <c r="NN68" s="34"/>
      <c r="NO68" s="34"/>
      <c r="NP68" s="34"/>
      <c r="NQ68" s="34"/>
      <c r="NR68" s="34"/>
      <c r="NS68" s="34"/>
      <c r="NT68" s="7">
        <f>COUNTIF(F68:NS68,"x")</f>
        <v>0</v>
      </c>
      <c r="NU68" s="81"/>
      <c r="NV68" s="32" t="str">
        <f>IF(NX68=0,"0",NX68/NX67)</f>
        <v>0</v>
      </c>
      <c r="NW68" s="37">
        <f t="shared" si="219"/>
        <v>0</v>
      </c>
      <c r="NX68" s="36">
        <f>COUNTIF(F68:AU68,"x")</f>
        <v>0</v>
      </c>
      <c r="NY68" s="81"/>
      <c r="NZ68" s="32" t="str">
        <f>IF(OB68=0,"0",OB68/OB67)</f>
        <v>0</v>
      </c>
      <c r="OA68" s="37">
        <f t="shared" si="220"/>
        <v>0</v>
      </c>
      <c r="OB68" s="36">
        <f>COUNTIF(AV68:CK68,"x")</f>
        <v>0</v>
      </c>
      <c r="OC68" s="81"/>
      <c r="OD68" s="32" t="str">
        <f>IF(OF68=0,"0",OF68/OF67)</f>
        <v>0</v>
      </c>
      <c r="OE68" s="37">
        <f t="shared" si="221"/>
        <v>0</v>
      </c>
      <c r="OF68" s="36">
        <f>COUNTIF(CL68:EA68,"x")</f>
        <v>0</v>
      </c>
      <c r="OG68" s="81"/>
      <c r="OH68" s="32" t="str">
        <f>IF(OJ68=0,"0",OJ68/OJ67)</f>
        <v>0</v>
      </c>
      <c r="OI68" s="37">
        <f t="shared" si="222"/>
        <v>0</v>
      </c>
      <c r="OJ68" s="36">
        <f>COUNTIF(EB68:FQ68,"x")</f>
        <v>0</v>
      </c>
      <c r="OK68" s="74"/>
      <c r="OL68" s="32" t="str">
        <f>IF(ON68=0,"0",ON68/ON67)</f>
        <v>0</v>
      </c>
      <c r="OM68" s="37">
        <f t="shared" si="223"/>
        <v>0</v>
      </c>
      <c r="ON68" s="36">
        <f>COUNTIF(FR68:HG68,"x")</f>
        <v>0</v>
      </c>
      <c r="OO68" s="74"/>
      <c r="OP68" s="32" t="str">
        <f>IF(OR68=0,"0",OR68/OR67)</f>
        <v>0</v>
      </c>
      <c r="OQ68" s="37">
        <f t="shared" si="224"/>
        <v>0</v>
      </c>
      <c r="OR68" s="36">
        <f>COUNTIF(HH68:IW68,"x")</f>
        <v>0</v>
      </c>
      <c r="OS68" s="74"/>
      <c r="OT68" s="32" t="str">
        <f>IF(OV68=0,"0",OV68/OV67)</f>
        <v>0</v>
      </c>
      <c r="OU68" s="37">
        <f t="shared" si="225"/>
        <v>0</v>
      </c>
      <c r="OV68" s="36">
        <f>COUNTIF(IX68:KM68,"x")</f>
        <v>0</v>
      </c>
      <c r="OW68" s="74"/>
      <c r="OX68" s="32" t="str">
        <f>IF(OZ68=0,"0",OZ68/OZ67)</f>
        <v>0</v>
      </c>
      <c r="OY68" s="37">
        <f t="shared" si="226"/>
        <v>0</v>
      </c>
      <c r="OZ68" s="36">
        <f>COUNTIF(KN68:MC68,"x")</f>
        <v>0</v>
      </c>
      <c r="PA68" s="74"/>
      <c r="PB68" s="32" t="str">
        <f>IF(PD68=0,"0",PD68/PD67)</f>
        <v>0</v>
      </c>
      <c r="PC68" s="37">
        <f t="shared" si="227"/>
        <v>0</v>
      </c>
      <c r="PD68" s="36">
        <f>COUNTIF(MD68:NS68,"x")</f>
        <v>0</v>
      </c>
      <c r="PE68" s="74"/>
    </row>
    <row r="69" spans="3:421" ht="15.75" customHeight="1" outlineLevel="1" x14ac:dyDescent="0.25">
      <c r="C69" s="88" t="s">
        <v>67</v>
      </c>
      <c r="D69" s="90" t="s">
        <v>109</v>
      </c>
      <c r="E69" s="53" t="s">
        <v>8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69"/>
      <c r="Q69" s="33"/>
      <c r="R69" s="33"/>
      <c r="S69" s="33"/>
      <c r="T69" s="33"/>
      <c r="U69" s="33"/>
      <c r="V69" s="33"/>
      <c r="W69" s="69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  <c r="HI69" s="33"/>
      <c r="HJ69" s="33"/>
      <c r="HK69" s="33"/>
      <c r="HL69" s="33"/>
      <c r="HM69" s="33"/>
      <c r="HN69" s="33"/>
      <c r="HO69" s="33"/>
      <c r="HP69" s="33"/>
      <c r="HQ69" s="33"/>
      <c r="HR69" s="33"/>
      <c r="HS69" s="33"/>
      <c r="HT69" s="33"/>
      <c r="HU69" s="33"/>
      <c r="HV69" s="33"/>
      <c r="HW69" s="33"/>
      <c r="HX69" s="33"/>
      <c r="HY69" s="33"/>
      <c r="HZ69" s="33"/>
      <c r="IA69" s="33"/>
      <c r="IB69" s="33"/>
      <c r="IC69" s="33"/>
      <c r="ID69" s="33"/>
      <c r="IE69" s="33"/>
      <c r="IF69" s="33"/>
      <c r="IG69" s="33"/>
      <c r="IH69" s="33"/>
      <c r="II69" s="33"/>
      <c r="IJ69" s="33"/>
      <c r="IK69" s="33"/>
      <c r="IL69" s="33"/>
      <c r="IM69" s="33"/>
      <c r="IN69" s="33"/>
      <c r="IO69" s="33"/>
      <c r="IP69" s="33"/>
      <c r="IQ69" s="33"/>
      <c r="IR69" s="33"/>
      <c r="IS69" s="33"/>
      <c r="IT69" s="33"/>
      <c r="IU69" s="33"/>
      <c r="IV69" s="33"/>
      <c r="IW69" s="33"/>
      <c r="IX69" s="33"/>
      <c r="IY69" s="33"/>
      <c r="IZ69" s="33"/>
      <c r="JA69" s="33"/>
      <c r="JB69" s="33"/>
      <c r="JC69" s="33"/>
      <c r="JD69" s="33"/>
      <c r="JE69" s="33"/>
      <c r="JF69" s="33"/>
      <c r="JG69" s="33"/>
      <c r="JH69" s="33"/>
      <c r="JI69" s="33"/>
      <c r="JJ69" s="33"/>
      <c r="JK69" s="33"/>
      <c r="JL69" s="33"/>
      <c r="JM69" s="33"/>
      <c r="JN69" s="33"/>
      <c r="JO69" s="33"/>
      <c r="JP69" s="33"/>
      <c r="JQ69" s="33"/>
      <c r="JR69" s="33"/>
      <c r="JS69" s="33"/>
      <c r="JT69" s="33"/>
      <c r="JU69" s="33"/>
      <c r="JV69" s="33"/>
      <c r="JW69" s="33"/>
      <c r="JX69" s="33"/>
      <c r="JY69" s="33"/>
      <c r="JZ69" s="33"/>
      <c r="KA69" s="33"/>
      <c r="KB69" s="33"/>
      <c r="KC69" s="33"/>
      <c r="KD69" s="33"/>
      <c r="KE69" s="33"/>
      <c r="KF69" s="33"/>
      <c r="KG69" s="33"/>
      <c r="KH69" s="33"/>
      <c r="KI69" s="33"/>
      <c r="KJ69" s="33"/>
      <c r="KK69" s="33"/>
      <c r="KL69" s="33"/>
      <c r="KM69" s="33"/>
      <c r="KN69" s="33"/>
      <c r="KO69" s="33"/>
      <c r="KP69" s="33"/>
      <c r="KQ69" s="33"/>
      <c r="KR69" s="33"/>
      <c r="KS69" s="33"/>
      <c r="KT69" s="33"/>
      <c r="KU69" s="33"/>
      <c r="KV69" s="33"/>
      <c r="KW69" s="33"/>
      <c r="KX69" s="33"/>
      <c r="KY69" s="33"/>
      <c r="KZ69" s="33"/>
      <c r="LA69" s="33"/>
      <c r="LB69" s="33"/>
      <c r="LC69" s="33"/>
      <c r="LD69" s="33"/>
      <c r="LE69" s="33"/>
      <c r="LF69" s="33"/>
      <c r="LG69" s="33"/>
      <c r="LH69" s="33"/>
      <c r="LI69" s="33"/>
      <c r="LJ69" s="33"/>
      <c r="LK69" s="33"/>
      <c r="LL69" s="33"/>
      <c r="LM69" s="33"/>
      <c r="LN69" s="33"/>
      <c r="LO69" s="33"/>
      <c r="LP69" s="33"/>
      <c r="LQ69" s="33"/>
      <c r="LR69" s="33"/>
      <c r="LS69" s="33"/>
      <c r="LT69" s="33"/>
      <c r="LU69" s="33"/>
      <c r="LV69" s="33"/>
      <c r="LW69" s="33"/>
      <c r="LX69" s="33"/>
      <c r="LY69" s="33"/>
      <c r="LZ69" s="33"/>
      <c r="MA69" s="33"/>
      <c r="MB69" s="33"/>
      <c r="MC69" s="33"/>
      <c r="MD69" s="33"/>
      <c r="ME69" s="33"/>
      <c r="MF69" s="33"/>
      <c r="MG69" s="33"/>
      <c r="MH69" s="33"/>
      <c r="MI69" s="33"/>
      <c r="MJ69" s="33"/>
      <c r="MK69" s="33"/>
      <c r="ML69" s="33"/>
      <c r="MM69" s="33"/>
      <c r="MN69" s="33"/>
      <c r="MO69" s="33"/>
      <c r="MP69" s="33"/>
      <c r="MQ69" s="33"/>
      <c r="MR69" s="33"/>
      <c r="MS69" s="33"/>
      <c r="MT69" s="33"/>
      <c r="MU69" s="33"/>
      <c r="MV69" s="33"/>
      <c r="MW69" s="33"/>
      <c r="MX69" s="33"/>
      <c r="MY69" s="33"/>
      <c r="MZ69" s="33"/>
      <c r="NA69" s="33"/>
      <c r="NB69" s="33"/>
      <c r="NC69" s="33"/>
      <c r="ND69" s="33"/>
      <c r="NE69" s="33"/>
      <c r="NF69" s="33"/>
      <c r="NG69" s="33"/>
      <c r="NH69" s="33"/>
      <c r="NI69" s="33"/>
      <c r="NJ69" s="33"/>
      <c r="NK69" s="33"/>
      <c r="NL69" s="33"/>
      <c r="NM69" s="33"/>
      <c r="NN69" s="33"/>
      <c r="NO69" s="33"/>
      <c r="NP69" s="33"/>
      <c r="NQ69" s="33"/>
      <c r="NR69" s="33"/>
      <c r="NS69" s="33"/>
      <c r="NT69" s="31">
        <f>COUNTIF(F69:NS69,"1")</f>
        <v>0</v>
      </c>
      <c r="NU69" s="80" t="e">
        <f>NT70/NT69</f>
        <v>#DIV/0!</v>
      </c>
      <c r="NV69" s="29">
        <f>+IF(NX69&gt;=1,"1",0)</f>
        <v>0</v>
      </c>
      <c r="NW69" s="38">
        <f t="shared" si="219"/>
        <v>1</v>
      </c>
      <c r="NX69" s="35">
        <f>COUNTIF(F69:AU69,"1")</f>
        <v>0</v>
      </c>
      <c r="NY69" s="80" t="e">
        <f>NX70/NX69</f>
        <v>#DIV/0!</v>
      </c>
      <c r="NZ69" s="29">
        <f>+IF(OB69&gt;=1,"1",0)</f>
        <v>0</v>
      </c>
      <c r="OA69" s="38">
        <f t="shared" si="220"/>
        <v>1</v>
      </c>
      <c r="OB69" s="35">
        <f>COUNTIF(AV69:CK69,"1")</f>
        <v>0</v>
      </c>
      <c r="OC69" s="80" t="e">
        <f>OB70/OB69</f>
        <v>#DIV/0!</v>
      </c>
      <c r="OD69" s="29">
        <f>+IF(OF69&gt;=1,"1",0)</f>
        <v>0</v>
      </c>
      <c r="OE69" s="38">
        <f t="shared" si="221"/>
        <v>1</v>
      </c>
      <c r="OF69" s="35">
        <f>COUNTIF(CL69:EA69,"1")</f>
        <v>0</v>
      </c>
      <c r="OG69" s="80" t="e">
        <f>OF70/OF69</f>
        <v>#DIV/0!</v>
      </c>
      <c r="OH69" s="29">
        <f>+IF(OJ69&gt;=1,"1",0)</f>
        <v>0</v>
      </c>
      <c r="OI69" s="38">
        <f t="shared" si="222"/>
        <v>1</v>
      </c>
      <c r="OJ69" s="35">
        <f>COUNTIF(EB69:FQ69,"1")</f>
        <v>0</v>
      </c>
      <c r="OK69" s="79" t="e">
        <f>OJ70/OJ69</f>
        <v>#DIV/0!</v>
      </c>
      <c r="OL69" s="29">
        <f>+IF(ON69&gt;=1,"1",0)</f>
        <v>0</v>
      </c>
      <c r="OM69" s="38">
        <f t="shared" si="223"/>
        <v>1</v>
      </c>
      <c r="ON69" s="35">
        <f>COUNTIF(FR69:HG69,"1")</f>
        <v>0</v>
      </c>
      <c r="OO69" s="79" t="e">
        <f>ON70/ON69</f>
        <v>#DIV/0!</v>
      </c>
      <c r="OP69" s="29">
        <f>+IF(OR69&gt;=1,"1",0)</f>
        <v>0</v>
      </c>
      <c r="OQ69" s="38">
        <f t="shared" si="224"/>
        <v>1</v>
      </c>
      <c r="OR69" s="35">
        <f>COUNTIF(HH69:IW69,"1")</f>
        <v>0</v>
      </c>
      <c r="OS69" s="79" t="e">
        <f>OR70/OR69</f>
        <v>#DIV/0!</v>
      </c>
      <c r="OT69" s="29">
        <f>+IF(OV69&gt;=1,"1",0)</f>
        <v>0</v>
      </c>
      <c r="OU69" s="38">
        <f t="shared" si="225"/>
        <v>1</v>
      </c>
      <c r="OV69" s="35">
        <f>COUNTIF(IX69:KM69,"1")</f>
        <v>0</v>
      </c>
      <c r="OW69" s="79" t="e">
        <f>OV70/OV69</f>
        <v>#DIV/0!</v>
      </c>
      <c r="OX69" s="29">
        <f>+IF(OZ69&gt;=1,"1",0)</f>
        <v>0</v>
      </c>
      <c r="OY69" s="38">
        <f t="shared" si="226"/>
        <v>1</v>
      </c>
      <c r="OZ69" s="35">
        <f>COUNTIF(KN69:MC69,"1")</f>
        <v>0</v>
      </c>
      <c r="PA69" s="79" t="e">
        <f>OZ70/OZ69</f>
        <v>#DIV/0!</v>
      </c>
      <c r="PB69" s="29">
        <f>+IF(PD69&gt;=1,"1",0)</f>
        <v>0</v>
      </c>
      <c r="PC69" s="38">
        <f t="shared" si="227"/>
        <v>1</v>
      </c>
      <c r="PD69" s="35">
        <f>COUNTIF(MD69:NS69,"1")</f>
        <v>0</v>
      </c>
      <c r="PE69" s="79" t="e">
        <f>PD70/PD69</f>
        <v>#DIV/0!</v>
      </c>
    </row>
    <row r="70" spans="3:421" ht="15.75" customHeight="1" outlineLevel="1" thickBot="1" x14ac:dyDescent="0.3">
      <c r="C70" s="89"/>
      <c r="D70" s="91"/>
      <c r="E70" s="54" t="s">
        <v>9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70"/>
      <c r="Q70" s="34"/>
      <c r="R70" s="34"/>
      <c r="S70" s="34"/>
      <c r="T70" s="34"/>
      <c r="U70" s="34"/>
      <c r="V70" s="34"/>
      <c r="W70" s="70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  <c r="GX70" s="34"/>
      <c r="GY70" s="34"/>
      <c r="GZ70" s="34"/>
      <c r="HA70" s="34"/>
      <c r="HB70" s="34"/>
      <c r="HC70" s="34"/>
      <c r="HD70" s="34"/>
      <c r="HE70" s="34"/>
      <c r="HF70" s="34"/>
      <c r="HG70" s="34"/>
      <c r="HH70" s="34"/>
      <c r="HI70" s="34"/>
      <c r="HJ70" s="34"/>
      <c r="HK70" s="34"/>
      <c r="HL70" s="34"/>
      <c r="HM70" s="34"/>
      <c r="HN70" s="34"/>
      <c r="HO70" s="34"/>
      <c r="HP70" s="34"/>
      <c r="HQ70" s="34"/>
      <c r="HR70" s="34"/>
      <c r="HS70" s="34"/>
      <c r="HT70" s="34"/>
      <c r="HU70" s="34"/>
      <c r="HV70" s="34"/>
      <c r="HW70" s="34"/>
      <c r="HX70" s="34"/>
      <c r="HY70" s="34"/>
      <c r="HZ70" s="34"/>
      <c r="IA70" s="34"/>
      <c r="IB70" s="34"/>
      <c r="IC70" s="34"/>
      <c r="ID70" s="34"/>
      <c r="IE70" s="34"/>
      <c r="IF70" s="34"/>
      <c r="IG70" s="34"/>
      <c r="IH70" s="34"/>
      <c r="II70" s="34"/>
      <c r="IJ70" s="34"/>
      <c r="IK70" s="34"/>
      <c r="IL70" s="34"/>
      <c r="IM70" s="34"/>
      <c r="IN70" s="34"/>
      <c r="IO70" s="34"/>
      <c r="IP70" s="34"/>
      <c r="IQ70" s="34"/>
      <c r="IR70" s="34"/>
      <c r="IS70" s="34"/>
      <c r="IT70" s="34"/>
      <c r="IU70" s="34"/>
      <c r="IV70" s="34"/>
      <c r="IW70" s="34"/>
      <c r="IX70" s="34"/>
      <c r="IY70" s="34"/>
      <c r="IZ70" s="34"/>
      <c r="JA70" s="34"/>
      <c r="JB70" s="34"/>
      <c r="JC70" s="34"/>
      <c r="JD70" s="34"/>
      <c r="JE70" s="34"/>
      <c r="JF70" s="34"/>
      <c r="JG70" s="34"/>
      <c r="JH70" s="34"/>
      <c r="JI70" s="34"/>
      <c r="JJ70" s="34"/>
      <c r="JK70" s="34"/>
      <c r="JL70" s="34"/>
      <c r="JM70" s="34"/>
      <c r="JN70" s="34"/>
      <c r="JO70" s="34"/>
      <c r="JP70" s="34"/>
      <c r="JQ70" s="34"/>
      <c r="JR70" s="34"/>
      <c r="JS70" s="34"/>
      <c r="JT70" s="34"/>
      <c r="JU70" s="34"/>
      <c r="JV70" s="34"/>
      <c r="JW70" s="34"/>
      <c r="JX70" s="34"/>
      <c r="JY70" s="34"/>
      <c r="JZ70" s="34"/>
      <c r="KA70" s="34"/>
      <c r="KB70" s="34"/>
      <c r="KC70" s="34"/>
      <c r="KD70" s="34"/>
      <c r="KE70" s="34"/>
      <c r="KF70" s="34"/>
      <c r="KG70" s="34"/>
      <c r="KH70" s="34"/>
      <c r="KI70" s="34"/>
      <c r="KJ70" s="34"/>
      <c r="KK70" s="34"/>
      <c r="KL70" s="34"/>
      <c r="KM70" s="34"/>
      <c r="KN70" s="34"/>
      <c r="KO70" s="34"/>
      <c r="KP70" s="34"/>
      <c r="KQ70" s="34"/>
      <c r="KR70" s="34"/>
      <c r="KS70" s="34"/>
      <c r="KT70" s="34"/>
      <c r="KU70" s="34"/>
      <c r="KV70" s="34"/>
      <c r="KW70" s="34"/>
      <c r="KX70" s="34"/>
      <c r="KY70" s="34"/>
      <c r="KZ70" s="34"/>
      <c r="LA70" s="34"/>
      <c r="LB70" s="34"/>
      <c r="LC70" s="34"/>
      <c r="LD70" s="34"/>
      <c r="LE70" s="34"/>
      <c r="LF70" s="34"/>
      <c r="LG70" s="34"/>
      <c r="LH70" s="34"/>
      <c r="LI70" s="34"/>
      <c r="LJ70" s="34"/>
      <c r="LK70" s="34"/>
      <c r="LL70" s="34"/>
      <c r="LM70" s="34"/>
      <c r="LN70" s="34"/>
      <c r="LO70" s="34"/>
      <c r="LP70" s="34"/>
      <c r="LQ70" s="34"/>
      <c r="LR70" s="34"/>
      <c r="LS70" s="34"/>
      <c r="LT70" s="34"/>
      <c r="LU70" s="34"/>
      <c r="LV70" s="34"/>
      <c r="LW70" s="34"/>
      <c r="LX70" s="34"/>
      <c r="LY70" s="34"/>
      <c r="LZ70" s="34"/>
      <c r="MA70" s="34"/>
      <c r="MB70" s="34"/>
      <c r="MC70" s="34"/>
      <c r="MD70" s="34"/>
      <c r="ME70" s="34"/>
      <c r="MF70" s="34"/>
      <c r="MG70" s="34"/>
      <c r="MH70" s="34"/>
      <c r="MI70" s="34"/>
      <c r="MJ70" s="34"/>
      <c r="MK70" s="34"/>
      <c r="ML70" s="34"/>
      <c r="MM70" s="34"/>
      <c r="MN70" s="34"/>
      <c r="MO70" s="34"/>
      <c r="MP70" s="34"/>
      <c r="MQ70" s="34"/>
      <c r="MR70" s="34"/>
      <c r="MS70" s="34"/>
      <c r="MT70" s="34"/>
      <c r="MU70" s="34"/>
      <c r="MV70" s="34"/>
      <c r="MW70" s="34"/>
      <c r="MX70" s="34"/>
      <c r="MY70" s="34"/>
      <c r="MZ70" s="34"/>
      <c r="NA70" s="34"/>
      <c r="NB70" s="34"/>
      <c r="NC70" s="34"/>
      <c r="ND70" s="34"/>
      <c r="NE70" s="34"/>
      <c r="NF70" s="34"/>
      <c r="NG70" s="34"/>
      <c r="NH70" s="34"/>
      <c r="NI70" s="34"/>
      <c r="NJ70" s="34"/>
      <c r="NK70" s="34"/>
      <c r="NL70" s="34"/>
      <c r="NM70" s="34"/>
      <c r="NN70" s="34"/>
      <c r="NO70" s="34"/>
      <c r="NP70" s="34"/>
      <c r="NQ70" s="34"/>
      <c r="NR70" s="34"/>
      <c r="NS70" s="34"/>
      <c r="NT70" s="7">
        <f>COUNTIF(F70:NS70,"x")</f>
        <v>0</v>
      </c>
      <c r="NU70" s="81"/>
      <c r="NV70" s="32" t="str">
        <f>IF(NX70=0,"0",NX70/NX69)</f>
        <v>0</v>
      </c>
      <c r="NW70" s="37">
        <f t="shared" si="219"/>
        <v>0</v>
      </c>
      <c r="NX70" s="36">
        <f>COUNTIF(F70:AU70,"x")</f>
        <v>0</v>
      </c>
      <c r="NY70" s="81"/>
      <c r="NZ70" s="32" t="str">
        <f>IF(OB70=0,"0",OB70/OB69)</f>
        <v>0</v>
      </c>
      <c r="OA70" s="37">
        <f t="shared" si="220"/>
        <v>0</v>
      </c>
      <c r="OB70" s="36">
        <f>COUNTIF(AV70:CK70,"x")</f>
        <v>0</v>
      </c>
      <c r="OC70" s="81"/>
      <c r="OD70" s="32" t="str">
        <f>IF(OF70=0,"0",OF70/OF69)</f>
        <v>0</v>
      </c>
      <c r="OE70" s="37">
        <f t="shared" si="221"/>
        <v>0</v>
      </c>
      <c r="OF70" s="36">
        <f>COUNTIF(CL70:EA70,"x")</f>
        <v>0</v>
      </c>
      <c r="OG70" s="81"/>
      <c r="OH70" s="32" t="str">
        <f>IF(OJ70=0,"0",OJ70/OJ69)</f>
        <v>0</v>
      </c>
      <c r="OI70" s="37">
        <f t="shared" si="222"/>
        <v>0</v>
      </c>
      <c r="OJ70" s="36">
        <f>COUNTIF(EB70:FQ70,"x")</f>
        <v>0</v>
      </c>
      <c r="OK70" s="74"/>
      <c r="OL70" s="32" t="str">
        <f>IF(ON70=0,"0",ON70/ON69)</f>
        <v>0</v>
      </c>
      <c r="OM70" s="37">
        <f t="shared" si="223"/>
        <v>0</v>
      </c>
      <c r="ON70" s="36">
        <f>COUNTIF(FR70:HG70,"x")</f>
        <v>0</v>
      </c>
      <c r="OO70" s="74"/>
      <c r="OP70" s="32" t="str">
        <f>IF(OR70=0,"0",OR70/OR69)</f>
        <v>0</v>
      </c>
      <c r="OQ70" s="37">
        <f t="shared" si="224"/>
        <v>0</v>
      </c>
      <c r="OR70" s="36">
        <f>COUNTIF(HH70:IW70,"x")</f>
        <v>0</v>
      </c>
      <c r="OS70" s="74"/>
      <c r="OT70" s="32" t="str">
        <f>IF(OV70=0,"0",OV70/OV69)</f>
        <v>0</v>
      </c>
      <c r="OU70" s="37">
        <f t="shared" si="225"/>
        <v>0</v>
      </c>
      <c r="OV70" s="36">
        <f>COUNTIF(IX70:KM70,"x")</f>
        <v>0</v>
      </c>
      <c r="OW70" s="74"/>
      <c r="OX70" s="32" t="str">
        <f>IF(OZ70=0,"0",OZ70/OZ69)</f>
        <v>0</v>
      </c>
      <c r="OY70" s="37">
        <f t="shared" si="226"/>
        <v>0</v>
      </c>
      <c r="OZ70" s="36">
        <f>COUNTIF(KN70:MC70,"x")</f>
        <v>0</v>
      </c>
      <c r="PA70" s="74"/>
      <c r="PB70" s="32" t="str">
        <f>IF(PD70=0,"0",PD70/PD69)</f>
        <v>0</v>
      </c>
      <c r="PC70" s="37">
        <f t="shared" si="227"/>
        <v>0</v>
      </c>
      <c r="PD70" s="36">
        <f>COUNTIF(MD70:NS70,"x")</f>
        <v>0</v>
      </c>
      <c r="PE70" s="74"/>
    </row>
    <row r="71" spans="3:421" ht="15.75" customHeight="1" outlineLevel="1" x14ac:dyDescent="0.25">
      <c r="C71" s="88" t="s">
        <v>68</v>
      </c>
      <c r="D71" s="90" t="s">
        <v>109</v>
      </c>
      <c r="E71" s="53" t="s">
        <v>8</v>
      </c>
      <c r="F71" s="33"/>
      <c r="G71" s="33"/>
      <c r="H71" s="33"/>
      <c r="I71" s="33"/>
      <c r="J71" s="33"/>
      <c r="K71" s="33"/>
      <c r="L71" s="33">
        <v>1</v>
      </c>
      <c r="M71" s="33"/>
      <c r="N71" s="33"/>
      <c r="O71" s="33"/>
      <c r="P71" s="69"/>
      <c r="Q71" s="33"/>
      <c r="R71" s="33">
        <v>1</v>
      </c>
      <c r="S71" s="33">
        <v>1</v>
      </c>
      <c r="T71" s="33">
        <v>1</v>
      </c>
      <c r="U71" s="33"/>
      <c r="V71" s="33"/>
      <c r="W71" s="69"/>
      <c r="X71" s="33"/>
      <c r="Y71" s="33">
        <v>1</v>
      </c>
      <c r="Z71" s="33">
        <v>1</v>
      </c>
      <c r="AA71" s="33">
        <v>1</v>
      </c>
      <c r="AB71" s="33"/>
      <c r="AC71" s="33"/>
      <c r="AD71" s="33"/>
      <c r="AE71" s="33">
        <v>1</v>
      </c>
      <c r="AF71" s="33">
        <v>1</v>
      </c>
      <c r="AG71" s="33">
        <v>1</v>
      </c>
      <c r="AH71" s="33"/>
      <c r="AI71" s="33"/>
      <c r="AJ71" s="33"/>
      <c r="AK71" s="33"/>
      <c r="AL71" s="33"/>
      <c r="AM71" s="33">
        <v>1</v>
      </c>
      <c r="AN71" s="33"/>
      <c r="AO71" s="33"/>
      <c r="AP71" s="33"/>
      <c r="AQ71" s="33"/>
      <c r="AR71" s="33">
        <v>1</v>
      </c>
      <c r="AS71" s="33">
        <v>1</v>
      </c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>
        <v>1</v>
      </c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  <c r="HI71" s="33"/>
      <c r="HJ71" s="33"/>
      <c r="HK71" s="33"/>
      <c r="HL71" s="33"/>
      <c r="HM71" s="33"/>
      <c r="HN71" s="33"/>
      <c r="HO71" s="33"/>
      <c r="HP71" s="33"/>
      <c r="HQ71" s="33"/>
      <c r="HR71" s="33"/>
      <c r="HS71" s="33"/>
      <c r="HT71" s="33"/>
      <c r="HU71" s="33"/>
      <c r="HV71" s="33"/>
      <c r="HW71" s="33"/>
      <c r="HX71" s="33"/>
      <c r="HY71" s="33"/>
      <c r="HZ71" s="33"/>
      <c r="IA71" s="33"/>
      <c r="IB71" s="33"/>
      <c r="IC71" s="33"/>
      <c r="ID71" s="33"/>
      <c r="IE71" s="33"/>
      <c r="IF71" s="33"/>
      <c r="IG71" s="33"/>
      <c r="IH71" s="33"/>
      <c r="II71" s="33"/>
      <c r="IJ71" s="33"/>
      <c r="IK71" s="33"/>
      <c r="IL71" s="33"/>
      <c r="IM71" s="33"/>
      <c r="IN71" s="33"/>
      <c r="IO71" s="33"/>
      <c r="IP71" s="33"/>
      <c r="IQ71" s="33"/>
      <c r="IR71" s="33"/>
      <c r="IS71" s="33"/>
      <c r="IT71" s="33"/>
      <c r="IU71" s="33"/>
      <c r="IV71" s="33"/>
      <c r="IW71" s="33"/>
      <c r="IX71" s="33"/>
      <c r="IY71" s="33"/>
      <c r="IZ71" s="33"/>
      <c r="JA71" s="33"/>
      <c r="JB71" s="33"/>
      <c r="JC71" s="33"/>
      <c r="JD71" s="33"/>
      <c r="JE71" s="33"/>
      <c r="JF71" s="33"/>
      <c r="JG71" s="33"/>
      <c r="JH71" s="33"/>
      <c r="JI71" s="33"/>
      <c r="JJ71" s="33"/>
      <c r="JK71" s="33"/>
      <c r="JL71" s="33"/>
      <c r="JM71" s="33"/>
      <c r="JN71" s="33"/>
      <c r="JO71" s="33"/>
      <c r="JP71" s="33"/>
      <c r="JQ71" s="33"/>
      <c r="JR71" s="33"/>
      <c r="JS71" s="33"/>
      <c r="JT71" s="33"/>
      <c r="JU71" s="33"/>
      <c r="JV71" s="33"/>
      <c r="JW71" s="33"/>
      <c r="JX71" s="33"/>
      <c r="JY71" s="33"/>
      <c r="JZ71" s="33"/>
      <c r="KA71" s="33"/>
      <c r="KB71" s="33"/>
      <c r="KC71" s="33"/>
      <c r="KD71" s="33"/>
      <c r="KE71" s="33"/>
      <c r="KF71" s="33"/>
      <c r="KG71" s="33"/>
      <c r="KH71" s="33"/>
      <c r="KI71" s="33"/>
      <c r="KJ71" s="33"/>
      <c r="KK71" s="33"/>
      <c r="KL71" s="33"/>
      <c r="KM71" s="33"/>
      <c r="KN71" s="33"/>
      <c r="KO71" s="33"/>
      <c r="KP71" s="33"/>
      <c r="KQ71" s="33"/>
      <c r="KR71" s="33"/>
      <c r="KS71" s="33"/>
      <c r="KT71" s="33"/>
      <c r="KU71" s="33"/>
      <c r="KV71" s="33"/>
      <c r="KW71" s="33"/>
      <c r="KX71" s="33"/>
      <c r="KY71" s="33"/>
      <c r="KZ71" s="33"/>
      <c r="LA71" s="33"/>
      <c r="LB71" s="33"/>
      <c r="LC71" s="33"/>
      <c r="LD71" s="33"/>
      <c r="LE71" s="33"/>
      <c r="LF71" s="33"/>
      <c r="LG71" s="33"/>
      <c r="LH71" s="33"/>
      <c r="LI71" s="33"/>
      <c r="LJ71" s="33"/>
      <c r="LK71" s="33"/>
      <c r="LL71" s="33"/>
      <c r="LM71" s="33"/>
      <c r="LN71" s="33"/>
      <c r="LO71" s="33"/>
      <c r="LP71" s="33"/>
      <c r="LQ71" s="33"/>
      <c r="LR71" s="33"/>
      <c r="LS71" s="33"/>
      <c r="LT71" s="33"/>
      <c r="LU71" s="33"/>
      <c r="LV71" s="33"/>
      <c r="LW71" s="33"/>
      <c r="LX71" s="33"/>
      <c r="LY71" s="33"/>
      <c r="LZ71" s="33"/>
      <c r="MA71" s="33"/>
      <c r="MB71" s="33"/>
      <c r="MC71" s="33"/>
      <c r="MD71" s="33"/>
      <c r="ME71" s="33"/>
      <c r="MF71" s="33"/>
      <c r="MG71" s="33"/>
      <c r="MH71" s="33"/>
      <c r="MI71" s="33"/>
      <c r="MJ71" s="33"/>
      <c r="MK71" s="33"/>
      <c r="ML71" s="33"/>
      <c r="MM71" s="33"/>
      <c r="MN71" s="33"/>
      <c r="MO71" s="33"/>
      <c r="MP71" s="33"/>
      <c r="MQ71" s="33"/>
      <c r="MR71" s="33"/>
      <c r="MS71" s="33"/>
      <c r="MT71" s="33"/>
      <c r="MU71" s="33"/>
      <c r="MV71" s="33"/>
      <c r="MW71" s="33"/>
      <c r="MX71" s="33"/>
      <c r="MY71" s="33"/>
      <c r="MZ71" s="33"/>
      <c r="NA71" s="33"/>
      <c r="NB71" s="33"/>
      <c r="NC71" s="33"/>
      <c r="ND71" s="33"/>
      <c r="NE71" s="33"/>
      <c r="NF71" s="33"/>
      <c r="NG71" s="33"/>
      <c r="NH71" s="33"/>
      <c r="NI71" s="33"/>
      <c r="NJ71" s="33"/>
      <c r="NK71" s="33"/>
      <c r="NL71" s="33"/>
      <c r="NM71" s="33"/>
      <c r="NN71" s="33"/>
      <c r="NO71" s="33"/>
      <c r="NP71" s="33"/>
      <c r="NQ71" s="33"/>
      <c r="NR71" s="33"/>
      <c r="NS71" s="33"/>
      <c r="NT71" s="31">
        <f>COUNTIF(F71:NS71,"1")</f>
        <v>14</v>
      </c>
      <c r="NU71" s="80">
        <f>NT72/NT71</f>
        <v>0.9285714285714286</v>
      </c>
      <c r="NV71" s="29" t="str">
        <f>+IF(NX71&gt;=1,"1",0)</f>
        <v>1</v>
      </c>
      <c r="NW71" s="38">
        <f t="shared" si="219"/>
        <v>1</v>
      </c>
      <c r="NX71" s="35">
        <f>COUNTIF(F71:AU71,"1")</f>
        <v>13</v>
      </c>
      <c r="NY71" s="80">
        <f>NX72/NX71</f>
        <v>1</v>
      </c>
      <c r="NZ71" s="29" t="str">
        <f>+IF(OB71&gt;=1,"1",0)</f>
        <v>1</v>
      </c>
      <c r="OA71" s="38">
        <f t="shared" si="220"/>
        <v>1</v>
      </c>
      <c r="OB71" s="35">
        <f>COUNTIF(AV71:CK71,"1")</f>
        <v>1</v>
      </c>
      <c r="OC71" s="80">
        <f>OB72/OB71</f>
        <v>0</v>
      </c>
      <c r="OD71" s="29">
        <f>+IF(OF71&gt;=1,"1",0)</f>
        <v>0</v>
      </c>
      <c r="OE71" s="38">
        <f t="shared" si="221"/>
        <v>1</v>
      </c>
      <c r="OF71" s="35">
        <f>COUNTIF(CL71:EA71,"1")</f>
        <v>0</v>
      </c>
      <c r="OG71" s="80" t="e">
        <f>OF72/OF71</f>
        <v>#DIV/0!</v>
      </c>
      <c r="OH71" s="29">
        <f>+IF(OJ71&gt;=1,"1",0)</f>
        <v>0</v>
      </c>
      <c r="OI71" s="38">
        <f t="shared" si="222"/>
        <v>1</v>
      </c>
      <c r="OJ71" s="35">
        <f>COUNTIF(EB71:FQ71,"1")</f>
        <v>0</v>
      </c>
      <c r="OK71" s="79" t="e">
        <f>OJ72/OJ71</f>
        <v>#DIV/0!</v>
      </c>
      <c r="OL71" s="29">
        <f>+IF(ON71&gt;=1,"1",0)</f>
        <v>0</v>
      </c>
      <c r="OM71" s="38">
        <f t="shared" si="223"/>
        <v>1</v>
      </c>
      <c r="ON71" s="35">
        <f>COUNTIF(FR71:HG71,"1")</f>
        <v>0</v>
      </c>
      <c r="OO71" s="79" t="e">
        <f>ON72/ON71</f>
        <v>#DIV/0!</v>
      </c>
      <c r="OP71" s="29">
        <f>+IF(OR71&gt;=1,"1",0)</f>
        <v>0</v>
      </c>
      <c r="OQ71" s="38">
        <f t="shared" si="224"/>
        <v>1</v>
      </c>
      <c r="OR71" s="35">
        <f>COUNTIF(HH71:IW71,"1")</f>
        <v>0</v>
      </c>
      <c r="OS71" s="79" t="e">
        <f>OR72/OR71</f>
        <v>#DIV/0!</v>
      </c>
      <c r="OT71" s="29">
        <f>+IF(OV71&gt;=1,"1",0)</f>
        <v>0</v>
      </c>
      <c r="OU71" s="38">
        <f t="shared" si="225"/>
        <v>1</v>
      </c>
      <c r="OV71" s="35">
        <f>COUNTIF(IX71:KM71,"1")</f>
        <v>0</v>
      </c>
      <c r="OW71" s="79" t="e">
        <f>OV72/OV71</f>
        <v>#DIV/0!</v>
      </c>
      <c r="OX71" s="29">
        <f>+IF(OZ71&gt;=1,"1",0)</f>
        <v>0</v>
      </c>
      <c r="OY71" s="38">
        <f t="shared" si="226"/>
        <v>1</v>
      </c>
      <c r="OZ71" s="35">
        <f>COUNTIF(KN71:MC71,"1")</f>
        <v>0</v>
      </c>
      <c r="PA71" s="79" t="e">
        <f>OZ72/OZ71</f>
        <v>#DIV/0!</v>
      </c>
      <c r="PB71" s="29">
        <f>+IF(PD71&gt;=1,"1",0)</f>
        <v>0</v>
      </c>
      <c r="PC71" s="38">
        <f t="shared" si="227"/>
        <v>1</v>
      </c>
      <c r="PD71" s="35">
        <f>COUNTIF(MD71:NS71,"1")</f>
        <v>0</v>
      </c>
      <c r="PE71" s="79" t="e">
        <f>PD72/PD71</f>
        <v>#DIV/0!</v>
      </c>
    </row>
    <row r="72" spans="3:421" ht="15.75" customHeight="1" outlineLevel="1" thickBot="1" x14ac:dyDescent="0.3">
      <c r="C72" s="89"/>
      <c r="D72" s="91"/>
      <c r="E72" s="54" t="s">
        <v>9</v>
      </c>
      <c r="F72" s="34"/>
      <c r="G72" s="34"/>
      <c r="H72" s="34"/>
      <c r="I72" s="34"/>
      <c r="J72" s="34"/>
      <c r="K72" s="34"/>
      <c r="L72" s="34" t="s">
        <v>75</v>
      </c>
      <c r="M72" s="34"/>
      <c r="N72" s="34"/>
      <c r="O72" s="34"/>
      <c r="P72" s="70"/>
      <c r="Q72" s="34"/>
      <c r="R72" s="34" t="s">
        <v>75</v>
      </c>
      <c r="S72" s="34" t="s">
        <v>75</v>
      </c>
      <c r="T72" s="34" t="s">
        <v>75</v>
      </c>
      <c r="U72" s="34"/>
      <c r="V72" s="34"/>
      <c r="W72" s="70"/>
      <c r="X72" s="34"/>
      <c r="Y72" s="34" t="s">
        <v>75</v>
      </c>
      <c r="Z72" s="34" t="s">
        <v>75</v>
      </c>
      <c r="AA72" s="34" t="s">
        <v>75</v>
      </c>
      <c r="AB72" s="34"/>
      <c r="AC72" s="34"/>
      <c r="AD72" s="34"/>
      <c r="AE72" s="34" t="s">
        <v>75</v>
      </c>
      <c r="AF72" s="34" t="s">
        <v>75</v>
      </c>
      <c r="AG72" s="34" t="s">
        <v>75</v>
      </c>
      <c r="AH72" s="34"/>
      <c r="AI72" s="34"/>
      <c r="AJ72" s="34"/>
      <c r="AK72" s="34"/>
      <c r="AL72" s="34"/>
      <c r="AM72" s="34" t="s">
        <v>116</v>
      </c>
      <c r="AN72" s="34"/>
      <c r="AO72" s="34"/>
      <c r="AP72" s="34"/>
      <c r="AQ72" s="34"/>
      <c r="AR72" s="34" t="s">
        <v>116</v>
      </c>
      <c r="AS72" s="34" t="s">
        <v>116</v>
      </c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  <c r="HI72" s="34"/>
      <c r="HJ72" s="34"/>
      <c r="HK72" s="34"/>
      <c r="HL72" s="34"/>
      <c r="HM72" s="34"/>
      <c r="HN72" s="34"/>
      <c r="HO72" s="34"/>
      <c r="HP72" s="34"/>
      <c r="HQ72" s="34"/>
      <c r="HR72" s="34"/>
      <c r="HS72" s="34"/>
      <c r="HT72" s="34"/>
      <c r="HU72" s="34"/>
      <c r="HV72" s="34"/>
      <c r="HW72" s="34"/>
      <c r="HX72" s="34"/>
      <c r="HY72" s="34"/>
      <c r="HZ72" s="34"/>
      <c r="IA72" s="34"/>
      <c r="IB72" s="34"/>
      <c r="IC72" s="34"/>
      <c r="ID72" s="34"/>
      <c r="IE72" s="34"/>
      <c r="IF72" s="34"/>
      <c r="IG72" s="34"/>
      <c r="IH72" s="34"/>
      <c r="II72" s="34"/>
      <c r="IJ72" s="34"/>
      <c r="IK72" s="34"/>
      <c r="IL72" s="34"/>
      <c r="IM72" s="34"/>
      <c r="IN72" s="34"/>
      <c r="IO72" s="34"/>
      <c r="IP72" s="34"/>
      <c r="IQ72" s="34"/>
      <c r="IR72" s="34"/>
      <c r="IS72" s="34"/>
      <c r="IT72" s="34"/>
      <c r="IU72" s="34"/>
      <c r="IV72" s="34"/>
      <c r="IW72" s="34"/>
      <c r="IX72" s="34"/>
      <c r="IY72" s="34"/>
      <c r="IZ72" s="34"/>
      <c r="JA72" s="34"/>
      <c r="JB72" s="34"/>
      <c r="JC72" s="34"/>
      <c r="JD72" s="34"/>
      <c r="JE72" s="34"/>
      <c r="JF72" s="34"/>
      <c r="JG72" s="34"/>
      <c r="JH72" s="34"/>
      <c r="JI72" s="34"/>
      <c r="JJ72" s="34"/>
      <c r="JK72" s="34"/>
      <c r="JL72" s="34"/>
      <c r="JM72" s="34"/>
      <c r="JN72" s="34"/>
      <c r="JO72" s="34"/>
      <c r="JP72" s="34"/>
      <c r="JQ72" s="34"/>
      <c r="JR72" s="34"/>
      <c r="JS72" s="34"/>
      <c r="JT72" s="34"/>
      <c r="JU72" s="34"/>
      <c r="JV72" s="34"/>
      <c r="JW72" s="34"/>
      <c r="JX72" s="34"/>
      <c r="JY72" s="34"/>
      <c r="JZ72" s="34"/>
      <c r="KA72" s="34"/>
      <c r="KB72" s="34"/>
      <c r="KC72" s="34"/>
      <c r="KD72" s="34"/>
      <c r="KE72" s="34"/>
      <c r="KF72" s="34"/>
      <c r="KG72" s="34"/>
      <c r="KH72" s="34"/>
      <c r="KI72" s="34"/>
      <c r="KJ72" s="34"/>
      <c r="KK72" s="34"/>
      <c r="KL72" s="34"/>
      <c r="KM72" s="34"/>
      <c r="KN72" s="34"/>
      <c r="KO72" s="34"/>
      <c r="KP72" s="34"/>
      <c r="KQ72" s="34"/>
      <c r="KR72" s="34"/>
      <c r="KS72" s="34"/>
      <c r="KT72" s="34"/>
      <c r="KU72" s="34"/>
      <c r="KV72" s="34"/>
      <c r="KW72" s="34"/>
      <c r="KX72" s="34"/>
      <c r="KY72" s="34"/>
      <c r="KZ72" s="34"/>
      <c r="LA72" s="34"/>
      <c r="LB72" s="34"/>
      <c r="LC72" s="34"/>
      <c r="LD72" s="34"/>
      <c r="LE72" s="34"/>
      <c r="LF72" s="34"/>
      <c r="LG72" s="34"/>
      <c r="LH72" s="34"/>
      <c r="LI72" s="34"/>
      <c r="LJ72" s="34"/>
      <c r="LK72" s="34"/>
      <c r="LL72" s="34"/>
      <c r="LM72" s="34"/>
      <c r="LN72" s="34"/>
      <c r="LO72" s="34"/>
      <c r="LP72" s="34"/>
      <c r="LQ72" s="34"/>
      <c r="LR72" s="34"/>
      <c r="LS72" s="34"/>
      <c r="LT72" s="34"/>
      <c r="LU72" s="34"/>
      <c r="LV72" s="34"/>
      <c r="LW72" s="34"/>
      <c r="LX72" s="34"/>
      <c r="LY72" s="34"/>
      <c r="LZ72" s="34"/>
      <c r="MA72" s="34"/>
      <c r="MB72" s="34"/>
      <c r="MC72" s="34"/>
      <c r="MD72" s="34"/>
      <c r="ME72" s="34"/>
      <c r="MF72" s="34"/>
      <c r="MG72" s="34"/>
      <c r="MH72" s="34"/>
      <c r="MI72" s="34"/>
      <c r="MJ72" s="34"/>
      <c r="MK72" s="34"/>
      <c r="ML72" s="34"/>
      <c r="MM72" s="34"/>
      <c r="MN72" s="34"/>
      <c r="MO72" s="34"/>
      <c r="MP72" s="34"/>
      <c r="MQ72" s="34"/>
      <c r="MR72" s="34"/>
      <c r="MS72" s="34"/>
      <c r="MT72" s="34"/>
      <c r="MU72" s="34"/>
      <c r="MV72" s="34"/>
      <c r="MW72" s="34"/>
      <c r="MX72" s="34"/>
      <c r="MY72" s="34"/>
      <c r="MZ72" s="34"/>
      <c r="NA72" s="34"/>
      <c r="NB72" s="34"/>
      <c r="NC72" s="34"/>
      <c r="ND72" s="34"/>
      <c r="NE72" s="34"/>
      <c r="NF72" s="34"/>
      <c r="NG72" s="34"/>
      <c r="NH72" s="34"/>
      <c r="NI72" s="34"/>
      <c r="NJ72" s="34"/>
      <c r="NK72" s="34"/>
      <c r="NL72" s="34"/>
      <c r="NM72" s="34"/>
      <c r="NN72" s="34"/>
      <c r="NO72" s="34"/>
      <c r="NP72" s="34"/>
      <c r="NQ72" s="34"/>
      <c r="NR72" s="34"/>
      <c r="NS72" s="34"/>
      <c r="NT72" s="7">
        <f>COUNTIF(F72:NS72,"x")</f>
        <v>13</v>
      </c>
      <c r="NU72" s="81"/>
      <c r="NV72" s="32">
        <f>IF(NX72=0,"0",NX72/NX71)</f>
        <v>1</v>
      </c>
      <c r="NW72" s="37">
        <f t="shared" si="219"/>
        <v>0</v>
      </c>
      <c r="NX72" s="36">
        <f>COUNTIF(F72:AU72,"x")</f>
        <v>13</v>
      </c>
      <c r="NY72" s="81"/>
      <c r="NZ72" s="32" t="str">
        <f>IF(OB72=0,"0",OB72/OB71)</f>
        <v>0</v>
      </c>
      <c r="OA72" s="37">
        <f t="shared" si="220"/>
        <v>0</v>
      </c>
      <c r="OB72" s="36">
        <f>COUNTIF(AV72:CK72,"x")</f>
        <v>0</v>
      </c>
      <c r="OC72" s="81"/>
      <c r="OD72" s="32" t="str">
        <f>IF(OF72=0,"0",OF72/OF71)</f>
        <v>0</v>
      </c>
      <c r="OE72" s="37">
        <f t="shared" si="221"/>
        <v>0</v>
      </c>
      <c r="OF72" s="36">
        <f>COUNTIF(CL72:EA72,"x")</f>
        <v>0</v>
      </c>
      <c r="OG72" s="81"/>
      <c r="OH72" s="32" t="str">
        <f>IF(OJ72=0,"0",OJ72/OJ71)</f>
        <v>0</v>
      </c>
      <c r="OI72" s="37">
        <f t="shared" si="222"/>
        <v>0</v>
      </c>
      <c r="OJ72" s="36">
        <f>COUNTIF(EB72:FQ72,"x")</f>
        <v>0</v>
      </c>
      <c r="OK72" s="74"/>
      <c r="OL72" s="32" t="str">
        <f>IF(ON72=0,"0",ON72/ON71)</f>
        <v>0</v>
      </c>
      <c r="OM72" s="37">
        <f t="shared" si="223"/>
        <v>0</v>
      </c>
      <c r="ON72" s="36">
        <f>COUNTIF(FR72:HG72,"x")</f>
        <v>0</v>
      </c>
      <c r="OO72" s="74"/>
      <c r="OP72" s="32" t="str">
        <f>IF(OR72=0,"0",OR72/OR71)</f>
        <v>0</v>
      </c>
      <c r="OQ72" s="37">
        <f t="shared" si="224"/>
        <v>0</v>
      </c>
      <c r="OR72" s="36">
        <f>COUNTIF(HH72:IW72,"x")</f>
        <v>0</v>
      </c>
      <c r="OS72" s="74"/>
      <c r="OT72" s="32" t="str">
        <f>IF(OV72=0,"0",OV72/OV71)</f>
        <v>0</v>
      </c>
      <c r="OU72" s="37">
        <f t="shared" si="225"/>
        <v>0</v>
      </c>
      <c r="OV72" s="36">
        <f>COUNTIF(IX72:KM72,"x")</f>
        <v>0</v>
      </c>
      <c r="OW72" s="74"/>
      <c r="OX72" s="32" t="str">
        <f>IF(OZ72=0,"0",OZ72/OZ71)</f>
        <v>0</v>
      </c>
      <c r="OY72" s="37">
        <f t="shared" si="226"/>
        <v>0</v>
      </c>
      <c r="OZ72" s="36">
        <f>COUNTIF(KN72:MC72,"x")</f>
        <v>0</v>
      </c>
      <c r="PA72" s="74"/>
      <c r="PB72" s="32" t="str">
        <f>IF(PD72=0,"0",PD72/PD71)</f>
        <v>0</v>
      </c>
      <c r="PC72" s="37">
        <f t="shared" si="227"/>
        <v>0</v>
      </c>
      <c r="PD72" s="36">
        <f>COUNTIF(MD72:NS72,"x")</f>
        <v>0</v>
      </c>
      <c r="PE72" s="74"/>
    </row>
    <row r="73" spans="3:421" ht="15.75" customHeight="1" outlineLevel="1" x14ac:dyDescent="0.25">
      <c r="C73" s="88" t="s">
        <v>57</v>
      </c>
      <c r="D73" s="90" t="s">
        <v>109</v>
      </c>
      <c r="E73" s="53" t="s">
        <v>8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69"/>
      <c r="Q73" s="33"/>
      <c r="R73" s="33"/>
      <c r="S73" s="33"/>
      <c r="T73" s="33"/>
      <c r="U73" s="33"/>
      <c r="V73" s="33"/>
      <c r="W73" s="69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>
        <v>1</v>
      </c>
      <c r="BN73" s="33">
        <v>1</v>
      </c>
      <c r="BO73" s="33"/>
      <c r="BP73" s="33"/>
      <c r="BQ73" s="33"/>
      <c r="BR73" s="33"/>
      <c r="BS73" s="33"/>
      <c r="BT73" s="33">
        <v>1</v>
      </c>
      <c r="BU73" s="33">
        <v>1</v>
      </c>
      <c r="BV73" s="33"/>
      <c r="BW73" s="33"/>
      <c r="BX73" s="33"/>
      <c r="BY73" s="33"/>
      <c r="BZ73" s="33"/>
      <c r="CA73" s="33">
        <v>1</v>
      </c>
      <c r="CB73" s="33">
        <v>1</v>
      </c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  <c r="HI73" s="33"/>
      <c r="HJ73" s="33"/>
      <c r="HK73" s="33"/>
      <c r="HL73" s="33"/>
      <c r="HM73" s="33"/>
      <c r="HN73" s="33"/>
      <c r="HO73" s="33"/>
      <c r="HP73" s="33"/>
      <c r="HQ73" s="33"/>
      <c r="HR73" s="33"/>
      <c r="HS73" s="33"/>
      <c r="HT73" s="33"/>
      <c r="HU73" s="33"/>
      <c r="HV73" s="33"/>
      <c r="HW73" s="33"/>
      <c r="HX73" s="33"/>
      <c r="HY73" s="33"/>
      <c r="HZ73" s="33"/>
      <c r="IA73" s="33"/>
      <c r="IB73" s="33"/>
      <c r="IC73" s="33"/>
      <c r="ID73" s="33"/>
      <c r="IE73" s="33"/>
      <c r="IF73" s="33"/>
      <c r="IG73" s="33"/>
      <c r="IH73" s="33"/>
      <c r="II73" s="33"/>
      <c r="IJ73" s="33"/>
      <c r="IK73" s="33"/>
      <c r="IL73" s="33"/>
      <c r="IM73" s="33"/>
      <c r="IN73" s="33"/>
      <c r="IO73" s="33"/>
      <c r="IP73" s="33"/>
      <c r="IQ73" s="33"/>
      <c r="IR73" s="33"/>
      <c r="IS73" s="33"/>
      <c r="IT73" s="33"/>
      <c r="IU73" s="33"/>
      <c r="IV73" s="33"/>
      <c r="IW73" s="33"/>
      <c r="IX73" s="33"/>
      <c r="IY73" s="33"/>
      <c r="IZ73" s="33"/>
      <c r="JA73" s="33"/>
      <c r="JB73" s="33"/>
      <c r="JC73" s="33"/>
      <c r="JD73" s="33"/>
      <c r="JE73" s="33"/>
      <c r="JF73" s="33"/>
      <c r="JG73" s="33"/>
      <c r="JH73" s="33"/>
      <c r="JI73" s="33"/>
      <c r="JJ73" s="33"/>
      <c r="JK73" s="33"/>
      <c r="JL73" s="33"/>
      <c r="JM73" s="33"/>
      <c r="JN73" s="33"/>
      <c r="JO73" s="33"/>
      <c r="JP73" s="33"/>
      <c r="JQ73" s="33"/>
      <c r="JR73" s="33"/>
      <c r="JS73" s="33"/>
      <c r="JT73" s="33"/>
      <c r="JU73" s="33"/>
      <c r="JV73" s="33"/>
      <c r="JW73" s="33"/>
      <c r="JX73" s="33"/>
      <c r="JY73" s="33"/>
      <c r="JZ73" s="33"/>
      <c r="KA73" s="33"/>
      <c r="KB73" s="33"/>
      <c r="KC73" s="33"/>
      <c r="KD73" s="33"/>
      <c r="KE73" s="33"/>
      <c r="KF73" s="33"/>
      <c r="KG73" s="33"/>
      <c r="KH73" s="33"/>
      <c r="KI73" s="33"/>
      <c r="KJ73" s="33"/>
      <c r="KK73" s="33"/>
      <c r="KL73" s="33"/>
      <c r="KM73" s="33"/>
      <c r="KN73" s="33"/>
      <c r="KO73" s="33"/>
      <c r="KP73" s="33"/>
      <c r="KQ73" s="33"/>
      <c r="KR73" s="33"/>
      <c r="KS73" s="33"/>
      <c r="KT73" s="33"/>
      <c r="KU73" s="33"/>
      <c r="KV73" s="33"/>
      <c r="KW73" s="33"/>
      <c r="KX73" s="33"/>
      <c r="KY73" s="33"/>
      <c r="KZ73" s="33"/>
      <c r="LA73" s="33"/>
      <c r="LB73" s="33"/>
      <c r="LC73" s="33"/>
      <c r="LD73" s="33"/>
      <c r="LE73" s="33"/>
      <c r="LF73" s="33"/>
      <c r="LG73" s="33"/>
      <c r="LH73" s="33"/>
      <c r="LI73" s="33"/>
      <c r="LJ73" s="33"/>
      <c r="LK73" s="33"/>
      <c r="LL73" s="33"/>
      <c r="LM73" s="33"/>
      <c r="LN73" s="33"/>
      <c r="LO73" s="33"/>
      <c r="LP73" s="33"/>
      <c r="LQ73" s="33"/>
      <c r="LR73" s="33"/>
      <c r="LS73" s="33"/>
      <c r="LT73" s="33"/>
      <c r="LU73" s="33"/>
      <c r="LV73" s="33"/>
      <c r="LW73" s="33"/>
      <c r="LX73" s="33"/>
      <c r="LY73" s="33"/>
      <c r="LZ73" s="33"/>
      <c r="MA73" s="33"/>
      <c r="MB73" s="33"/>
      <c r="MC73" s="33"/>
      <c r="MD73" s="33"/>
      <c r="ME73" s="33"/>
      <c r="MF73" s="33"/>
      <c r="MG73" s="33"/>
      <c r="MH73" s="33"/>
      <c r="MI73" s="33"/>
      <c r="MJ73" s="33"/>
      <c r="MK73" s="33"/>
      <c r="ML73" s="33"/>
      <c r="MM73" s="33"/>
      <c r="MN73" s="33"/>
      <c r="MO73" s="33"/>
      <c r="MP73" s="33"/>
      <c r="MQ73" s="33"/>
      <c r="MR73" s="33"/>
      <c r="MS73" s="33"/>
      <c r="MT73" s="33"/>
      <c r="MU73" s="33"/>
      <c r="MV73" s="33"/>
      <c r="MW73" s="33"/>
      <c r="MX73" s="33"/>
      <c r="MY73" s="33"/>
      <c r="MZ73" s="33"/>
      <c r="NA73" s="33"/>
      <c r="NB73" s="33"/>
      <c r="NC73" s="33"/>
      <c r="ND73" s="33"/>
      <c r="NE73" s="33"/>
      <c r="NF73" s="33"/>
      <c r="NG73" s="33"/>
      <c r="NH73" s="33"/>
      <c r="NI73" s="33"/>
      <c r="NJ73" s="33"/>
      <c r="NK73" s="33"/>
      <c r="NL73" s="33"/>
      <c r="NM73" s="33"/>
      <c r="NN73" s="33"/>
      <c r="NO73" s="33"/>
      <c r="NP73" s="33"/>
      <c r="NQ73" s="33"/>
      <c r="NR73" s="33"/>
      <c r="NS73" s="33"/>
      <c r="NT73" s="31">
        <f>COUNTIF(F73:NS73,"1")</f>
        <v>6</v>
      </c>
      <c r="NU73" s="80">
        <f>NT74/NT73</f>
        <v>0</v>
      </c>
      <c r="NV73" s="29">
        <f>+IF(NX73&gt;=1,"1",0)</f>
        <v>0</v>
      </c>
      <c r="NW73" s="38">
        <f t="shared" ref="NW73:NW78" si="228">MOD(ROW(NW73),2)</f>
        <v>1</v>
      </c>
      <c r="NX73" s="35">
        <f>COUNTIF(F73:AU73,"1")</f>
        <v>0</v>
      </c>
      <c r="NY73" s="80" t="e">
        <f>NX74/NX73</f>
        <v>#DIV/0!</v>
      </c>
      <c r="NZ73" s="29" t="str">
        <f>+IF(OB73&gt;=1,"1",0)</f>
        <v>1</v>
      </c>
      <c r="OA73" s="38">
        <f t="shared" ref="OA73:OA78" si="229">MOD(ROW(OA73),2)</f>
        <v>1</v>
      </c>
      <c r="OB73" s="35">
        <f>COUNTIF(AV73:CK73,"1")</f>
        <v>6</v>
      </c>
      <c r="OC73" s="80">
        <f>OB74/OB73</f>
        <v>0</v>
      </c>
      <c r="OD73" s="29">
        <f>+IF(OF73&gt;=1,"1",0)</f>
        <v>0</v>
      </c>
      <c r="OE73" s="38">
        <f t="shared" ref="OE73:OE78" si="230">MOD(ROW(OE73),2)</f>
        <v>1</v>
      </c>
      <c r="OF73" s="35">
        <f>COUNTIF(CL73:EA73,"1")</f>
        <v>0</v>
      </c>
      <c r="OG73" s="80" t="e">
        <f>OF74/OF73</f>
        <v>#DIV/0!</v>
      </c>
      <c r="OH73" s="29">
        <f>+IF(OJ73&gt;=1,"1",0)</f>
        <v>0</v>
      </c>
      <c r="OI73" s="38">
        <f t="shared" ref="OI73:OI78" si="231">MOD(ROW(OI73),2)</f>
        <v>1</v>
      </c>
      <c r="OJ73" s="35">
        <f>COUNTIF(EB73:FQ73,"1")</f>
        <v>0</v>
      </c>
      <c r="OK73" s="79" t="e">
        <f>OJ74/OJ73</f>
        <v>#DIV/0!</v>
      </c>
      <c r="OL73" s="29">
        <f>+IF(ON73&gt;=1,"1",0)</f>
        <v>0</v>
      </c>
      <c r="OM73" s="38">
        <f t="shared" ref="OM73:OM78" si="232">MOD(ROW(OM73),2)</f>
        <v>1</v>
      </c>
      <c r="ON73" s="35">
        <f>COUNTIF(FR73:HG73,"1")</f>
        <v>0</v>
      </c>
      <c r="OO73" s="79" t="e">
        <f>ON74/ON73</f>
        <v>#DIV/0!</v>
      </c>
      <c r="OP73" s="29">
        <f>+IF(OR73&gt;=1,"1",0)</f>
        <v>0</v>
      </c>
      <c r="OQ73" s="38">
        <f t="shared" ref="OQ73:OQ78" si="233">MOD(ROW(OQ73),2)</f>
        <v>1</v>
      </c>
      <c r="OR73" s="35">
        <f>COUNTIF(HH73:IW73,"1")</f>
        <v>0</v>
      </c>
      <c r="OS73" s="79" t="e">
        <f>OR74/OR73</f>
        <v>#DIV/0!</v>
      </c>
      <c r="OT73" s="29">
        <f>+IF(OV73&gt;=1,"1",0)</f>
        <v>0</v>
      </c>
      <c r="OU73" s="38">
        <f t="shared" ref="OU73:OU78" si="234">MOD(ROW(OU73),2)</f>
        <v>1</v>
      </c>
      <c r="OV73" s="35">
        <f>COUNTIF(IX73:KM73,"1")</f>
        <v>0</v>
      </c>
      <c r="OW73" s="79" t="e">
        <f>OV74/OV73</f>
        <v>#DIV/0!</v>
      </c>
      <c r="OX73" s="29">
        <f>+IF(OZ73&gt;=1,"1",0)</f>
        <v>0</v>
      </c>
      <c r="OY73" s="38">
        <f t="shared" ref="OY73:OY78" si="235">MOD(ROW(OY73),2)</f>
        <v>1</v>
      </c>
      <c r="OZ73" s="35">
        <f>COUNTIF(KN73:MC73,"1")</f>
        <v>0</v>
      </c>
      <c r="PA73" s="79" t="e">
        <f>OZ74/OZ73</f>
        <v>#DIV/0!</v>
      </c>
      <c r="PB73" s="29">
        <f>+IF(PD73&gt;=1,"1",0)</f>
        <v>0</v>
      </c>
      <c r="PC73" s="38">
        <f t="shared" ref="PC73:PC78" si="236">MOD(ROW(PC73),2)</f>
        <v>1</v>
      </c>
      <c r="PD73" s="35">
        <f>COUNTIF(MD73:NS73,"1")</f>
        <v>0</v>
      </c>
      <c r="PE73" s="79" t="e">
        <f>PD74/PD73</f>
        <v>#DIV/0!</v>
      </c>
    </row>
    <row r="74" spans="3:421" ht="15.75" customHeight="1" outlineLevel="1" thickBot="1" x14ac:dyDescent="0.3">
      <c r="C74" s="89"/>
      <c r="D74" s="91"/>
      <c r="E74" s="54" t="s">
        <v>9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70"/>
      <c r="Q74" s="34"/>
      <c r="R74" s="34"/>
      <c r="S74" s="34"/>
      <c r="T74" s="34"/>
      <c r="U74" s="34"/>
      <c r="V74" s="34"/>
      <c r="W74" s="70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  <c r="HB74" s="34"/>
      <c r="HC74" s="34"/>
      <c r="HD74" s="34"/>
      <c r="HE74" s="34"/>
      <c r="HF74" s="34"/>
      <c r="HG74" s="34"/>
      <c r="HH74" s="34"/>
      <c r="HI74" s="34"/>
      <c r="HJ74" s="34"/>
      <c r="HK74" s="34"/>
      <c r="HL74" s="34"/>
      <c r="HM74" s="34"/>
      <c r="HN74" s="34"/>
      <c r="HO74" s="34"/>
      <c r="HP74" s="34"/>
      <c r="HQ74" s="34"/>
      <c r="HR74" s="34"/>
      <c r="HS74" s="34"/>
      <c r="HT74" s="34"/>
      <c r="HU74" s="34"/>
      <c r="HV74" s="34"/>
      <c r="HW74" s="34"/>
      <c r="HX74" s="34"/>
      <c r="HY74" s="34"/>
      <c r="HZ74" s="34"/>
      <c r="IA74" s="34"/>
      <c r="IB74" s="34"/>
      <c r="IC74" s="34"/>
      <c r="ID74" s="34"/>
      <c r="IE74" s="34"/>
      <c r="IF74" s="34"/>
      <c r="IG74" s="34"/>
      <c r="IH74" s="34"/>
      <c r="II74" s="34"/>
      <c r="IJ74" s="34"/>
      <c r="IK74" s="34"/>
      <c r="IL74" s="34"/>
      <c r="IM74" s="34"/>
      <c r="IN74" s="34"/>
      <c r="IO74" s="34"/>
      <c r="IP74" s="34"/>
      <c r="IQ74" s="34"/>
      <c r="IR74" s="34"/>
      <c r="IS74" s="34"/>
      <c r="IT74" s="34"/>
      <c r="IU74" s="34"/>
      <c r="IV74" s="34"/>
      <c r="IW74" s="34"/>
      <c r="IX74" s="34"/>
      <c r="IY74" s="34"/>
      <c r="IZ74" s="34"/>
      <c r="JA74" s="34"/>
      <c r="JB74" s="34"/>
      <c r="JC74" s="34"/>
      <c r="JD74" s="34"/>
      <c r="JE74" s="34"/>
      <c r="JF74" s="34"/>
      <c r="JG74" s="34"/>
      <c r="JH74" s="34"/>
      <c r="JI74" s="34"/>
      <c r="JJ74" s="34"/>
      <c r="JK74" s="34"/>
      <c r="JL74" s="34"/>
      <c r="JM74" s="34"/>
      <c r="JN74" s="34"/>
      <c r="JO74" s="34"/>
      <c r="JP74" s="34"/>
      <c r="JQ74" s="34"/>
      <c r="JR74" s="34"/>
      <c r="JS74" s="34"/>
      <c r="JT74" s="34"/>
      <c r="JU74" s="34"/>
      <c r="JV74" s="34"/>
      <c r="JW74" s="34"/>
      <c r="JX74" s="34"/>
      <c r="JY74" s="34"/>
      <c r="JZ74" s="34"/>
      <c r="KA74" s="34"/>
      <c r="KB74" s="34"/>
      <c r="KC74" s="34"/>
      <c r="KD74" s="34"/>
      <c r="KE74" s="34"/>
      <c r="KF74" s="34"/>
      <c r="KG74" s="34"/>
      <c r="KH74" s="34"/>
      <c r="KI74" s="34"/>
      <c r="KJ74" s="34"/>
      <c r="KK74" s="34"/>
      <c r="KL74" s="34"/>
      <c r="KM74" s="34"/>
      <c r="KN74" s="34"/>
      <c r="KO74" s="34"/>
      <c r="KP74" s="34"/>
      <c r="KQ74" s="34"/>
      <c r="KR74" s="34"/>
      <c r="KS74" s="34"/>
      <c r="KT74" s="34"/>
      <c r="KU74" s="34"/>
      <c r="KV74" s="34"/>
      <c r="KW74" s="34"/>
      <c r="KX74" s="34"/>
      <c r="KY74" s="34"/>
      <c r="KZ74" s="34"/>
      <c r="LA74" s="34"/>
      <c r="LB74" s="34"/>
      <c r="LC74" s="34"/>
      <c r="LD74" s="34"/>
      <c r="LE74" s="34"/>
      <c r="LF74" s="34"/>
      <c r="LG74" s="34"/>
      <c r="LH74" s="34"/>
      <c r="LI74" s="34"/>
      <c r="LJ74" s="34"/>
      <c r="LK74" s="34"/>
      <c r="LL74" s="34"/>
      <c r="LM74" s="34"/>
      <c r="LN74" s="34"/>
      <c r="LO74" s="34"/>
      <c r="LP74" s="34"/>
      <c r="LQ74" s="34"/>
      <c r="LR74" s="34"/>
      <c r="LS74" s="34"/>
      <c r="LT74" s="34"/>
      <c r="LU74" s="34"/>
      <c r="LV74" s="34"/>
      <c r="LW74" s="34"/>
      <c r="LX74" s="34"/>
      <c r="LY74" s="34"/>
      <c r="LZ74" s="34"/>
      <c r="MA74" s="34"/>
      <c r="MB74" s="34"/>
      <c r="MC74" s="34"/>
      <c r="MD74" s="34"/>
      <c r="ME74" s="34"/>
      <c r="MF74" s="34"/>
      <c r="MG74" s="34"/>
      <c r="MH74" s="34"/>
      <c r="MI74" s="34"/>
      <c r="MJ74" s="34"/>
      <c r="MK74" s="34"/>
      <c r="ML74" s="34"/>
      <c r="MM74" s="34"/>
      <c r="MN74" s="34"/>
      <c r="MO74" s="34"/>
      <c r="MP74" s="34"/>
      <c r="MQ74" s="34"/>
      <c r="MR74" s="34"/>
      <c r="MS74" s="34"/>
      <c r="MT74" s="34"/>
      <c r="MU74" s="34"/>
      <c r="MV74" s="34"/>
      <c r="MW74" s="34"/>
      <c r="MX74" s="34"/>
      <c r="MY74" s="34"/>
      <c r="MZ74" s="34"/>
      <c r="NA74" s="34"/>
      <c r="NB74" s="34"/>
      <c r="NC74" s="34"/>
      <c r="ND74" s="34"/>
      <c r="NE74" s="34"/>
      <c r="NF74" s="34"/>
      <c r="NG74" s="34"/>
      <c r="NH74" s="34"/>
      <c r="NI74" s="34"/>
      <c r="NJ74" s="34"/>
      <c r="NK74" s="34"/>
      <c r="NL74" s="34"/>
      <c r="NM74" s="34"/>
      <c r="NN74" s="34"/>
      <c r="NO74" s="34"/>
      <c r="NP74" s="34"/>
      <c r="NQ74" s="34"/>
      <c r="NR74" s="34"/>
      <c r="NS74" s="34"/>
      <c r="NT74" s="7">
        <f>COUNTIF(F74:NS74,"x")</f>
        <v>0</v>
      </c>
      <c r="NU74" s="81"/>
      <c r="NV74" s="32" t="str">
        <f>IF(NX74=0,"0",NX74/NX73)</f>
        <v>0</v>
      </c>
      <c r="NW74" s="37">
        <f t="shared" si="228"/>
        <v>0</v>
      </c>
      <c r="NX74" s="36">
        <f>COUNTIF(F74:AU74,"x")</f>
        <v>0</v>
      </c>
      <c r="NY74" s="81"/>
      <c r="NZ74" s="32" t="str">
        <f>IF(OB74=0,"0",OB74/OB73)</f>
        <v>0</v>
      </c>
      <c r="OA74" s="37">
        <f t="shared" si="229"/>
        <v>0</v>
      </c>
      <c r="OB74" s="36">
        <f>COUNTIF(AV74:CK74,"x")</f>
        <v>0</v>
      </c>
      <c r="OC74" s="81"/>
      <c r="OD74" s="32" t="str">
        <f>IF(OF74=0,"0",OF74/OF73)</f>
        <v>0</v>
      </c>
      <c r="OE74" s="37">
        <f t="shared" si="230"/>
        <v>0</v>
      </c>
      <c r="OF74" s="36">
        <f>COUNTIF(CL74:EA74,"x")</f>
        <v>0</v>
      </c>
      <c r="OG74" s="81"/>
      <c r="OH74" s="32" t="str">
        <f>IF(OJ74=0,"0",OJ74/OJ73)</f>
        <v>0</v>
      </c>
      <c r="OI74" s="37">
        <f t="shared" si="231"/>
        <v>0</v>
      </c>
      <c r="OJ74" s="36">
        <f>COUNTIF(EB74:FQ74,"x")</f>
        <v>0</v>
      </c>
      <c r="OK74" s="74"/>
      <c r="OL74" s="32" t="str">
        <f>IF(ON74=0,"0",ON74/ON73)</f>
        <v>0</v>
      </c>
      <c r="OM74" s="37">
        <f t="shared" si="232"/>
        <v>0</v>
      </c>
      <c r="ON74" s="36">
        <f>COUNTIF(FR74:HG74,"x")</f>
        <v>0</v>
      </c>
      <c r="OO74" s="74"/>
      <c r="OP74" s="32" t="str">
        <f>IF(OR74=0,"0",OR74/OR73)</f>
        <v>0</v>
      </c>
      <c r="OQ74" s="37">
        <f t="shared" si="233"/>
        <v>0</v>
      </c>
      <c r="OR74" s="36">
        <f>COUNTIF(HH74:IW74,"x")</f>
        <v>0</v>
      </c>
      <c r="OS74" s="74"/>
      <c r="OT74" s="32" t="str">
        <f>IF(OV74=0,"0",OV74/OV73)</f>
        <v>0</v>
      </c>
      <c r="OU74" s="37">
        <f t="shared" si="234"/>
        <v>0</v>
      </c>
      <c r="OV74" s="36">
        <f>COUNTIF(IX74:KM74,"x")</f>
        <v>0</v>
      </c>
      <c r="OW74" s="74"/>
      <c r="OX74" s="32" t="str">
        <f>IF(OZ74=0,"0",OZ74/OZ73)</f>
        <v>0</v>
      </c>
      <c r="OY74" s="37">
        <f t="shared" si="235"/>
        <v>0</v>
      </c>
      <c r="OZ74" s="36">
        <f>COUNTIF(KN74:MC74,"x")</f>
        <v>0</v>
      </c>
      <c r="PA74" s="74"/>
      <c r="PB74" s="32" t="str">
        <f>IF(PD74=0,"0",PD74/PD73)</f>
        <v>0</v>
      </c>
      <c r="PC74" s="37">
        <f t="shared" si="236"/>
        <v>0</v>
      </c>
      <c r="PD74" s="36">
        <f>COUNTIF(MD74:NS74,"x")</f>
        <v>0</v>
      </c>
      <c r="PE74" s="74"/>
    </row>
    <row r="75" spans="3:421" ht="15.75" customHeight="1" outlineLevel="1" x14ac:dyDescent="0.25">
      <c r="C75" s="88" t="s">
        <v>94</v>
      </c>
      <c r="D75" s="90" t="s">
        <v>109</v>
      </c>
      <c r="E75" s="53" t="s">
        <v>8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69"/>
      <c r="Q75" s="33"/>
      <c r="R75" s="33"/>
      <c r="S75" s="33"/>
      <c r="T75" s="33"/>
      <c r="U75" s="33"/>
      <c r="V75" s="33"/>
      <c r="W75" s="69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  <c r="HI75" s="33"/>
      <c r="HJ75" s="33"/>
      <c r="HK75" s="33"/>
      <c r="HL75" s="33"/>
      <c r="HM75" s="33"/>
      <c r="HN75" s="33"/>
      <c r="HO75" s="33"/>
      <c r="HP75" s="33"/>
      <c r="HQ75" s="33"/>
      <c r="HR75" s="33"/>
      <c r="HS75" s="33"/>
      <c r="HT75" s="33"/>
      <c r="HU75" s="33"/>
      <c r="HV75" s="33"/>
      <c r="HW75" s="33"/>
      <c r="HX75" s="33"/>
      <c r="HY75" s="33"/>
      <c r="HZ75" s="33"/>
      <c r="IA75" s="33"/>
      <c r="IB75" s="33"/>
      <c r="IC75" s="33"/>
      <c r="ID75" s="33"/>
      <c r="IE75" s="33"/>
      <c r="IF75" s="33"/>
      <c r="IG75" s="33"/>
      <c r="IH75" s="33"/>
      <c r="II75" s="33"/>
      <c r="IJ75" s="33"/>
      <c r="IK75" s="33"/>
      <c r="IL75" s="33"/>
      <c r="IM75" s="33"/>
      <c r="IN75" s="33"/>
      <c r="IO75" s="33"/>
      <c r="IP75" s="33"/>
      <c r="IQ75" s="33"/>
      <c r="IR75" s="33"/>
      <c r="IS75" s="33"/>
      <c r="IT75" s="33"/>
      <c r="IU75" s="33"/>
      <c r="IV75" s="33"/>
      <c r="IW75" s="33"/>
      <c r="IX75" s="33"/>
      <c r="IY75" s="33"/>
      <c r="IZ75" s="33"/>
      <c r="JA75" s="33"/>
      <c r="JB75" s="33"/>
      <c r="JC75" s="33"/>
      <c r="JD75" s="33"/>
      <c r="JE75" s="33"/>
      <c r="JF75" s="33"/>
      <c r="JG75" s="33"/>
      <c r="JH75" s="33"/>
      <c r="JI75" s="33"/>
      <c r="JJ75" s="33"/>
      <c r="JK75" s="33"/>
      <c r="JL75" s="33"/>
      <c r="JM75" s="33"/>
      <c r="JN75" s="33"/>
      <c r="JO75" s="33"/>
      <c r="JP75" s="33"/>
      <c r="JQ75" s="33"/>
      <c r="JR75" s="33"/>
      <c r="JS75" s="33"/>
      <c r="JT75" s="33"/>
      <c r="JU75" s="33"/>
      <c r="JV75" s="33"/>
      <c r="JW75" s="33"/>
      <c r="JX75" s="33"/>
      <c r="JY75" s="33"/>
      <c r="JZ75" s="33"/>
      <c r="KA75" s="33"/>
      <c r="KB75" s="33"/>
      <c r="KC75" s="33"/>
      <c r="KD75" s="33"/>
      <c r="KE75" s="33"/>
      <c r="KF75" s="33"/>
      <c r="KG75" s="33"/>
      <c r="KH75" s="33"/>
      <c r="KI75" s="33"/>
      <c r="KJ75" s="33"/>
      <c r="KK75" s="33"/>
      <c r="KL75" s="33"/>
      <c r="KM75" s="33"/>
      <c r="KN75" s="33"/>
      <c r="KO75" s="33"/>
      <c r="KP75" s="33"/>
      <c r="KQ75" s="33"/>
      <c r="KR75" s="33"/>
      <c r="KS75" s="33"/>
      <c r="KT75" s="33"/>
      <c r="KU75" s="33"/>
      <c r="KV75" s="33"/>
      <c r="KW75" s="33"/>
      <c r="KX75" s="33"/>
      <c r="KY75" s="33"/>
      <c r="KZ75" s="33"/>
      <c r="LA75" s="33"/>
      <c r="LB75" s="33"/>
      <c r="LC75" s="33"/>
      <c r="LD75" s="33"/>
      <c r="LE75" s="33"/>
      <c r="LF75" s="33"/>
      <c r="LG75" s="33"/>
      <c r="LH75" s="33"/>
      <c r="LI75" s="33"/>
      <c r="LJ75" s="33"/>
      <c r="LK75" s="33"/>
      <c r="LL75" s="33"/>
      <c r="LM75" s="33"/>
      <c r="LN75" s="33"/>
      <c r="LO75" s="33"/>
      <c r="LP75" s="33"/>
      <c r="LQ75" s="33"/>
      <c r="LR75" s="33"/>
      <c r="LS75" s="33"/>
      <c r="LT75" s="33"/>
      <c r="LU75" s="33"/>
      <c r="LV75" s="33"/>
      <c r="LW75" s="33"/>
      <c r="LX75" s="33"/>
      <c r="LY75" s="33"/>
      <c r="LZ75" s="33"/>
      <c r="MA75" s="33"/>
      <c r="MB75" s="33"/>
      <c r="MC75" s="33"/>
      <c r="MD75" s="33"/>
      <c r="ME75" s="33"/>
      <c r="MF75" s="33"/>
      <c r="MG75" s="33"/>
      <c r="MH75" s="33"/>
      <c r="MI75" s="33"/>
      <c r="MJ75" s="33"/>
      <c r="MK75" s="33"/>
      <c r="ML75" s="33"/>
      <c r="MM75" s="33"/>
      <c r="MN75" s="33"/>
      <c r="MO75" s="33"/>
      <c r="MP75" s="33"/>
      <c r="MQ75" s="33"/>
      <c r="MR75" s="33"/>
      <c r="MS75" s="33"/>
      <c r="MT75" s="33"/>
      <c r="MU75" s="33"/>
      <c r="MV75" s="33"/>
      <c r="MW75" s="33"/>
      <c r="MX75" s="33"/>
      <c r="MY75" s="33"/>
      <c r="MZ75" s="33"/>
      <c r="NA75" s="33"/>
      <c r="NB75" s="33"/>
      <c r="NC75" s="33"/>
      <c r="ND75" s="33"/>
      <c r="NE75" s="33"/>
      <c r="NF75" s="33"/>
      <c r="NG75" s="33"/>
      <c r="NH75" s="33"/>
      <c r="NI75" s="33"/>
      <c r="NJ75" s="33"/>
      <c r="NK75" s="33"/>
      <c r="NL75" s="33"/>
      <c r="NM75" s="33"/>
      <c r="NN75" s="33"/>
      <c r="NO75" s="33"/>
      <c r="NP75" s="33"/>
      <c r="NQ75" s="33"/>
      <c r="NR75" s="33"/>
      <c r="NS75" s="33"/>
      <c r="NT75" s="31">
        <f>COUNTIF(F75:NS75,"1")</f>
        <v>0</v>
      </c>
      <c r="NU75" s="80" t="e">
        <f>NT76/NT75</f>
        <v>#DIV/0!</v>
      </c>
      <c r="NV75" s="29">
        <f>+IF(NX75&gt;=1,"1",0)</f>
        <v>0</v>
      </c>
      <c r="NW75" s="38">
        <f t="shared" si="228"/>
        <v>1</v>
      </c>
      <c r="NX75" s="35">
        <f>COUNTIF(F75:AU75,"1")</f>
        <v>0</v>
      </c>
      <c r="NY75" s="80" t="e">
        <f>NX76/NX75</f>
        <v>#DIV/0!</v>
      </c>
      <c r="NZ75" s="29">
        <f>+IF(OB75&gt;=1,"1",0)</f>
        <v>0</v>
      </c>
      <c r="OA75" s="38">
        <f t="shared" si="229"/>
        <v>1</v>
      </c>
      <c r="OB75" s="35">
        <f>COUNTIF(AV75:CK75,"1")</f>
        <v>0</v>
      </c>
      <c r="OC75" s="80" t="e">
        <f>OB76/OB75</f>
        <v>#DIV/0!</v>
      </c>
      <c r="OD75" s="29">
        <f>+IF(OF75&gt;=1,"1",0)</f>
        <v>0</v>
      </c>
      <c r="OE75" s="38">
        <f t="shared" si="230"/>
        <v>1</v>
      </c>
      <c r="OF75" s="35">
        <f>COUNTIF(CL75:EA75,"1")</f>
        <v>0</v>
      </c>
      <c r="OG75" s="80" t="e">
        <f>OF76/OF75</f>
        <v>#DIV/0!</v>
      </c>
      <c r="OH75" s="29">
        <f>+IF(OJ75&gt;=1,"1",0)</f>
        <v>0</v>
      </c>
      <c r="OI75" s="38">
        <f t="shared" si="231"/>
        <v>1</v>
      </c>
      <c r="OJ75" s="35">
        <f>COUNTIF(EB75:FQ75,"1")</f>
        <v>0</v>
      </c>
      <c r="OK75" s="79" t="e">
        <f>OJ76/OJ75</f>
        <v>#DIV/0!</v>
      </c>
      <c r="OL75" s="29">
        <f>+IF(ON75&gt;=1,"1",0)</f>
        <v>0</v>
      </c>
      <c r="OM75" s="38">
        <f t="shared" si="232"/>
        <v>1</v>
      </c>
      <c r="ON75" s="35">
        <f>COUNTIF(FR75:HG75,"1")</f>
        <v>0</v>
      </c>
      <c r="OO75" s="79" t="e">
        <f>ON76/ON75</f>
        <v>#DIV/0!</v>
      </c>
      <c r="OP75" s="29">
        <f>+IF(OR75&gt;=1,"1",0)</f>
        <v>0</v>
      </c>
      <c r="OQ75" s="38">
        <f t="shared" si="233"/>
        <v>1</v>
      </c>
      <c r="OR75" s="35">
        <f>COUNTIF(HH75:IW75,"1")</f>
        <v>0</v>
      </c>
      <c r="OS75" s="79" t="e">
        <f>OR76/OR75</f>
        <v>#DIV/0!</v>
      </c>
      <c r="OT75" s="29">
        <f>+IF(OV75&gt;=1,"1",0)</f>
        <v>0</v>
      </c>
      <c r="OU75" s="38">
        <f t="shared" si="234"/>
        <v>1</v>
      </c>
      <c r="OV75" s="35">
        <f>COUNTIF(IX75:KM75,"1")</f>
        <v>0</v>
      </c>
      <c r="OW75" s="79" t="e">
        <f>OV76/OV75</f>
        <v>#DIV/0!</v>
      </c>
      <c r="OX75" s="29">
        <f>+IF(OZ75&gt;=1,"1",0)</f>
        <v>0</v>
      </c>
      <c r="OY75" s="38">
        <f t="shared" si="235"/>
        <v>1</v>
      </c>
      <c r="OZ75" s="35">
        <f>COUNTIF(KN75:MC75,"1")</f>
        <v>0</v>
      </c>
      <c r="PA75" s="79" t="e">
        <f>OZ76/OZ75</f>
        <v>#DIV/0!</v>
      </c>
      <c r="PB75" s="29">
        <f>+IF(PD75&gt;=1,"1",0)</f>
        <v>0</v>
      </c>
      <c r="PC75" s="38">
        <f t="shared" si="236"/>
        <v>1</v>
      </c>
      <c r="PD75" s="35">
        <f>COUNTIF(MD75:NS75,"1")</f>
        <v>0</v>
      </c>
      <c r="PE75" s="79" t="e">
        <f>PD76/PD75</f>
        <v>#DIV/0!</v>
      </c>
    </row>
    <row r="76" spans="3:421" ht="15.75" customHeight="1" outlineLevel="1" thickBot="1" x14ac:dyDescent="0.3">
      <c r="C76" s="89"/>
      <c r="D76" s="91"/>
      <c r="E76" s="54" t="s">
        <v>9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70"/>
      <c r="Q76" s="34"/>
      <c r="R76" s="34"/>
      <c r="S76" s="34"/>
      <c r="T76" s="34"/>
      <c r="U76" s="34"/>
      <c r="V76" s="34"/>
      <c r="W76" s="70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34"/>
      <c r="HL76" s="34"/>
      <c r="HM76" s="34"/>
      <c r="HN76" s="34"/>
      <c r="HO76" s="34"/>
      <c r="HP76" s="34"/>
      <c r="HQ76" s="34"/>
      <c r="HR76" s="34"/>
      <c r="HS76" s="34"/>
      <c r="HT76" s="34"/>
      <c r="HU76" s="34"/>
      <c r="HV76" s="34"/>
      <c r="HW76" s="34"/>
      <c r="HX76" s="34"/>
      <c r="HY76" s="34"/>
      <c r="HZ76" s="34"/>
      <c r="IA76" s="34"/>
      <c r="IB76" s="34"/>
      <c r="IC76" s="34"/>
      <c r="ID76" s="34"/>
      <c r="IE76" s="34"/>
      <c r="IF76" s="34"/>
      <c r="IG76" s="34"/>
      <c r="IH76" s="34"/>
      <c r="II76" s="34"/>
      <c r="IJ76" s="34"/>
      <c r="IK76" s="34"/>
      <c r="IL76" s="34"/>
      <c r="IM76" s="34"/>
      <c r="IN76" s="34"/>
      <c r="IO76" s="34"/>
      <c r="IP76" s="34"/>
      <c r="IQ76" s="34"/>
      <c r="IR76" s="34"/>
      <c r="IS76" s="34"/>
      <c r="IT76" s="34"/>
      <c r="IU76" s="34"/>
      <c r="IV76" s="34"/>
      <c r="IW76" s="34"/>
      <c r="IX76" s="34"/>
      <c r="IY76" s="34"/>
      <c r="IZ76" s="34"/>
      <c r="JA76" s="34"/>
      <c r="JB76" s="34"/>
      <c r="JC76" s="34"/>
      <c r="JD76" s="34"/>
      <c r="JE76" s="34"/>
      <c r="JF76" s="34"/>
      <c r="JG76" s="34"/>
      <c r="JH76" s="34"/>
      <c r="JI76" s="34"/>
      <c r="JJ76" s="34"/>
      <c r="JK76" s="34"/>
      <c r="JL76" s="34"/>
      <c r="JM76" s="34"/>
      <c r="JN76" s="34"/>
      <c r="JO76" s="34"/>
      <c r="JP76" s="34"/>
      <c r="JQ76" s="34"/>
      <c r="JR76" s="34"/>
      <c r="JS76" s="34"/>
      <c r="JT76" s="34"/>
      <c r="JU76" s="34"/>
      <c r="JV76" s="34"/>
      <c r="JW76" s="34"/>
      <c r="JX76" s="34"/>
      <c r="JY76" s="34"/>
      <c r="JZ76" s="34"/>
      <c r="KA76" s="34"/>
      <c r="KB76" s="34"/>
      <c r="KC76" s="34"/>
      <c r="KD76" s="34"/>
      <c r="KE76" s="34"/>
      <c r="KF76" s="34"/>
      <c r="KG76" s="34"/>
      <c r="KH76" s="34"/>
      <c r="KI76" s="34"/>
      <c r="KJ76" s="34"/>
      <c r="KK76" s="34"/>
      <c r="KL76" s="34"/>
      <c r="KM76" s="34"/>
      <c r="KN76" s="34"/>
      <c r="KO76" s="34"/>
      <c r="KP76" s="34"/>
      <c r="KQ76" s="34"/>
      <c r="KR76" s="34"/>
      <c r="KS76" s="34"/>
      <c r="KT76" s="34"/>
      <c r="KU76" s="34"/>
      <c r="KV76" s="34"/>
      <c r="KW76" s="34"/>
      <c r="KX76" s="34"/>
      <c r="KY76" s="34"/>
      <c r="KZ76" s="34"/>
      <c r="LA76" s="34"/>
      <c r="LB76" s="34"/>
      <c r="LC76" s="34"/>
      <c r="LD76" s="34"/>
      <c r="LE76" s="34"/>
      <c r="LF76" s="34"/>
      <c r="LG76" s="34"/>
      <c r="LH76" s="34"/>
      <c r="LI76" s="34"/>
      <c r="LJ76" s="34"/>
      <c r="LK76" s="34"/>
      <c r="LL76" s="34"/>
      <c r="LM76" s="34"/>
      <c r="LN76" s="34"/>
      <c r="LO76" s="34"/>
      <c r="LP76" s="34"/>
      <c r="LQ76" s="34"/>
      <c r="LR76" s="34"/>
      <c r="LS76" s="34"/>
      <c r="LT76" s="34"/>
      <c r="LU76" s="34"/>
      <c r="LV76" s="34"/>
      <c r="LW76" s="34"/>
      <c r="LX76" s="34"/>
      <c r="LY76" s="34"/>
      <c r="LZ76" s="34"/>
      <c r="MA76" s="34"/>
      <c r="MB76" s="34"/>
      <c r="MC76" s="34"/>
      <c r="MD76" s="34"/>
      <c r="ME76" s="34"/>
      <c r="MF76" s="34"/>
      <c r="MG76" s="34"/>
      <c r="MH76" s="34"/>
      <c r="MI76" s="34"/>
      <c r="MJ76" s="34"/>
      <c r="MK76" s="34"/>
      <c r="ML76" s="34"/>
      <c r="MM76" s="34"/>
      <c r="MN76" s="34"/>
      <c r="MO76" s="34"/>
      <c r="MP76" s="34"/>
      <c r="MQ76" s="34"/>
      <c r="MR76" s="34"/>
      <c r="MS76" s="34"/>
      <c r="MT76" s="34"/>
      <c r="MU76" s="34"/>
      <c r="MV76" s="34"/>
      <c r="MW76" s="34"/>
      <c r="MX76" s="34"/>
      <c r="MY76" s="34"/>
      <c r="MZ76" s="34"/>
      <c r="NA76" s="34"/>
      <c r="NB76" s="34"/>
      <c r="NC76" s="34"/>
      <c r="ND76" s="34"/>
      <c r="NE76" s="34"/>
      <c r="NF76" s="34"/>
      <c r="NG76" s="34"/>
      <c r="NH76" s="34"/>
      <c r="NI76" s="34"/>
      <c r="NJ76" s="34"/>
      <c r="NK76" s="34"/>
      <c r="NL76" s="34"/>
      <c r="NM76" s="34"/>
      <c r="NN76" s="34"/>
      <c r="NO76" s="34"/>
      <c r="NP76" s="34"/>
      <c r="NQ76" s="34"/>
      <c r="NR76" s="34"/>
      <c r="NS76" s="34"/>
      <c r="NT76" s="7">
        <f>COUNTIF(F76:NS76,"x")</f>
        <v>0</v>
      </c>
      <c r="NU76" s="81"/>
      <c r="NV76" s="32" t="str">
        <f>IF(NX76=0,"0",NX76/NX75)</f>
        <v>0</v>
      </c>
      <c r="NW76" s="37">
        <f t="shared" si="228"/>
        <v>0</v>
      </c>
      <c r="NX76" s="36">
        <f>COUNTIF(F76:AU76,"x")</f>
        <v>0</v>
      </c>
      <c r="NY76" s="81"/>
      <c r="NZ76" s="32" t="str">
        <f>IF(OB76=0,"0",OB76/OB75)</f>
        <v>0</v>
      </c>
      <c r="OA76" s="37">
        <f t="shared" si="229"/>
        <v>0</v>
      </c>
      <c r="OB76" s="36">
        <f>COUNTIF(AV76:CK76,"x")</f>
        <v>0</v>
      </c>
      <c r="OC76" s="81"/>
      <c r="OD76" s="32" t="str">
        <f>IF(OF76=0,"0",OF76/OF75)</f>
        <v>0</v>
      </c>
      <c r="OE76" s="37">
        <f t="shared" si="230"/>
        <v>0</v>
      </c>
      <c r="OF76" s="36">
        <f>COUNTIF(CL76:EA76,"x")</f>
        <v>0</v>
      </c>
      <c r="OG76" s="81"/>
      <c r="OH76" s="32" t="str">
        <f>IF(OJ76=0,"0",OJ76/OJ75)</f>
        <v>0</v>
      </c>
      <c r="OI76" s="37">
        <f t="shared" si="231"/>
        <v>0</v>
      </c>
      <c r="OJ76" s="36">
        <f>COUNTIF(EB76:FQ76,"x")</f>
        <v>0</v>
      </c>
      <c r="OK76" s="74"/>
      <c r="OL76" s="32" t="str">
        <f>IF(ON76=0,"0",ON76/ON75)</f>
        <v>0</v>
      </c>
      <c r="OM76" s="37">
        <f t="shared" si="232"/>
        <v>0</v>
      </c>
      <c r="ON76" s="36">
        <f>COUNTIF(FR76:HG76,"x")</f>
        <v>0</v>
      </c>
      <c r="OO76" s="74"/>
      <c r="OP76" s="32" t="str">
        <f>IF(OR76=0,"0",OR76/OR75)</f>
        <v>0</v>
      </c>
      <c r="OQ76" s="37">
        <f t="shared" si="233"/>
        <v>0</v>
      </c>
      <c r="OR76" s="36">
        <f>COUNTIF(HH76:IW76,"x")</f>
        <v>0</v>
      </c>
      <c r="OS76" s="74"/>
      <c r="OT76" s="32" t="str">
        <f>IF(OV76=0,"0",OV76/OV75)</f>
        <v>0</v>
      </c>
      <c r="OU76" s="37">
        <f t="shared" si="234"/>
        <v>0</v>
      </c>
      <c r="OV76" s="36">
        <f>COUNTIF(IX76:KM76,"x")</f>
        <v>0</v>
      </c>
      <c r="OW76" s="74"/>
      <c r="OX76" s="32" t="str">
        <f>IF(OZ76=0,"0",OZ76/OZ75)</f>
        <v>0</v>
      </c>
      <c r="OY76" s="37">
        <f t="shared" si="235"/>
        <v>0</v>
      </c>
      <c r="OZ76" s="36">
        <f>COUNTIF(KN76:MC76,"x")</f>
        <v>0</v>
      </c>
      <c r="PA76" s="74"/>
      <c r="PB76" s="32" t="str">
        <f>IF(PD76=0,"0",PD76/PD75)</f>
        <v>0</v>
      </c>
      <c r="PC76" s="37">
        <f t="shared" si="236"/>
        <v>0</v>
      </c>
      <c r="PD76" s="36">
        <f>COUNTIF(MD76:NS76,"x")</f>
        <v>0</v>
      </c>
      <c r="PE76" s="74"/>
    </row>
    <row r="77" spans="3:421" ht="15.75" customHeight="1" outlineLevel="1" x14ac:dyDescent="0.25">
      <c r="C77" s="88" t="s">
        <v>95</v>
      </c>
      <c r="D77" s="90" t="s">
        <v>109</v>
      </c>
      <c r="E77" s="53" t="s">
        <v>8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69"/>
      <c r="Q77" s="33"/>
      <c r="R77" s="33"/>
      <c r="S77" s="33"/>
      <c r="T77" s="33"/>
      <c r="U77" s="33"/>
      <c r="V77" s="33"/>
      <c r="W77" s="69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  <c r="HI77" s="33"/>
      <c r="HJ77" s="33"/>
      <c r="HK77" s="33"/>
      <c r="HL77" s="33"/>
      <c r="HM77" s="33"/>
      <c r="HN77" s="33"/>
      <c r="HO77" s="33"/>
      <c r="HP77" s="33"/>
      <c r="HQ77" s="33"/>
      <c r="HR77" s="33"/>
      <c r="HS77" s="33"/>
      <c r="HT77" s="33"/>
      <c r="HU77" s="33"/>
      <c r="HV77" s="33"/>
      <c r="HW77" s="33"/>
      <c r="HX77" s="33"/>
      <c r="HY77" s="33"/>
      <c r="HZ77" s="33"/>
      <c r="IA77" s="33"/>
      <c r="IB77" s="33"/>
      <c r="IC77" s="33"/>
      <c r="ID77" s="33"/>
      <c r="IE77" s="33"/>
      <c r="IF77" s="33"/>
      <c r="IG77" s="33"/>
      <c r="IH77" s="33"/>
      <c r="II77" s="33"/>
      <c r="IJ77" s="33"/>
      <c r="IK77" s="33"/>
      <c r="IL77" s="33"/>
      <c r="IM77" s="33"/>
      <c r="IN77" s="33"/>
      <c r="IO77" s="33"/>
      <c r="IP77" s="33"/>
      <c r="IQ77" s="33"/>
      <c r="IR77" s="33"/>
      <c r="IS77" s="33"/>
      <c r="IT77" s="33"/>
      <c r="IU77" s="33"/>
      <c r="IV77" s="33"/>
      <c r="IW77" s="33"/>
      <c r="IX77" s="33"/>
      <c r="IY77" s="33"/>
      <c r="IZ77" s="33"/>
      <c r="JA77" s="33"/>
      <c r="JB77" s="33"/>
      <c r="JC77" s="33"/>
      <c r="JD77" s="33"/>
      <c r="JE77" s="33"/>
      <c r="JF77" s="33"/>
      <c r="JG77" s="33"/>
      <c r="JH77" s="33"/>
      <c r="JI77" s="33"/>
      <c r="JJ77" s="33"/>
      <c r="JK77" s="33"/>
      <c r="JL77" s="33"/>
      <c r="JM77" s="33"/>
      <c r="JN77" s="33"/>
      <c r="JO77" s="33"/>
      <c r="JP77" s="33"/>
      <c r="JQ77" s="33"/>
      <c r="JR77" s="33"/>
      <c r="JS77" s="33"/>
      <c r="JT77" s="33"/>
      <c r="JU77" s="33"/>
      <c r="JV77" s="33"/>
      <c r="JW77" s="33"/>
      <c r="JX77" s="33"/>
      <c r="JY77" s="33"/>
      <c r="JZ77" s="33"/>
      <c r="KA77" s="33"/>
      <c r="KB77" s="33"/>
      <c r="KC77" s="33"/>
      <c r="KD77" s="33"/>
      <c r="KE77" s="33"/>
      <c r="KF77" s="33"/>
      <c r="KG77" s="33"/>
      <c r="KH77" s="33"/>
      <c r="KI77" s="33"/>
      <c r="KJ77" s="33"/>
      <c r="KK77" s="33"/>
      <c r="KL77" s="33"/>
      <c r="KM77" s="33"/>
      <c r="KN77" s="33"/>
      <c r="KO77" s="33"/>
      <c r="KP77" s="33"/>
      <c r="KQ77" s="33"/>
      <c r="KR77" s="33"/>
      <c r="KS77" s="33"/>
      <c r="KT77" s="33"/>
      <c r="KU77" s="33"/>
      <c r="KV77" s="33"/>
      <c r="KW77" s="33"/>
      <c r="KX77" s="33"/>
      <c r="KY77" s="33"/>
      <c r="KZ77" s="33"/>
      <c r="LA77" s="33"/>
      <c r="LB77" s="33"/>
      <c r="LC77" s="33"/>
      <c r="LD77" s="33"/>
      <c r="LE77" s="33"/>
      <c r="LF77" s="33"/>
      <c r="LG77" s="33"/>
      <c r="LH77" s="33"/>
      <c r="LI77" s="33"/>
      <c r="LJ77" s="33"/>
      <c r="LK77" s="33"/>
      <c r="LL77" s="33"/>
      <c r="LM77" s="33"/>
      <c r="LN77" s="33"/>
      <c r="LO77" s="33"/>
      <c r="LP77" s="33"/>
      <c r="LQ77" s="33"/>
      <c r="LR77" s="33"/>
      <c r="LS77" s="33"/>
      <c r="LT77" s="33"/>
      <c r="LU77" s="33"/>
      <c r="LV77" s="33"/>
      <c r="LW77" s="33"/>
      <c r="LX77" s="33"/>
      <c r="LY77" s="33"/>
      <c r="LZ77" s="33"/>
      <c r="MA77" s="33"/>
      <c r="MB77" s="33"/>
      <c r="MC77" s="33"/>
      <c r="MD77" s="33"/>
      <c r="ME77" s="33"/>
      <c r="MF77" s="33"/>
      <c r="MG77" s="33"/>
      <c r="MH77" s="33"/>
      <c r="MI77" s="33"/>
      <c r="MJ77" s="33"/>
      <c r="MK77" s="33"/>
      <c r="ML77" s="33"/>
      <c r="MM77" s="33"/>
      <c r="MN77" s="33"/>
      <c r="MO77" s="33"/>
      <c r="MP77" s="33"/>
      <c r="MQ77" s="33"/>
      <c r="MR77" s="33"/>
      <c r="MS77" s="33"/>
      <c r="MT77" s="33"/>
      <c r="MU77" s="33"/>
      <c r="MV77" s="33"/>
      <c r="MW77" s="33"/>
      <c r="MX77" s="33"/>
      <c r="MY77" s="33"/>
      <c r="MZ77" s="33"/>
      <c r="NA77" s="33"/>
      <c r="NB77" s="33"/>
      <c r="NC77" s="33"/>
      <c r="ND77" s="33"/>
      <c r="NE77" s="33"/>
      <c r="NF77" s="33"/>
      <c r="NG77" s="33"/>
      <c r="NH77" s="33"/>
      <c r="NI77" s="33"/>
      <c r="NJ77" s="33"/>
      <c r="NK77" s="33"/>
      <c r="NL77" s="33"/>
      <c r="NM77" s="33"/>
      <c r="NN77" s="33"/>
      <c r="NO77" s="33"/>
      <c r="NP77" s="33"/>
      <c r="NQ77" s="33"/>
      <c r="NR77" s="33"/>
      <c r="NS77" s="33"/>
      <c r="NT77" s="31">
        <f>COUNTIF(F77:NS77,"1")</f>
        <v>0</v>
      </c>
      <c r="NU77" s="80" t="e">
        <f>NT78/NT77</f>
        <v>#DIV/0!</v>
      </c>
      <c r="NV77" s="29">
        <f>+IF(NX77&gt;=1,"1",0)</f>
        <v>0</v>
      </c>
      <c r="NW77" s="38">
        <f t="shared" si="228"/>
        <v>1</v>
      </c>
      <c r="NX77" s="35">
        <f>COUNTIF(F77:AU77,"1")</f>
        <v>0</v>
      </c>
      <c r="NY77" s="80" t="e">
        <f>NX78/NX77</f>
        <v>#DIV/0!</v>
      </c>
      <c r="NZ77" s="29">
        <f>+IF(OB77&gt;=1,"1",0)</f>
        <v>0</v>
      </c>
      <c r="OA77" s="38">
        <f t="shared" si="229"/>
        <v>1</v>
      </c>
      <c r="OB77" s="35">
        <f>COUNTIF(AV77:CK77,"1")</f>
        <v>0</v>
      </c>
      <c r="OC77" s="80" t="e">
        <f>OB78/OB77</f>
        <v>#DIV/0!</v>
      </c>
      <c r="OD77" s="29">
        <f>+IF(OF77&gt;=1,"1",0)</f>
        <v>0</v>
      </c>
      <c r="OE77" s="38">
        <f t="shared" si="230"/>
        <v>1</v>
      </c>
      <c r="OF77" s="35">
        <f>COUNTIF(CL77:EA77,"1")</f>
        <v>0</v>
      </c>
      <c r="OG77" s="80" t="e">
        <f>OF78/OF77</f>
        <v>#DIV/0!</v>
      </c>
      <c r="OH77" s="29">
        <f>+IF(OJ77&gt;=1,"1",0)</f>
        <v>0</v>
      </c>
      <c r="OI77" s="38">
        <f t="shared" si="231"/>
        <v>1</v>
      </c>
      <c r="OJ77" s="35">
        <f>COUNTIF(EB77:FQ77,"1")</f>
        <v>0</v>
      </c>
      <c r="OK77" s="79" t="e">
        <f>OJ78/OJ77</f>
        <v>#DIV/0!</v>
      </c>
      <c r="OL77" s="29">
        <f>+IF(ON77&gt;=1,"1",0)</f>
        <v>0</v>
      </c>
      <c r="OM77" s="38">
        <f t="shared" si="232"/>
        <v>1</v>
      </c>
      <c r="ON77" s="35">
        <f>COUNTIF(FR77:HG77,"1")</f>
        <v>0</v>
      </c>
      <c r="OO77" s="79" t="e">
        <f>ON78/ON77</f>
        <v>#DIV/0!</v>
      </c>
      <c r="OP77" s="29">
        <f>+IF(OR77&gt;=1,"1",0)</f>
        <v>0</v>
      </c>
      <c r="OQ77" s="38">
        <f t="shared" si="233"/>
        <v>1</v>
      </c>
      <c r="OR77" s="35">
        <f>COUNTIF(HH77:IW77,"1")</f>
        <v>0</v>
      </c>
      <c r="OS77" s="79" t="e">
        <f>OR78/OR77</f>
        <v>#DIV/0!</v>
      </c>
      <c r="OT77" s="29">
        <f>+IF(OV77&gt;=1,"1",0)</f>
        <v>0</v>
      </c>
      <c r="OU77" s="38">
        <f t="shared" si="234"/>
        <v>1</v>
      </c>
      <c r="OV77" s="35">
        <f>COUNTIF(IX77:KM77,"1")</f>
        <v>0</v>
      </c>
      <c r="OW77" s="79" t="e">
        <f>OV78/OV77</f>
        <v>#DIV/0!</v>
      </c>
      <c r="OX77" s="29">
        <f>+IF(OZ77&gt;=1,"1",0)</f>
        <v>0</v>
      </c>
      <c r="OY77" s="38">
        <f t="shared" si="235"/>
        <v>1</v>
      </c>
      <c r="OZ77" s="35">
        <f>COUNTIF(KN77:MC77,"1")</f>
        <v>0</v>
      </c>
      <c r="PA77" s="79" t="e">
        <f>OZ78/OZ77</f>
        <v>#DIV/0!</v>
      </c>
      <c r="PB77" s="29">
        <f>+IF(PD77&gt;=1,"1",0)</f>
        <v>0</v>
      </c>
      <c r="PC77" s="38">
        <f t="shared" si="236"/>
        <v>1</v>
      </c>
      <c r="PD77" s="35">
        <f>COUNTIF(MD77:NS77,"1")</f>
        <v>0</v>
      </c>
      <c r="PE77" s="79" t="e">
        <f>PD78/PD77</f>
        <v>#DIV/0!</v>
      </c>
    </row>
    <row r="78" spans="3:421" ht="15.75" customHeight="1" outlineLevel="1" thickBot="1" x14ac:dyDescent="0.3">
      <c r="C78" s="89"/>
      <c r="D78" s="91"/>
      <c r="E78" s="54" t="s">
        <v>9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70"/>
      <c r="Q78" s="34"/>
      <c r="R78" s="34"/>
      <c r="S78" s="34"/>
      <c r="T78" s="34"/>
      <c r="U78" s="34"/>
      <c r="V78" s="34"/>
      <c r="W78" s="70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  <c r="HB78" s="34"/>
      <c r="HC78" s="34"/>
      <c r="HD78" s="34"/>
      <c r="HE78" s="34"/>
      <c r="HF78" s="34"/>
      <c r="HG78" s="34"/>
      <c r="HH78" s="34"/>
      <c r="HI78" s="34"/>
      <c r="HJ78" s="34"/>
      <c r="HK78" s="34"/>
      <c r="HL78" s="34"/>
      <c r="HM78" s="34"/>
      <c r="HN78" s="34"/>
      <c r="HO78" s="34"/>
      <c r="HP78" s="34"/>
      <c r="HQ78" s="34"/>
      <c r="HR78" s="34"/>
      <c r="HS78" s="34"/>
      <c r="HT78" s="34"/>
      <c r="HU78" s="34"/>
      <c r="HV78" s="34"/>
      <c r="HW78" s="34"/>
      <c r="HX78" s="34"/>
      <c r="HY78" s="34"/>
      <c r="HZ78" s="34"/>
      <c r="IA78" s="34"/>
      <c r="IB78" s="34"/>
      <c r="IC78" s="34"/>
      <c r="ID78" s="34"/>
      <c r="IE78" s="34"/>
      <c r="IF78" s="34"/>
      <c r="IG78" s="34"/>
      <c r="IH78" s="34"/>
      <c r="II78" s="34"/>
      <c r="IJ78" s="34"/>
      <c r="IK78" s="34"/>
      <c r="IL78" s="34"/>
      <c r="IM78" s="34"/>
      <c r="IN78" s="34"/>
      <c r="IO78" s="34"/>
      <c r="IP78" s="34"/>
      <c r="IQ78" s="34"/>
      <c r="IR78" s="34"/>
      <c r="IS78" s="34"/>
      <c r="IT78" s="34"/>
      <c r="IU78" s="34"/>
      <c r="IV78" s="34"/>
      <c r="IW78" s="34"/>
      <c r="IX78" s="34"/>
      <c r="IY78" s="34"/>
      <c r="IZ78" s="34"/>
      <c r="JA78" s="34"/>
      <c r="JB78" s="34"/>
      <c r="JC78" s="34"/>
      <c r="JD78" s="34"/>
      <c r="JE78" s="34"/>
      <c r="JF78" s="34"/>
      <c r="JG78" s="34"/>
      <c r="JH78" s="34"/>
      <c r="JI78" s="34"/>
      <c r="JJ78" s="34"/>
      <c r="JK78" s="34"/>
      <c r="JL78" s="34"/>
      <c r="JM78" s="34"/>
      <c r="JN78" s="34"/>
      <c r="JO78" s="34"/>
      <c r="JP78" s="34"/>
      <c r="JQ78" s="34"/>
      <c r="JR78" s="34"/>
      <c r="JS78" s="34"/>
      <c r="JT78" s="34"/>
      <c r="JU78" s="34"/>
      <c r="JV78" s="34"/>
      <c r="JW78" s="34"/>
      <c r="JX78" s="34"/>
      <c r="JY78" s="34"/>
      <c r="JZ78" s="34"/>
      <c r="KA78" s="34"/>
      <c r="KB78" s="34"/>
      <c r="KC78" s="34"/>
      <c r="KD78" s="34"/>
      <c r="KE78" s="34"/>
      <c r="KF78" s="34"/>
      <c r="KG78" s="34"/>
      <c r="KH78" s="34"/>
      <c r="KI78" s="34"/>
      <c r="KJ78" s="34"/>
      <c r="KK78" s="34"/>
      <c r="KL78" s="34"/>
      <c r="KM78" s="34"/>
      <c r="KN78" s="34"/>
      <c r="KO78" s="34"/>
      <c r="KP78" s="34"/>
      <c r="KQ78" s="34"/>
      <c r="KR78" s="34"/>
      <c r="KS78" s="34"/>
      <c r="KT78" s="34"/>
      <c r="KU78" s="34"/>
      <c r="KV78" s="34"/>
      <c r="KW78" s="34"/>
      <c r="KX78" s="34"/>
      <c r="KY78" s="34"/>
      <c r="KZ78" s="34"/>
      <c r="LA78" s="34"/>
      <c r="LB78" s="34"/>
      <c r="LC78" s="34"/>
      <c r="LD78" s="34"/>
      <c r="LE78" s="34"/>
      <c r="LF78" s="34"/>
      <c r="LG78" s="34"/>
      <c r="LH78" s="34"/>
      <c r="LI78" s="34"/>
      <c r="LJ78" s="34"/>
      <c r="LK78" s="34"/>
      <c r="LL78" s="34"/>
      <c r="LM78" s="34"/>
      <c r="LN78" s="34"/>
      <c r="LO78" s="34"/>
      <c r="LP78" s="34"/>
      <c r="LQ78" s="34"/>
      <c r="LR78" s="34"/>
      <c r="LS78" s="34"/>
      <c r="LT78" s="34"/>
      <c r="LU78" s="34"/>
      <c r="LV78" s="34"/>
      <c r="LW78" s="34"/>
      <c r="LX78" s="34"/>
      <c r="LY78" s="34"/>
      <c r="LZ78" s="34"/>
      <c r="MA78" s="34"/>
      <c r="MB78" s="34"/>
      <c r="MC78" s="34"/>
      <c r="MD78" s="34"/>
      <c r="ME78" s="34"/>
      <c r="MF78" s="34"/>
      <c r="MG78" s="34"/>
      <c r="MH78" s="34"/>
      <c r="MI78" s="34"/>
      <c r="MJ78" s="34"/>
      <c r="MK78" s="34"/>
      <c r="ML78" s="34"/>
      <c r="MM78" s="34"/>
      <c r="MN78" s="34"/>
      <c r="MO78" s="34"/>
      <c r="MP78" s="34"/>
      <c r="MQ78" s="34"/>
      <c r="MR78" s="34"/>
      <c r="MS78" s="34"/>
      <c r="MT78" s="34"/>
      <c r="MU78" s="34"/>
      <c r="MV78" s="34"/>
      <c r="MW78" s="34"/>
      <c r="MX78" s="34"/>
      <c r="MY78" s="34"/>
      <c r="MZ78" s="34"/>
      <c r="NA78" s="34"/>
      <c r="NB78" s="34"/>
      <c r="NC78" s="34"/>
      <c r="ND78" s="34"/>
      <c r="NE78" s="34"/>
      <c r="NF78" s="34"/>
      <c r="NG78" s="34"/>
      <c r="NH78" s="34"/>
      <c r="NI78" s="34"/>
      <c r="NJ78" s="34"/>
      <c r="NK78" s="34"/>
      <c r="NL78" s="34"/>
      <c r="NM78" s="34"/>
      <c r="NN78" s="34"/>
      <c r="NO78" s="34"/>
      <c r="NP78" s="34"/>
      <c r="NQ78" s="34"/>
      <c r="NR78" s="34"/>
      <c r="NS78" s="34"/>
      <c r="NT78" s="7">
        <f>COUNTIF(F78:NS78,"x")</f>
        <v>0</v>
      </c>
      <c r="NU78" s="81"/>
      <c r="NV78" s="32" t="str">
        <f>IF(NX78=0,"0",NX78/NX77)</f>
        <v>0</v>
      </c>
      <c r="NW78" s="37">
        <f t="shared" si="228"/>
        <v>0</v>
      </c>
      <c r="NX78" s="36">
        <f>COUNTIF(F78:AU78,"x")</f>
        <v>0</v>
      </c>
      <c r="NY78" s="81"/>
      <c r="NZ78" s="32" t="str">
        <f>IF(OB78=0,"0",OB78/OB77)</f>
        <v>0</v>
      </c>
      <c r="OA78" s="37">
        <f t="shared" si="229"/>
        <v>0</v>
      </c>
      <c r="OB78" s="36">
        <f>COUNTIF(AV78:CK78,"x")</f>
        <v>0</v>
      </c>
      <c r="OC78" s="81"/>
      <c r="OD78" s="32" t="str">
        <f>IF(OF78=0,"0",OF78/OF77)</f>
        <v>0</v>
      </c>
      <c r="OE78" s="37">
        <f t="shared" si="230"/>
        <v>0</v>
      </c>
      <c r="OF78" s="36">
        <f>COUNTIF(CL78:EA78,"x")</f>
        <v>0</v>
      </c>
      <c r="OG78" s="81"/>
      <c r="OH78" s="32" t="str">
        <f>IF(OJ78=0,"0",OJ78/OJ77)</f>
        <v>0</v>
      </c>
      <c r="OI78" s="37">
        <f t="shared" si="231"/>
        <v>0</v>
      </c>
      <c r="OJ78" s="36">
        <f>COUNTIF(EB78:FQ78,"x")</f>
        <v>0</v>
      </c>
      <c r="OK78" s="74"/>
      <c r="OL78" s="32" t="str">
        <f>IF(ON78=0,"0",ON78/ON77)</f>
        <v>0</v>
      </c>
      <c r="OM78" s="37">
        <f t="shared" si="232"/>
        <v>0</v>
      </c>
      <c r="ON78" s="36">
        <f>COUNTIF(FR78:HG78,"x")</f>
        <v>0</v>
      </c>
      <c r="OO78" s="74"/>
      <c r="OP78" s="32" t="str">
        <f>IF(OR78=0,"0",OR78/OR77)</f>
        <v>0</v>
      </c>
      <c r="OQ78" s="37">
        <f t="shared" si="233"/>
        <v>0</v>
      </c>
      <c r="OR78" s="36">
        <f>COUNTIF(HH78:IW78,"x")</f>
        <v>0</v>
      </c>
      <c r="OS78" s="74"/>
      <c r="OT78" s="32" t="str">
        <f>IF(OV78=0,"0",OV78/OV77)</f>
        <v>0</v>
      </c>
      <c r="OU78" s="37">
        <f t="shared" si="234"/>
        <v>0</v>
      </c>
      <c r="OV78" s="36">
        <f>COUNTIF(IX78:KM78,"x")</f>
        <v>0</v>
      </c>
      <c r="OW78" s="74"/>
      <c r="OX78" s="32" t="str">
        <f>IF(OZ78=0,"0",OZ78/OZ77)</f>
        <v>0</v>
      </c>
      <c r="OY78" s="37">
        <f t="shared" si="235"/>
        <v>0</v>
      </c>
      <c r="OZ78" s="36">
        <f>COUNTIF(KN78:MC78,"x")</f>
        <v>0</v>
      </c>
      <c r="PA78" s="74"/>
      <c r="PB78" s="32" t="str">
        <f>IF(PD78=0,"0",PD78/PD77)</f>
        <v>0</v>
      </c>
      <c r="PC78" s="37">
        <f t="shared" si="236"/>
        <v>0</v>
      </c>
      <c r="PD78" s="36">
        <f>COUNTIF(MD78:NS78,"x")</f>
        <v>0</v>
      </c>
      <c r="PE78" s="74"/>
    </row>
    <row r="79" spans="3:421" ht="15.75" customHeight="1" outlineLevel="1" x14ac:dyDescent="0.25">
      <c r="C79" s="88" t="s">
        <v>119</v>
      </c>
      <c r="D79" s="90" t="s">
        <v>110</v>
      </c>
      <c r="E79" s="53" t="s">
        <v>8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9"/>
      <c r="Q79" s="33"/>
      <c r="R79" s="33"/>
      <c r="S79" s="33"/>
      <c r="T79" s="33"/>
      <c r="U79" s="33"/>
      <c r="V79" s="33"/>
      <c r="W79" s="69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33"/>
      <c r="HP79" s="33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33"/>
      <c r="IH79" s="33"/>
      <c r="II79" s="33"/>
      <c r="IJ79" s="33"/>
      <c r="IK79" s="33"/>
      <c r="IL79" s="33"/>
      <c r="IM79" s="33"/>
      <c r="IN79" s="33"/>
      <c r="IO79" s="33"/>
      <c r="IP79" s="33"/>
      <c r="IQ79" s="33"/>
      <c r="IR79" s="33"/>
      <c r="IS79" s="33"/>
      <c r="IT79" s="33"/>
      <c r="IU79" s="33"/>
      <c r="IV79" s="33"/>
      <c r="IW79" s="33"/>
      <c r="IX79" s="33"/>
      <c r="IY79" s="33"/>
      <c r="IZ79" s="33"/>
      <c r="JA79" s="33"/>
      <c r="JB79" s="33"/>
      <c r="JC79" s="33"/>
      <c r="JD79" s="33"/>
      <c r="JE79" s="33"/>
      <c r="JF79" s="33"/>
      <c r="JG79" s="33"/>
      <c r="JH79" s="33"/>
      <c r="JI79" s="33"/>
      <c r="JJ79" s="33"/>
      <c r="JK79" s="33"/>
      <c r="JL79" s="33"/>
      <c r="JM79" s="33"/>
      <c r="JN79" s="33"/>
      <c r="JO79" s="33"/>
      <c r="JP79" s="33"/>
      <c r="JQ79" s="33"/>
      <c r="JR79" s="33"/>
      <c r="JS79" s="33"/>
      <c r="JT79" s="33"/>
      <c r="JU79" s="33"/>
      <c r="JV79" s="33"/>
      <c r="JW79" s="33"/>
      <c r="JX79" s="33"/>
      <c r="JY79" s="33"/>
      <c r="JZ79" s="33"/>
      <c r="KA79" s="33"/>
      <c r="KB79" s="33"/>
      <c r="KC79" s="33"/>
      <c r="KD79" s="33"/>
      <c r="KE79" s="33"/>
      <c r="KF79" s="33"/>
      <c r="KG79" s="33"/>
      <c r="KH79" s="33"/>
      <c r="KI79" s="33"/>
      <c r="KJ79" s="33"/>
      <c r="KK79" s="33"/>
      <c r="KL79" s="33"/>
      <c r="KM79" s="33"/>
      <c r="KN79" s="33"/>
      <c r="KO79" s="33"/>
      <c r="KP79" s="33"/>
      <c r="KQ79" s="33"/>
      <c r="KR79" s="33"/>
      <c r="KS79" s="33"/>
      <c r="KT79" s="33"/>
      <c r="KU79" s="33"/>
      <c r="KV79" s="33"/>
      <c r="KW79" s="33"/>
      <c r="KX79" s="33"/>
      <c r="KY79" s="33"/>
      <c r="KZ79" s="33"/>
      <c r="LA79" s="33"/>
      <c r="LB79" s="33"/>
      <c r="LC79" s="33"/>
      <c r="LD79" s="33"/>
      <c r="LE79" s="33"/>
      <c r="LF79" s="33"/>
      <c r="LG79" s="33"/>
      <c r="LH79" s="33"/>
      <c r="LI79" s="33"/>
      <c r="LJ79" s="33"/>
      <c r="LK79" s="33"/>
      <c r="LL79" s="33"/>
      <c r="LM79" s="33"/>
      <c r="LN79" s="33"/>
      <c r="LO79" s="33"/>
      <c r="LP79" s="33"/>
      <c r="LQ79" s="33"/>
      <c r="LR79" s="33"/>
      <c r="LS79" s="33"/>
      <c r="LT79" s="33"/>
      <c r="LU79" s="33"/>
      <c r="LV79" s="33"/>
      <c r="LW79" s="33"/>
      <c r="LX79" s="33"/>
      <c r="LY79" s="33"/>
      <c r="LZ79" s="33"/>
      <c r="MA79" s="33"/>
      <c r="MB79" s="33"/>
      <c r="MC79" s="33"/>
      <c r="MD79" s="33"/>
      <c r="ME79" s="33"/>
      <c r="MF79" s="33"/>
      <c r="MG79" s="33"/>
      <c r="MH79" s="33"/>
      <c r="MI79" s="33"/>
      <c r="MJ79" s="33"/>
      <c r="MK79" s="33"/>
      <c r="ML79" s="33"/>
      <c r="MM79" s="33"/>
      <c r="MN79" s="33"/>
      <c r="MO79" s="33"/>
      <c r="MP79" s="33"/>
      <c r="MQ79" s="33"/>
      <c r="MR79" s="33"/>
      <c r="MS79" s="33"/>
      <c r="MT79" s="33"/>
      <c r="MU79" s="33"/>
      <c r="MV79" s="33"/>
      <c r="MW79" s="33"/>
      <c r="MX79" s="33"/>
      <c r="MY79" s="33"/>
      <c r="MZ79" s="33"/>
      <c r="NA79" s="33"/>
      <c r="NB79" s="33"/>
      <c r="NC79" s="33"/>
      <c r="ND79" s="33"/>
      <c r="NE79" s="33"/>
      <c r="NF79" s="33"/>
      <c r="NG79" s="33"/>
      <c r="NH79" s="33"/>
      <c r="NI79" s="33"/>
      <c r="NJ79" s="33"/>
      <c r="NK79" s="33"/>
      <c r="NL79" s="33"/>
      <c r="NM79" s="33"/>
      <c r="NN79" s="33"/>
      <c r="NO79" s="33"/>
      <c r="NP79" s="33"/>
      <c r="NQ79" s="33"/>
      <c r="NR79" s="33"/>
      <c r="NS79" s="33"/>
      <c r="NT79" s="31">
        <f>COUNTIF(F79:NS79,"1")</f>
        <v>0</v>
      </c>
      <c r="NU79" s="80" t="e">
        <f>NT80/NT79</f>
        <v>#DIV/0!</v>
      </c>
      <c r="NV79" s="29">
        <f>+IF(NX79&gt;=1,"1",0)</f>
        <v>0</v>
      </c>
      <c r="NW79" s="38">
        <f t="shared" si="219"/>
        <v>1</v>
      </c>
      <c r="NX79" s="35">
        <f>COUNTIF(F79:AU79,"1")</f>
        <v>0</v>
      </c>
      <c r="NY79" s="80" t="e">
        <f>NX80/NX79</f>
        <v>#DIV/0!</v>
      </c>
      <c r="NZ79" s="29">
        <f>+IF(OB79&gt;=1,"1",0)</f>
        <v>0</v>
      </c>
      <c r="OA79" s="38">
        <f t="shared" si="220"/>
        <v>1</v>
      </c>
      <c r="OB79" s="35">
        <f>COUNTIF(AV79:CK79,"1")</f>
        <v>0</v>
      </c>
      <c r="OC79" s="80" t="e">
        <f>OB80/OB79</f>
        <v>#DIV/0!</v>
      </c>
      <c r="OD79" s="29">
        <f>+IF(OF79&gt;=1,"1",0)</f>
        <v>0</v>
      </c>
      <c r="OE79" s="38">
        <f t="shared" si="221"/>
        <v>1</v>
      </c>
      <c r="OF79" s="35">
        <f>COUNTIF(CL79:EA79,"1")</f>
        <v>0</v>
      </c>
      <c r="OG79" s="80" t="e">
        <f>OF80/OF79</f>
        <v>#DIV/0!</v>
      </c>
      <c r="OH79" s="29">
        <f>+IF(OJ79&gt;=1,"1",0)</f>
        <v>0</v>
      </c>
      <c r="OI79" s="38">
        <f t="shared" si="222"/>
        <v>1</v>
      </c>
      <c r="OJ79" s="35">
        <f>COUNTIF(EB79:FQ79,"1")</f>
        <v>0</v>
      </c>
      <c r="OK79" s="79" t="e">
        <f>OJ80/OJ79</f>
        <v>#DIV/0!</v>
      </c>
      <c r="OL79" s="29">
        <f>+IF(ON79&gt;=1,"1",0)</f>
        <v>0</v>
      </c>
      <c r="OM79" s="38">
        <f t="shared" si="223"/>
        <v>1</v>
      </c>
      <c r="ON79" s="35">
        <f>COUNTIF(FR79:HG79,"1")</f>
        <v>0</v>
      </c>
      <c r="OO79" s="79" t="e">
        <f>ON80/ON79</f>
        <v>#DIV/0!</v>
      </c>
      <c r="OP79" s="29">
        <f>+IF(OR79&gt;=1,"1",0)</f>
        <v>0</v>
      </c>
      <c r="OQ79" s="38">
        <f t="shared" si="224"/>
        <v>1</v>
      </c>
      <c r="OR79" s="35">
        <f>COUNTIF(HH79:IW79,"1")</f>
        <v>0</v>
      </c>
      <c r="OS79" s="79" t="e">
        <f>OR80/OR79</f>
        <v>#DIV/0!</v>
      </c>
      <c r="OT79" s="29">
        <f>+IF(OV79&gt;=1,"1",0)</f>
        <v>0</v>
      </c>
      <c r="OU79" s="38">
        <f t="shared" si="225"/>
        <v>1</v>
      </c>
      <c r="OV79" s="35">
        <f>COUNTIF(IX79:KM79,"1")</f>
        <v>0</v>
      </c>
      <c r="OW79" s="79" t="e">
        <f>OV80/OV79</f>
        <v>#DIV/0!</v>
      </c>
      <c r="OX79" s="29">
        <f>+IF(OZ79&gt;=1,"1",0)</f>
        <v>0</v>
      </c>
      <c r="OY79" s="38">
        <f t="shared" si="226"/>
        <v>1</v>
      </c>
      <c r="OZ79" s="35">
        <f>COUNTIF(KN79:MC79,"1")</f>
        <v>0</v>
      </c>
      <c r="PA79" s="79" t="e">
        <f>OZ80/OZ79</f>
        <v>#DIV/0!</v>
      </c>
      <c r="PB79" s="29">
        <f>+IF(PD79&gt;=1,"1",0)</f>
        <v>0</v>
      </c>
      <c r="PC79" s="38">
        <f t="shared" si="227"/>
        <v>1</v>
      </c>
      <c r="PD79" s="35">
        <f>COUNTIF(MD79:NS79,"1")</f>
        <v>0</v>
      </c>
      <c r="PE79" s="79" t="e">
        <f>PD80/PD79</f>
        <v>#DIV/0!</v>
      </c>
    </row>
    <row r="80" spans="3:421" ht="15.75" customHeight="1" outlineLevel="1" thickBot="1" x14ac:dyDescent="0.3">
      <c r="C80" s="89"/>
      <c r="D80" s="91"/>
      <c r="E80" s="54" t="s">
        <v>9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70"/>
      <c r="Q80" s="34"/>
      <c r="R80" s="34"/>
      <c r="S80" s="34"/>
      <c r="T80" s="34"/>
      <c r="U80" s="34"/>
      <c r="V80" s="34"/>
      <c r="W80" s="70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  <c r="HB80" s="34"/>
      <c r="HC80" s="34"/>
      <c r="HD80" s="34"/>
      <c r="HE80" s="34"/>
      <c r="HF80" s="34"/>
      <c r="HG80" s="34"/>
      <c r="HH80" s="34"/>
      <c r="HI80" s="34"/>
      <c r="HJ80" s="34"/>
      <c r="HK80" s="34"/>
      <c r="HL80" s="34"/>
      <c r="HM80" s="34"/>
      <c r="HN80" s="34"/>
      <c r="HO80" s="34"/>
      <c r="HP80" s="34"/>
      <c r="HQ80" s="34"/>
      <c r="HR80" s="34"/>
      <c r="HS80" s="34"/>
      <c r="HT80" s="34"/>
      <c r="HU80" s="34"/>
      <c r="HV80" s="34"/>
      <c r="HW80" s="34"/>
      <c r="HX80" s="34"/>
      <c r="HY80" s="34"/>
      <c r="HZ80" s="34"/>
      <c r="IA80" s="34"/>
      <c r="IB80" s="34"/>
      <c r="IC80" s="34"/>
      <c r="ID80" s="34"/>
      <c r="IE80" s="34"/>
      <c r="IF80" s="34"/>
      <c r="IG80" s="34"/>
      <c r="IH80" s="34"/>
      <c r="II80" s="34"/>
      <c r="IJ80" s="34"/>
      <c r="IK80" s="34"/>
      <c r="IL80" s="34"/>
      <c r="IM80" s="34"/>
      <c r="IN80" s="34"/>
      <c r="IO80" s="34"/>
      <c r="IP80" s="34"/>
      <c r="IQ80" s="34"/>
      <c r="IR80" s="34"/>
      <c r="IS80" s="34"/>
      <c r="IT80" s="34"/>
      <c r="IU80" s="34"/>
      <c r="IV80" s="34"/>
      <c r="IW80" s="34"/>
      <c r="IX80" s="34"/>
      <c r="IY80" s="34"/>
      <c r="IZ80" s="34"/>
      <c r="JA80" s="34"/>
      <c r="JB80" s="34"/>
      <c r="JC80" s="34"/>
      <c r="JD80" s="34"/>
      <c r="JE80" s="34"/>
      <c r="JF80" s="34"/>
      <c r="JG80" s="34"/>
      <c r="JH80" s="34"/>
      <c r="JI80" s="34"/>
      <c r="JJ80" s="34"/>
      <c r="JK80" s="34"/>
      <c r="JL80" s="34"/>
      <c r="JM80" s="34"/>
      <c r="JN80" s="34"/>
      <c r="JO80" s="34"/>
      <c r="JP80" s="34"/>
      <c r="JQ80" s="34"/>
      <c r="JR80" s="34"/>
      <c r="JS80" s="34"/>
      <c r="JT80" s="34"/>
      <c r="JU80" s="34"/>
      <c r="JV80" s="34"/>
      <c r="JW80" s="34"/>
      <c r="JX80" s="34"/>
      <c r="JY80" s="34"/>
      <c r="JZ80" s="34"/>
      <c r="KA80" s="34"/>
      <c r="KB80" s="34"/>
      <c r="KC80" s="34"/>
      <c r="KD80" s="34"/>
      <c r="KE80" s="34"/>
      <c r="KF80" s="34"/>
      <c r="KG80" s="34"/>
      <c r="KH80" s="34"/>
      <c r="KI80" s="34"/>
      <c r="KJ80" s="34"/>
      <c r="KK80" s="34"/>
      <c r="KL80" s="34"/>
      <c r="KM80" s="34"/>
      <c r="KN80" s="34"/>
      <c r="KO80" s="34"/>
      <c r="KP80" s="34"/>
      <c r="KQ80" s="34"/>
      <c r="KR80" s="34"/>
      <c r="KS80" s="34"/>
      <c r="KT80" s="34"/>
      <c r="KU80" s="34"/>
      <c r="KV80" s="34"/>
      <c r="KW80" s="34"/>
      <c r="KX80" s="34"/>
      <c r="KY80" s="34"/>
      <c r="KZ80" s="34"/>
      <c r="LA80" s="34"/>
      <c r="LB80" s="34"/>
      <c r="LC80" s="34"/>
      <c r="LD80" s="34"/>
      <c r="LE80" s="34"/>
      <c r="LF80" s="34"/>
      <c r="LG80" s="34"/>
      <c r="LH80" s="34"/>
      <c r="LI80" s="34"/>
      <c r="LJ80" s="34"/>
      <c r="LK80" s="34"/>
      <c r="LL80" s="34"/>
      <c r="LM80" s="34"/>
      <c r="LN80" s="34"/>
      <c r="LO80" s="34"/>
      <c r="LP80" s="34"/>
      <c r="LQ80" s="34"/>
      <c r="LR80" s="34"/>
      <c r="LS80" s="34"/>
      <c r="LT80" s="34"/>
      <c r="LU80" s="34"/>
      <c r="LV80" s="34"/>
      <c r="LW80" s="34"/>
      <c r="LX80" s="34"/>
      <c r="LY80" s="34"/>
      <c r="LZ80" s="34"/>
      <c r="MA80" s="34"/>
      <c r="MB80" s="34"/>
      <c r="MC80" s="34"/>
      <c r="MD80" s="34"/>
      <c r="ME80" s="34"/>
      <c r="MF80" s="34"/>
      <c r="MG80" s="34"/>
      <c r="MH80" s="34"/>
      <c r="MI80" s="34"/>
      <c r="MJ80" s="34"/>
      <c r="MK80" s="34"/>
      <c r="ML80" s="34"/>
      <c r="MM80" s="34"/>
      <c r="MN80" s="34"/>
      <c r="MO80" s="34"/>
      <c r="MP80" s="34"/>
      <c r="MQ80" s="34"/>
      <c r="MR80" s="34"/>
      <c r="MS80" s="34"/>
      <c r="MT80" s="34"/>
      <c r="MU80" s="34"/>
      <c r="MV80" s="34"/>
      <c r="MW80" s="34"/>
      <c r="MX80" s="34"/>
      <c r="MY80" s="34"/>
      <c r="MZ80" s="34"/>
      <c r="NA80" s="34"/>
      <c r="NB80" s="34"/>
      <c r="NC80" s="34"/>
      <c r="ND80" s="34"/>
      <c r="NE80" s="34"/>
      <c r="NF80" s="34"/>
      <c r="NG80" s="34"/>
      <c r="NH80" s="34"/>
      <c r="NI80" s="34"/>
      <c r="NJ80" s="34"/>
      <c r="NK80" s="34"/>
      <c r="NL80" s="34"/>
      <c r="NM80" s="34"/>
      <c r="NN80" s="34"/>
      <c r="NO80" s="34"/>
      <c r="NP80" s="34"/>
      <c r="NQ80" s="34"/>
      <c r="NR80" s="34"/>
      <c r="NS80" s="34"/>
      <c r="NT80" s="7">
        <f>COUNTIF(F80:NS80,"x")</f>
        <v>0</v>
      </c>
      <c r="NU80" s="81"/>
      <c r="NV80" s="32" t="str">
        <f>IF(NX80=0,"0",NX80/NX79)</f>
        <v>0</v>
      </c>
      <c r="NW80" s="37">
        <f t="shared" si="219"/>
        <v>0</v>
      </c>
      <c r="NX80" s="36">
        <f>COUNTIF(F80:AU80,"x")</f>
        <v>0</v>
      </c>
      <c r="NY80" s="81"/>
      <c r="NZ80" s="32" t="str">
        <f>IF(OB80=0,"0",OB80/OB79)</f>
        <v>0</v>
      </c>
      <c r="OA80" s="37">
        <f t="shared" si="220"/>
        <v>0</v>
      </c>
      <c r="OB80" s="36">
        <f>COUNTIF(AV80:CK80,"x")</f>
        <v>0</v>
      </c>
      <c r="OC80" s="81"/>
      <c r="OD80" s="32" t="str">
        <f>IF(OF80=0,"0",OF80/OF79)</f>
        <v>0</v>
      </c>
      <c r="OE80" s="37">
        <f t="shared" si="221"/>
        <v>0</v>
      </c>
      <c r="OF80" s="36">
        <f>COUNTIF(CL80:EA80,"x")</f>
        <v>0</v>
      </c>
      <c r="OG80" s="81"/>
      <c r="OH80" s="32" t="str">
        <f>IF(OJ80=0,"0",OJ80/OJ79)</f>
        <v>0</v>
      </c>
      <c r="OI80" s="37">
        <f t="shared" si="222"/>
        <v>0</v>
      </c>
      <c r="OJ80" s="36">
        <f>COUNTIF(EB80:FQ80,"x")</f>
        <v>0</v>
      </c>
      <c r="OK80" s="74"/>
      <c r="OL80" s="32" t="str">
        <f>IF(ON80=0,"0",ON80/ON79)</f>
        <v>0</v>
      </c>
      <c r="OM80" s="37">
        <f t="shared" si="223"/>
        <v>0</v>
      </c>
      <c r="ON80" s="36">
        <f>COUNTIF(FR80:HG80,"x")</f>
        <v>0</v>
      </c>
      <c r="OO80" s="74"/>
      <c r="OP80" s="32" t="str">
        <f>IF(OR80=0,"0",OR80/OR79)</f>
        <v>0</v>
      </c>
      <c r="OQ80" s="37">
        <f t="shared" si="224"/>
        <v>0</v>
      </c>
      <c r="OR80" s="36">
        <f>COUNTIF(HH80:IW80,"x")</f>
        <v>0</v>
      </c>
      <c r="OS80" s="74"/>
      <c r="OT80" s="32" t="str">
        <f>IF(OV80=0,"0",OV80/OV79)</f>
        <v>0</v>
      </c>
      <c r="OU80" s="37">
        <f t="shared" si="225"/>
        <v>0</v>
      </c>
      <c r="OV80" s="36">
        <f>COUNTIF(IX80:KM80,"x")</f>
        <v>0</v>
      </c>
      <c r="OW80" s="74"/>
      <c r="OX80" s="32" t="str">
        <f>IF(OZ80=0,"0",OZ80/OZ79)</f>
        <v>0</v>
      </c>
      <c r="OY80" s="37">
        <f t="shared" si="226"/>
        <v>0</v>
      </c>
      <c r="OZ80" s="36">
        <f>COUNTIF(KN80:MC80,"x")</f>
        <v>0</v>
      </c>
      <c r="PA80" s="74"/>
      <c r="PB80" s="32" t="str">
        <f>IF(PD80=0,"0",PD80/PD79)</f>
        <v>0</v>
      </c>
      <c r="PC80" s="37">
        <f t="shared" si="227"/>
        <v>0</v>
      </c>
      <c r="PD80" s="36">
        <f>COUNTIF(MD80:NS80,"x")</f>
        <v>0</v>
      </c>
      <c r="PE80" s="74"/>
    </row>
    <row r="81" spans="3:421" ht="15.75" customHeight="1" outlineLevel="1" x14ac:dyDescent="0.25">
      <c r="C81" s="88" t="s">
        <v>81</v>
      </c>
      <c r="D81" s="90" t="s">
        <v>110</v>
      </c>
      <c r="E81" s="53" t="s">
        <v>8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69"/>
      <c r="Q81" s="33"/>
      <c r="R81" s="33"/>
      <c r="S81" s="33"/>
      <c r="T81" s="33"/>
      <c r="U81" s="33"/>
      <c r="V81" s="33"/>
      <c r="W81" s="69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>
        <v>1</v>
      </c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  <c r="GC81" s="33"/>
      <c r="GD81" s="33"/>
      <c r="GE81" s="33"/>
      <c r="GF81" s="33"/>
      <c r="GG81" s="33"/>
      <c r="GH81" s="33"/>
      <c r="GI81" s="33"/>
      <c r="GJ81" s="33"/>
      <c r="GK81" s="33"/>
      <c r="GL81" s="33"/>
      <c r="GM81" s="33"/>
      <c r="GN81" s="33"/>
      <c r="GO81" s="33"/>
      <c r="GP81" s="33"/>
      <c r="GQ81" s="33"/>
      <c r="GR81" s="33"/>
      <c r="GS81" s="33"/>
      <c r="GT81" s="33"/>
      <c r="GU81" s="33"/>
      <c r="GV81" s="33"/>
      <c r="GW81" s="33"/>
      <c r="GX81" s="33"/>
      <c r="GY81" s="33"/>
      <c r="GZ81" s="33"/>
      <c r="HA81" s="33"/>
      <c r="HB81" s="33"/>
      <c r="HC81" s="33"/>
      <c r="HD81" s="33"/>
      <c r="HE81" s="33"/>
      <c r="HF81" s="33"/>
      <c r="HG81" s="33"/>
      <c r="HH81" s="33"/>
      <c r="HI81" s="33"/>
      <c r="HJ81" s="33"/>
      <c r="HK81" s="33"/>
      <c r="HL81" s="33"/>
      <c r="HM81" s="33"/>
      <c r="HN81" s="33"/>
      <c r="HO81" s="33"/>
      <c r="HP81" s="33"/>
      <c r="HQ81" s="33"/>
      <c r="HR81" s="33"/>
      <c r="HS81" s="33"/>
      <c r="HT81" s="33"/>
      <c r="HU81" s="33"/>
      <c r="HV81" s="33"/>
      <c r="HW81" s="33"/>
      <c r="HX81" s="33"/>
      <c r="HY81" s="33"/>
      <c r="HZ81" s="33"/>
      <c r="IA81" s="33"/>
      <c r="IB81" s="33"/>
      <c r="IC81" s="33"/>
      <c r="ID81" s="33"/>
      <c r="IE81" s="33"/>
      <c r="IF81" s="33"/>
      <c r="IG81" s="33"/>
      <c r="IH81" s="33"/>
      <c r="II81" s="33"/>
      <c r="IJ81" s="33"/>
      <c r="IK81" s="33"/>
      <c r="IL81" s="33"/>
      <c r="IM81" s="33"/>
      <c r="IN81" s="33"/>
      <c r="IO81" s="33"/>
      <c r="IP81" s="33"/>
      <c r="IQ81" s="33"/>
      <c r="IR81" s="33"/>
      <c r="IS81" s="33"/>
      <c r="IT81" s="33"/>
      <c r="IU81" s="33"/>
      <c r="IV81" s="33"/>
      <c r="IW81" s="33"/>
      <c r="IX81" s="33"/>
      <c r="IY81" s="33"/>
      <c r="IZ81" s="33"/>
      <c r="JA81" s="33"/>
      <c r="JB81" s="33"/>
      <c r="JC81" s="33"/>
      <c r="JD81" s="33"/>
      <c r="JE81" s="33"/>
      <c r="JF81" s="33"/>
      <c r="JG81" s="33"/>
      <c r="JH81" s="33"/>
      <c r="JI81" s="33"/>
      <c r="JJ81" s="33"/>
      <c r="JK81" s="33"/>
      <c r="JL81" s="33"/>
      <c r="JM81" s="33"/>
      <c r="JN81" s="33"/>
      <c r="JO81" s="33"/>
      <c r="JP81" s="33"/>
      <c r="JQ81" s="33"/>
      <c r="JR81" s="33"/>
      <c r="JS81" s="33"/>
      <c r="JT81" s="33"/>
      <c r="JU81" s="33"/>
      <c r="JV81" s="33"/>
      <c r="JW81" s="33"/>
      <c r="JX81" s="33"/>
      <c r="JY81" s="33"/>
      <c r="JZ81" s="33"/>
      <c r="KA81" s="33"/>
      <c r="KB81" s="33"/>
      <c r="KC81" s="33"/>
      <c r="KD81" s="33"/>
      <c r="KE81" s="33"/>
      <c r="KF81" s="33"/>
      <c r="KG81" s="33"/>
      <c r="KH81" s="33"/>
      <c r="KI81" s="33"/>
      <c r="KJ81" s="33"/>
      <c r="KK81" s="33"/>
      <c r="KL81" s="33"/>
      <c r="KM81" s="33"/>
      <c r="KN81" s="33"/>
      <c r="KO81" s="33"/>
      <c r="KP81" s="33"/>
      <c r="KQ81" s="33"/>
      <c r="KR81" s="33"/>
      <c r="KS81" s="33"/>
      <c r="KT81" s="33"/>
      <c r="KU81" s="33"/>
      <c r="KV81" s="33"/>
      <c r="KW81" s="33"/>
      <c r="KX81" s="33"/>
      <c r="KY81" s="33"/>
      <c r="KZ81" s="33"/>
      <c r="LA81" s="33"/>
      <c r="LB81" s="33"/>
      <c r="LC81" s="33"/>
      <c r="LD81" s="33"/>
      <c r="LE81" s="33"/>
      <c r="LF81" s="33"/>
      <c r="LG81" s="33"/>
      <c r="LH81" s="33"/>
      <c r="LI81" s="33"/>
      <c r="LJ81" s="33"/>
      <c r="LK81" s="33"/>
      <c r="LL81" s="33"/>
      <c r="LM81" s="33"/>
      <c r="LN81" s="33"/>
      <c r="LO81" s="33"/>
      <c r="LP81" s="33"/>
      <c r="LQ81" s="33"/>
      <c r="LR81" s="33"/>
      <c r="LS81" s="33"/>
      <c r="LT81" s="33"/>
      <c r="LU81" s="33"/>
      <c r="LV81" s="33"/>
      <c r="LW81" s="33"/>
      <c r="LX81" s="33"/>
      <c r="LY81" s="33"/>
      <c r="LZ81" s="33"/>
      <c r="MA81" s="33"/>
      <c r="MB81" s="33"/>
      <c r="MC81" s="33"/>
      <c r="MD81" s="33"/>
      <c r="ME81" s="33"/>
      <c r="MF81" s="33"/>
      <c r="MG81" s="33"/>
      <c r="MH81" s="33"/>
      <c r="MI81" s="33"/>
      <c r="MJ81" s="33"/>
      <c r="MK81" s="33"/>
      <c r="ML81" s="33"/>
      <c r="MM81" s="33"/>
      <c r="MN81" s="33"/>
      <c r="MO81" s="33"/>
      <c r="MP81" s="33"/>
      <c r="MQ81" s="33"/>
      <c r="MR81" s="33"/>
      <c r="MS81" s="33"/>
      <c r="MT81" s="33"/>
      <c r="MU81" s="33"/>
      <c r="MV81" s="33"/>
      <c r="MW81" s="33"/>
      <c r="MX81" s="33"/>
      <c r="MY81" s="33"/>
      <c r="MZ81" s="33"/>
      <c r="NA81" s="33"/>
      <c r="NB81" s="33"/>
      <c r="NC81" s="33"/>
      <c r="ND81" s="33"/>
      <c r="NE81" s="33"/>
      <c r="NF81" s="33"/>
      <c r="NG81" s="33"/>
      <c r="NH81" s="33"/>
      <c r="NI81" s="33"/>
      <c r="NJ81" s="33"/>
      <c r="NK81" s="33"/>
      <c r="NL81" s="33"/>
      <c r="NM81" s="33"/>
      <c r="NN81" s="33"/>
      <c r="NO81" s="33"/>
      <c r="NP81" s="33"/>
      <c r="NQ81" s="33"/>
      <c r="NR81" s="33"/>
      <c r="NS81" s="33"/>
      <c r="NT81" s="31">
        <f>COUNTIF(F81:NS81,"1")</f>
        <v>1</v>
      </c>
      <c r="NU81" s="80">
        <f>NT82/NT81</f>
        <v>1</v>
      </c>
      <c r="NV81" s="29" t="str">
        <f>+IF(NX81&gt;=1,"1",0)</f>
        <v>1</v>
      </c>
      <c r="NW81" s="38">
        <f t="shared" si="219"/>
        <v>1</v>
      </c>
      <c r="NX81" s="35">
        <f>COUNTIF(F81:AU81,"1")</f>
        <v>1</v>
      </c>
      <c r="NY81" s="80">
        <f t="shared" ref="NY81" si="237">NX82/NX81</f>
        <v>1</v>
      </c>
      <c r="NZ81" s="29">
        <f>+IF(OB81&gt;=1,"1",0)</f>
        <v>0</v>
      </c>
      <c r="OA81" s="38">
        <f t="shared" si="220"/>
        <v>1</v>
      </c>
      <c r="OB81" s="35">
        <f>COUNTIF(AV81:CK81,"1")</f>
        <v>0</v>
      </c>
      <c r="OC81" s="80" t="e">
        <f>OB82/OB81</f>
        <v>#DIV/0!</v>
      </c>
      <c r="OD81" s="29">
        <f>+IF(OF81&gt;=1,"1",0)</f>
        <v>0</v>
      </c>
      <c r="OE81" s="38">
        <f t="shared" si="221"/>
        <v>1</v>
      </c>
      <c r="OF81" s="35">
        <f>COUNTIF(CL81:EA81,"1")</f>
        <v>0</v>
      </c>
      <c r="OG81" s="80" t="e">
        <f>OF82/OF81</f>
        <v>#DIV/0!</v>
      </c>
      <c r="OH81" s="29">
        <f>+IF(OJ81&gt;=1,"1",0)</f>
        <v>0</v>
      </c>
      <c r="OI81" s="38">
        <f t="shared" si="222"/>
        <v>1</v>
      </c>
      <c r="OJ81" s="35">
        <f>COUNTIF(EB81:FQ81,"1")</f>
        <v>0</v>
      </c>
      <c r="OK81" s="79" t="e">
        <f>OJ82/OJ81</f>
        <v>#DIV/0!</v>
      </c>
      <c r="OL81" s="29">
        <f>+IF(ON81&gt;=1,"1",0)</f>
        <v>0</v>
      </c>
      <c r="OM81" s="38">
        <f t="shared" si="223"/>
        <v>1</v>
      </c>
      <c r="ON81" s="35">
        <f>COUNTIF(FR81:HG81,"1")</f>
        <v>0</v>
      </c>
      <c r="OO81" s="79" t="e">
        <f>ON82/ON81</f>
        <v>#DIV/0!</v>
      </c>
      <c r="OP81" s="29">
        <f>+IF(OR81&gt;=1,"1",0)</f>
        <v>0</v>
      </c>
      <c r="OQ81" s="38">
        <f t="shared" si="224"/>
        <v>1</v>
      </c>
      <c r="OR81" s="35">
        <f>COUNTIF(HH81:IW81,"1")</f>
        <v>0</v>
      </c>
      <c r="OS81" s="79" t="e">
        <f>OR82/OR81</f>
        <v>#DIV/0!</v>
      </c>
      <c r="OT81" s="29">
        <f>+IF(OV81&gt;=1,"1",0)</f>
        <v>0</v>
      </c>
      <c r="OU81" s="38">
        <f t="shared" si="225"/>
        <v>1</v>
      </c>
      <c r="OV81" s="35">
        <f>COUNTIF(IX81:KM81,"1")</f>
        <v>0</v>
      </c>
      <c r="OW81" s="79" t="e">
        <f>OV82/OV81</f>
        <v>#DIV/0!</v>
      </c>
      <c r="OX81" s="29">
        <f>+IF(OZ81&gt;=1,"1",0)</f>
        <v>0</v>
      </c>
      <c r="OY81" s="38">
        <f t="shared" si="226"/>
        <v>1</v>
      </c>
      <c r="OZ81" s="35">
        <f>COUNTIF(KN81:MC81,"1")</f>
        <v>0</v>
      </c>
      <c r="PA81" s="79" t="e">
        <f>OZ82/OZ81</f>
        <v>#DIV/0!</v>
      </c>
      <c r="PB81" s="29">
        <f>+IF(PD81&gt;=1,"1",0)</f>
        <v>0</v>
      </c>
      <c r="PC81" s="38">
        <f t="shared" si="227"/>
        <v>1</v>
      </c>
      <c r="PD81" s="35">
        <f>COUNTIF(MD81:NS81,"1")</f>
        <v>0</v>
      </c>
      <c r="PE81" s="79" t="e">
        <f>PD82/PD81</f>
        <v>#DIV/0!</v>
      </c>
    </row>
    <row r="82" spans="3:421" ht="15.75" customHeight="1" outlineLevel="1" thickBot="1" x14ac:dyDescent="0.3">
      <c r="C82" s="89"/>
      <c r="D82" s="91"/>
      <c r="E82" s="54" t="s">
        <v>9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70"/>
      <c r="Q82" s="34"/>
      <c r="R82" s="34"/>
      <c r="S82" s="34"/>
      <c r="T82" s="34"/>
      <c r="U82" s="34"/>
      <c r="V82" s="34"/>
      <c r="W82" s="70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 t="s">
        <v>75</v>
      </c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  <c r="GX82" s="34"/>
      <c r="GY82" s="34"/>
      <c r="GZ82" s="34"/>
      <c r="HA82" s="34"/>
      <c r="HB82" s="34"/>
      <c r="HC82" s="34"/>
      <c r="HD82" s="34"/>
      <c r="HE82" s="34"/>
      <c r="HF82" s="34"/>
      <c r="HG82" s="34"/>
      <c r="HH82" s="34"/>
      <c r="HI82" s="34"/>
      <c r="HJ82" s="34"/>
      <c r="HK82" s="34"/>
      <c r="HL82" s="34"/>
      <c r="HM82" s="34"/>
      <c r="HN82" s="34"/>
      <c r="HO82" s="34"/>
      <c r="HP82" s="34"/>
      <c r="HQ82" s="34"/>
      <c r="HR82" s="34"/>
      <c r="HS82" s="34"/>
      <c r="HT82" s="34"/>
      <c r="HU82" s="34"/>
      <c r="HV82" s="34"/>
      <c r="HW82" s="34"/>
      <c r="HX82" s="34"/>
      <c r="HY82" s="34"/>
      <c r="HZ82" s="34"/>
      <c r="IA82" s="34"/>
      <c r="IB82" s="34"/>
      <c r="IC82" s="34"/>
      <c r="ID82" s="34"/>
      <c r="IE82" s="34"/>
      <c r="IF82" s="34"/>
      <c r="IG82" s="34"/>
      <c r="IH82" s="34"/>
      <c r="II82" s="34"/>
      <c r="IJ82" s="34"/>
      <c r="IK82" s="34"/>
      <c r="IL82" s="34"/>
      <c r="IM82" s="34"/>
      <c r="IN82" s="34"/>
      <c r="IO82" s="34"/>
      <c r="IP82" s="34"/>
      <c r="IQ82" s="34"/>
      <c r="IR82" s="34"/>
      <c r="IS82" s="34"/>
      <c r="IT82" s="34"/>
      <c r="IU82" s="34"/>
      <c r="IV82" s="34"/>
      <c r="IW82" s="34"/>
      <c r="IX82" s="34"/>
      <c r="IY82" s="34"/>
      <c r="IZ82" s="34"/>
      <c r="JA82" s="34"/>
      <c r="JB82" s="34"/>
      <c r="JC82" s="34"/>
      <c r="JD82" s="34"/>
      <c r="JE82" s="34"/>
      <c r="JF82" s="34"/>
      <c r="JG82" s="34"/>
      <c r="JH82" s="34"/>
      <c r="JI82" s="34"/>
      <c r="JJ82" s="34"/>
      <c r="JK82" s="34"/>
      <c r="JL82" s="34"/>
      <c r="JM82" s="34"/>
      <c r="JN82" s="34"/>
      <c r="JO82" s="34"/>
      <c r="JP82" s="34"/>
      <c r="JQ82" s="34"/>
      <c r="JR82" s="34"/>
      <c r="JS82" s="34"/>
      <c r="JT82" s="34"/>
      <c r="JU82" s="34"/>
      <c r="JV82" s="34"/>
      <c r="JW82" s="34"/>
      <c r="JX82" s="34"/>
      <c r="JY82" s="34"/>
      <c r="JZ82" s="34"/>
      <c r="KA82" s="34"/>
      <c r="KB82" s="34"/>
      <c r="KC82" s="34"/>
      <c r="KD82" s="34"/>
      <c r="KE82" s="34"/>
      <c r="KF82" s="34"/>
      <c r="KG82" s="34"/>
      <c r="KH82" s="34"/>
      <c r="KI82" s="34"/>
      <c r="KJ82" s="34"/>
      <c r="KK82" s="34"/>
      <c r="KL82" s="34"/>
      <c r="KM82" s="34"/>
      <c r="KN82" s="34"/>
      <c r="KO82" s="34"/>
      <c r="KP82" s="34"/>
      <c r="KQ82" s="34"/>
      <c r="KR82" s="34"/>
      <c r="KS82" s="34"/>
      <c r="KT82" s="34"/>
      <c r="KU82" s="34"/>
      <c r="KV82" s="34"/>
      <c r="KW82" s="34"/>
      <c r="KX82" s="34"/>
      <c r="KY82" s="34"/>
      <c r="KZ82" s="34"/>
      <c r="LA82" s="34"/>
      <c r="LB82" s="34"/>
      <c r="LC82" s="34"/>
      <c r="LD82" s="34"/>
      <c r="LE82" s="34"/>
      <c r="LF82" s="34"/>
      <c r="LG82" s="34"/>
      <c r="LH82" s="34"/>
      <c r="LI82" s="34"/>
      <c r="LJ82" s="34"/>
      <c r="LK82" s="34"/>
      <c r="LL82" s="34"/>
      <c r="LM82" s="34"/>
      <c r="LN82" s="34"/>
      <c r="LO82" s="34"/>
      <c r="LP82" s="34"/>
      <c r="LQ82" s="34"/>
      <c r="LR82" s="34"/>
      <c r="LS82" s="34"/>
      <c r="LT82" s="34"/>
      <c r="LU82" s="34"/>
      <c r="LV82" s="34"/>
      <c r="LW82" s="34"/>
      <c r="LX82" s="34"/>
      <c r="LY82" s="34"/>
      <c r="LZ82" s="34"/>
      <c r="MA82" s="34"/>
      <c r="MB82" s="34"/>
      <c r="MC82" s="34"/>
      <c r="MD82" s="34"/>
      <c r="ME82" s="34"/>
      <c r="MF82" s="34"/>
      <c r="MG82" s="34"/>
      <c r="MH82" s="34"/>
      <c r="MI82" s="34"/>
      <c r="MJ82" s="34"/>
      <c r="MK82" s="34"/>
      <c r="ML82" s="34"/>
      <c r="MM82" s="34"/>
      <c r="MN82" s="34"/>
      <c r="MO82" s="34"/>
      <c r="MP82" s="34"/>
      <c r="MQ82" s="34"/>
      <c r="MR82" s="34"/>
      <c r="MS82" s="34"/>
      <c r="MT82" s="34"/>
      <c r="MU82" s="34"/>
      <c r="MV82" s="34"/>
      <c r="MW82" s="34"/>
      <c r="MX82" s="34"/>
      <c r="MY82" s="34"/>
      <c r="MZ82" s="34"/>
      <c r="NA82" s="34"/>
      <c r="NB82" s="34"/>
      <c r="NC82" s="34"/>
      <c r="ND82" s="34"/>
      <c r="NE82" s="34"/>
      <c r="NF82" s="34"/>
      <c r="NG82" s="34"/>
      <c r="NH82" s="34"/>
      <c r="NI82" s="34"/>
      <c r="NJ82" s="34"/>
      <c r="NK82" s="34"/>
      <c r="NL82" s="34"/>
      <c r="NM82" s="34"/>
      <c r="NN82" s="34"/>
      <c r="NO82" s="34"/>
      <c r="NP82" s="34"/>
      <c r="NQ82" s="34"/>
      <c r="NR82" s="34"/>
      <c r="NS82" s="34"/>
      <c r="NT82" s="7">
        <f>COUNTIF(F82:NS82,"x")</f>
        <v>1</v>
      </c>
      <c r="NU82" s="81"/>
      <c r="NV82" s="32">
        <f>IF(NX82=0,"0",NX82/NX81)</f>
        <v>1</v>
      </c>
      <c r="NW82" s="37">
        <f t="shared" si="219"/>
        <v>0</v>
      </c>
      <c r="NX82" s="36">
        <f>COUNTIF(F82:AU82,"x")</f>
        <v>1</v>
      </c>
      <c r="NY82" s="81"/>
      <c r="NZ82" s="32" t="str">
        <f>IF(OB82=0,"0",OB82/OB81)</f>
        <v>0</v>
      </c>
      <c r="OA82" s="37">
        <f t="shared" si="220"/>
        <v>0</v>
      </c>
      <c r="OB82" s="36">
        <f>COUNTIF(AV82:CK82,"x")</f>
        <v>0</v>
      </c>
      <c r="OC82" s="81"/>
      <c r="OD82" s="32" t="str">
        <f>IF(OF82=0,"0",OF82/OF81)</f>
        <v>0</v>
      </c>
      <c r="OE82" s="37">
        <f t="shared" si="221"/>
        <v>0</v>
      </c>
      <c r="OF82" s="36">
        <f>COUNTIF(CL82:EA82,"x")</f>
        <v>0</v>
      </c>
      <c r="OG82" s="81"/>
      <c r="OH82" s="32" t="str">
        <f>IF(OJ82=0,"0",OJ82/OJ81)</f>
        <v>0</v>
      </c>
      <c r="OI82" s="37">
        <f t="shared" si="222"/>
        <v>0</v>
      </c>
      <c r="OJ82" s="36">
        <f>COUNTIF(EB82:FQ82,"x")</f>
        <v>0</v>
      </c>
      <c r="OK82" s="74"/>
      <c r="OL82" s="32" t="str">
        <f>IF(ON82=0,"0",ON82/ON81)</f>
        <v>0</v>
      </c>
      <c r="OM82" s="37">
        <f t="shared" si="223"/>
        <v>0</v>
      </c>
      <c r="ON82" s="36">
        <f>COUNTIF(FR82:HG82,"x")</f>
        <v>0</v>
      </c>
      <c r="OO82" s="74"/>
      <c r="OP82" s="32" t="str">
        <f>IF(OR82=0,"0",OR82/OR81)</f>
        <v>0</v>
      </c>
      <c r="OQ82" s="37">
        <f t="shared" si="224"/>
        <v>0</v>
      </c>
      <c r="OR82" s="36">
        <f>COUNTIF(HH82:IW82,"x")</f>
        <v>0</v>
      </c>
      <c r="OS82" s="74"/>
      <c r="OT82" s="32" t="str">
        <f>IF(OV82=0,"0",OV82/OV81)</f>
        <v>0</v>
      </c>
      <c r="OU82" s="37">
        <f t="shared" si="225"/>
        <v>0</v>
      </c>
      <c r="OV82" s="36">
        <f>COUNTIF(IX82:KM82,"x")</f>
        <v>0</v>
      </c>
      <c r="OW82" s="74"/>
      <c r="OX82" s="32" t="str">
        <f>IF(OZ82=0,"0",OZ82/OZ81)</f>
        <v>0</v>
      </c>
      <c r="OY82" s="37">
        <f t="shared" si="226"/>
        <v>0</v>
      </c>
      <c r="OZ82" s="36">
        <f>COUNTIF(KN82:MC82,"x")</f>
        <v>0</v>
      </c>
      <c r="PA82" s="74"/>
      <c r="PB82" s="32" t="str">
        <f>IF(PD82=0,"0",PD82/PD81)</f>
        <v>0</v>
      </c>
      <c r="PC82" s="37">
        <f t="shared" si="227"/>
        <v>0</v>
      </c>
      <c r="PD82" s="36">
        <f>COUNTIF(MD82:NS82,"x")</f>
        <v>0</v>
      </c>
      <c r="PE82" s="74"/>
    </row>
    <row r="83" spans="3:421" ht="15.75" customHeight="1" outlineLevel="1" x14ac:dyDescent="0.25">
      <c r="C83" s="88" t="s">
        <v>82</v>
      </c>
      <c r="D83" s="90" t="s">
        <v>110</v>
      </c>
      <c r="E83" s="53" t="s">
        <v>8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69"/>
      <c r="Q83" s="33"/>
      <c r="R83" s="33"/>
      <c r="S83" s="33"/>
      <c r="T83" s="33"/>
      <c r="U83" s="33"/>
      <c r="V83" s="33"/>
      <c r="W83" s="69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  <c r="HI83" s="33"/>
      <c r="HJ83" s="33"/>
      <c r="HK83" s="33"/>
      <c r="HL83" s="33"/>
      <c r="HM83" s="33"/>
      <c r="HN83" s="33"/>
      <c r="HO83" s="33"/>
      <c r="HP83" s="33"/>
      <c r="HQ83" s="33"/>
      <c r="HR83" s="33"/>
      <c r="HS83" s="33"/>
      <c r="HT83" s="33"/>
      <c r="HU83" s="33"/>
      <c r="HV83" s="33"/>
      <c r="HW83" s="33"/>
      <c r="HX83" s="33"/>
      <c r="HY83" s="33"/>
      <c r="HZ83" s="33"/>
      <c r="IA83" s="33"/>
      <c r="IB83" s="33"/>
      <c r="IC83" s="33"/>
      <c r="ID83" s="33"/>
      <c r="IE83" s="33"/>
      <c r="IF83" s="33"/>
      <c r="IG83" s="33"/>
      <c r="IH83" s="33"/>
      <c r="II83" s="33"/>
      <c r="IJ83" s="33"/>
      <c r="IK83" s="33"/>
      <c r="IL83" s="33"/>
      <c r="IM83" s="33"/>
      <c r="IN83" s="33"/>
      <c r="IO83" s="33"/>
      <c r="IP83" s="33"/>
      <c r="IQ83" s="33"/>
      <c r="IR83" s="33"/>
      <c r="IS83" s="33"/>
      <c r="IT83" s="33"/>
      <c r="IU83" s="33"/>
      <c r="IV83" s="33"/>
      <c r="IW83" s="33"/>
      <c r="IX83" s="33"/>
      <c r="IY83" s="33"/>
      <c r="IZ83" s="33"/>
      <c r="JA83" s="33"/>
      <c r="JB83" s="33"/>
      <c r="JC83" s="33"/>
      <c r="JD83" s="33"/>
      <c r="JE83" s="33"/>
      <c r="JF83" s="33"/>
      <c r="JG83" s="33"/>
      <c r="JH83" s="33"/>
      <c r="JI83" s="33"/>
      <c r="JJ83" s="33"/>
      <c r="JK83" s="33"/>
      <c r="JL83" s="33"/>
      <c r="JM83" s="33"/>
      <c r="JN83" s="33"/>
      <c r="JO83" s="33"/>
      <c r="JP83" s="33"/>
      <c r="JQ83" s="33"/>
      <c r="JR83" s="33"/>
      <c r="JS83" s="33"/>
      <c r="JT83" s="33"/>
      <c r="JU83" s="33"/>
      <c r="JV83" s="33"/>
      <c r="JW83" s="33"/>
      <c r="JX83" s="33"/>
      <c r="JY83" s="33"/>
      <c r="JZ83" s="33"/>
      <c r="KA83" s="33"/>
      <c r="KB83" s="33"/>
      <c r="KC83" s="33"/>
      <c r="KD83" s="33"/>
      <c r="KE83" s="33"/>
      <c r="KF83" s="33"/>
      <c r="KG83" s="33"/>
      <c r="KH83" s="33"/>
      <c r="KI83" s="33"/>
      <c r="KJ83" s="33"/>
      <c r="KK83" s="33"/>
      <c r="KL83" s="33"/>
      <c r="KM83" s="33"/>
      <c r="KN83" s="33"/>
      <c r="KO83" s="33"/>
      <c r="KP83" s="33"/>
      <c r="KQ83" s="33"/>
      <c r="KR83" s="33"/>
      <c r="KS83" s="33"/>
      <c r="KT83" s="33"/>
      <c r="KU83" s="33"/>
      <c r="KV83" s="33"/>
      <c r="KW83" s="33"/>
      <c r="KX83" s="33"/>
      <c r="KY83" s="33"/>
      <c r="KZ83" s="33"/>
      <c r="LA83" s="33"/>
      <c r="LB83" s="33"/>
      <c r="LC83" s="33"/>
      <c r="LD83" s="33"/>
      <c r="LE83" s="33"/>
      <c r="LF83" s="33"/>
      <c r="LG83" s="33"/>
      <c r="LH83" s="33"/>
      <c r="LI83" s="33"/>
      <c r="LJ83" s="33"/>
      <c r="LK83" s="33"/>
      <c r="LL83" s="33"/>
      <c r="LM83" s="33"/>
      <c r="LN83" s="33"/>
      <c r="LO83" s="33"/>
      <c r="LP83" s="33"/>
      <c r="LQ83" s="33"/>
      <c r="LR83" s="33"/>
      <c r="LS83" s="33"/>
      <c r="LT83" s="33"/>
      <c r="LU83" s="33"/>
      <c r="LV83" s="33"/>
      <c r="LW83" s="33"/>
      <c r="LX83" s="33"/>
      <c r="LY83" s="33"/>
      <c r="LZ83" s="33"/>
      <c r="MA83" s="33"/>
      <c r="MB83" s="33"/>
      <c r="MC83" s="33"/>
      <c r="MD83" s="33"/>
      <c r="ME83" s="33"/>
      <c r="MF83" s="33"/>
      <c r="MG83" s="33"/>
      <c r="MH83" s="33"/>
      <c r="MI83" s="33"/>
      <c r="MJ83" s="33"/>
      <c r="MK83" s="33"/>
      <c r="ML83" s="33"/>
      <c r="MM83" s="33"/>
      <c r="MN83" s="33"/>
      <c r="MO83" s="33"/>
      <c r="MP83" s="33"/>
      <c r="MQ83" s="33"/>
      <c r="MR83" s="33"/>
      <c r="MS83" s="33"/>
      <c r="MT83" s="33"/>
      <c r="MU83" s="33"/>
      <c r="MV83" s="33"/>
      <c r="MW83" s="33"/>
      <c r="MX83" s="33"/>
      <c r="MY83" s="33"/>
      <c r="MZ83" s="33"/>
      <c r="NA83" s="33"/>
      <c r="NB83" s="33"/>
      <c r="NC83" s="33"/>
      <c r="ND83" s="33"/>
      <c r="NE83" s="33"/>
      <c r="NF83" s="33"/>
      <c r="NG83" s="33"/>
      <c r="NH83" s="33"/>
      <c r="NI83" s="33"/>
      <c r="NJ83" s="33"/>
      <c r="NK83" s="33"/>
      <c r="NL83" s="33"/>
      <c r="NM83" s="33"/>
      <c r="NN83" s="33"/>
      <c r="NO83" s="33"/>
      <c r="NP83" s="33"/>
      <c r="NQ83" s="33"/>
      <c r="NR83" s="33"/>
      <c r="NS83" s="33"/>
      <c r="NT83" s="31">
        <f>COUNTIF(F83:NS83,"1")</f>
        <v>0</v>
      </c>
      <c r="NU83" s="80" t="e">
        <f>NT84/NT83</f>
        <v>#DIV/0!</v>
      </c>
      <c r="NV83" s="29">
        <f>+IF(NX83&gt;=1,"1",0)</f>
        <v>0</v>
      </c>
      <c r="NW83" s="38">
        <f t="shared" si="219"/>
        <v>1</v>
      </c>
      <c r="NX83" s="35">
        <f>COUNTIF(F83:AU83,"1")</f>
        <v>0</v>
      </c>
      <c r="NY83" s="80" t="e">
        <f t="shared" ref="NY83" si="238">NX84/NX83</f>
        <v>#DIV/0!</v>
      </c>
      <c r="NZ83" s="29">
        <f>+IF(OB83&gt;=1,"1",0)</f>
        <v>0</v>
      </c>
      <c r="OA83" s="38">
        <f t="shared" si="220"/>
        <v>1</v>
      </c>
      <c r="OB83" s="35">
        <f>COUNTIF(AV83:CK83,"1")</f>
        <v>0</v>
      </c>
      <c r="OC83" s="80" t="e">
        <f>OB84/OB83</f>
        <v>#DIV/0!</v>
      </c>
      <c r="OD83" s="29">
        <f>+IF(OF83&gt;=1,"1",0)</f>
        <v>0</v>
      </c>
      <c r="OE83" s="38">
        <f t="shared" si="221"/>
        <v>1</v>
      </c>
      <c r="OF83" s="35">
        <f>COUNTIF(CL83:EA83,"1")</f>
        <v>0</v>
      </c>
      <c r="OG83" s="80" t="e">
        <f>OF84/OF83</f>
        <v>#DIV/0!</v>
      </c>
      <c r="OH83" s="29">
        <f>+IF(OJ83&gt;=1,"1",0)</f>
        <v>0</v>
      </c>
      <c r="OI83" s="38">
        <f t="shared" si="222"/>
        <v>1</v>
      </c>
      <c r="OJ83" s="35">
        <f>COUNTIF(EB83:FQ83,"1")</f>
        <v>0</v>
      </c>
      <c r="OK83" s="79" t="e">
        <f>OJ84/OJ83</f>
        <v>#DIV/0!</v>
      </c>
      <c r="OL83" s="29">
        <f>+IF(ON83&gt;=1,"1",0)</f>
        <v>0</v>
      </c>
      <c r="OM83" s="38">
        <f t="shared" si="223"/>
        <v>1</v>
      </c>
      <c r="ON83" s="35">
        <f>COUNTIF(FR83:HG83,"1")</f>
        <v>0</v>
      </c>
      <c r="OO83" s="79" t="e">
        <f>ON84/ON83</f>
        <v>#DIV/0!</v>
      </c>
      <c r="OP83" s="29">
        <f>+IF(OR83&gt;=1,"1",0)</f>
        <v>0</v>
      </c>
      <c r="OQ83" s="38">
        <f t="shared" si="224"/>
        <v>1</v>
      </c>
      <c r="OR83" s="35">
        <f>COUNTIF(HH83:IW83,"1")</f>
        <v>0</v>
      </c>
      <c r="OS83" s="79" t="e">
        <f>OR84/OR83</f>
        <v>#DIV/0!</v>
      </c>
      <c r="OT83" s="29">
        <f>+IF(OV83&gt;=1,"1",0)</f>
        <v>0</v>
      </c>
      <c r="OU83" s="38">
        <f t="shared" si="225"/>
        <v>1</v>
      </c>
      <c r="OV83" s="35">
        <f>COUNTIF(IX83:KM83,"1")</f>
        <v>0</v>
      </c>
      <c r="OW83" s="79" t="e">
        <f>OV84/OV83</f>
        <v>#DIV/0!</v>
      </c>
      <c r="OX83" s="29">
        <f>+IF(OZ83&gt;=1,"1",0)</f>
        <v>0</v>
      </c>
      <c r="OY83" s="38">
        <f t="shared" si="226"/>
        <v>1</v>
      </c>
      <c r="OZ83" s="35">
        <f>COUNTIF(KN83:MC83,"1")</f>
        <v>0</v>
      </c>
      <c r="PA83" s="79" t="e">
        <f>OZ84/OZ83</f>
        <v>#DIV/0!</v>
      </c>
      <c r="PB83" s="29">
        <f>+IF(PD83&gt;=1,"1",0)</f>
        <v>0</v>
      </c>
      <c r="PC83" s="38">
        <f t="shared" si="227"/>
        <v>1</v>
      </c>
      <c r="PD83" s="35">
        <f>COUNTIF(MD83:NS83,"1")</f>
        <v>0</v>
      </c>
      <c r="PE83" s="79" t="e">
        <f>PD84/PD83</f>
        <v>#DIV/0!</v>
      </c>
    </row>
    <row r="84" spans="3:421" ht="15.75" customHeight="1" outlineLevel="1" thickBot="1" x14ac:dyDescent="0.3">
      <c r="C84" s="89"/>
      <c r="D84" s="91"/>
      <c r="E84" s="54" t="s">
        <v>9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70"/>
      <c r="Q84" s="34"/>
      <c r="R84" s="34"/>
      <c r="S84" s="34"/>
      <c r="T84" s="34"/>
      <c r="U84" s="34"/>
      <c r="V84" s="34"/>
      <c r="W84" s="70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  <c r="HB84" s="34"/>
      <c r="HC84" s="34"/>
      <c r="HD84" s="34"/>
      <c r="HE84" s="34"/>
      <c r="HF84" s="34"/>
      <c r="HG84" s="34"/>
      <c r="HH84" s="34"/>
      <c r="HI84" s="34"/>
      <c r="HJ84" s="34"/>
      <c r="HK84" s="34"/>
      <c r="HL84" s="34"/>
      <c r="HM84" s="34"/>
      <c r="HN84" s="34"/>
      <c r="HO84" s="34"/>
      <c r="HP84" s="34"/>
      <c r="HQ84" s="34"/>
      <c r="HR84" s="34"/>
      <c r="HS84" s="34"/>
      <c r="HT84" s="34"/>
      <c r="HU84" s="34"/>
      <c r="HV84" s="34"/>
      <c r="HW84" s="34"/>
      <c r="HX84" s="34"/>
      <c r="HY84" s="34"/>
      <c r="HZ84" s="34"/>
      <c r="IA84" s="34"/>
      <c r="IB84" s="34"/>
      <c r="IC84" s="34"/>
      <c r="ID84" s="34"/>
      <c r="IE84" s="34"/>
      <c r="IF84" s="34"/>
      <c r="IG84" s="34"/>
      <c r="IH84" s="34"/>
      <c r="II84" s="34"/>
      <c r="IJ84" s="34"/>
      <c r="IK84" s="34"/>
      <c r="IL84" s="34"/>
      <c r="IM84" s="34"/>
      <c r="IN84" s="34"/>
      <c r="IO84" s="34"/>
      <c r="IP84" s="34"/>
      <c r="IQ84" s="34"/>
      <c r="IR84" s="34"/>
      <c r="IS84" s="34"/>
      <c r="IT84" s="34"/>
      <c r="IU84" s="34"/>
      <c r="IV84" s="34"/>
      <c r="IW84" s="34"/>
      <c r="IX84" s="34"/>
      <c r="IY84" s="34"/>
      <c r="IZ84" s="34"/>
      <c r="JA84" s="34"/>
      <c r="JB84" s="34"/>
      <c r="JC84" s="34"/>
      <c r="JD84" s="34"/>
      <c r="JE84" s="34"/>
      <c r="JF84" s="34"/>
      <c r="JG84" s="34"/>
      <c r="JH84" s="34"/>
      <c r="JI84" s="34"/>
      <c r="JJ84" s="34"/>
      <c r="JK84" s="34"/>
      <c r="JL84" s="34"/>
      <c r="JM84" s="34"/>
      <c r="JN84" s="34"/>
      <c r="JO84" s="34"/>
      <c r="JP84" s="34"/>
      <c r="JQ84" s="34"/>
      <c r="JR84" s="34"/>
      <c r="JS84" s="34"/>
      <c r="JT84" s="34"/>
      <c r="JU84" s="34"/>
      <c r="JV84" s="34"/>
      <c r="JW84" s="34"/>
      <c r="JX84" s="34"/>
      <c r="JY84" s="34"/>
      <c r="JZ84" s="34"/>
      <c r="KA84" s="34"/>
      <c r="KB84" s="34"/>
      <c r="KC84" s="34"/>
      <c r="KD84" s="34"/>
      <c r="KE84" s="34"/>
      <c r="KF84" s="34"/>
      <c r="KG84" s="34"/>
      <c r="KH84" s="34"/>
      <c r="KI84" s="34"/>
      <c r="KJ84" s="34"/>
      <c r="KK84" s="34"/>
      <c r="KL84" s="34"/>
      <c r="KM84" s="34"/>
      <c r="KN84" s="34"/>
      <c r="KO84" s="34"/>
      <c r="KP84" s="34"/>
      <c r="KQ84" s="34"/>
      <c r="KR84" s="34"/>
      <c r="KS84" s="34"/>
      <c r="KT84" s="34"/>
      <c r="KU84" s="34"/>
      <c r="KV84" s="34"/>
      <c r="KW84" s="34"/>
      <c r="KX84" s="34"/>
      <c r="KY84" s="34"/>
      <c r="KZ84" s="34"/>
      <c r="LA84" s="34"/>
      <c r="LB84" s="34"/>
      <c r="LC84" s="34"/>
      <c r="LD84" s="34"/>
      <c r="LE84" s="34"/>
      <c r="LF84" s="34"/>
      <c r="LG84" s="34"/>
      <c r="LH84" s="34"/>
      <c r="LI84" s="34"/>
      <c r="LJ84" s="34"/>
      <c r="LK84" s="34"/>
      <c r="LL84" s="34"/>
      <c r="LM84" s="34"/>
      <c r="LN84" s="34"/>
      <c r="LO84" s="34"/>
      <c r="LP84" s="34"/>
      <c r="LQ84" s="34"/>
      <c r="LR84" s="34"/>
      <c r="LS84" s="34"/>
      <c r="LT84" s="34"/>
      <c r="LU84" s="34"/>
      <c r="LV84" s="34"/>
      <c r="LW84" s="34"/>
      <c r="LX84" s="34"/>
      <c r="LY84" s="34"/>
      <c r="LZ84" s="34"/>
      <c r="MA84" s="34"/>
      <c r="MB84" s="34"/>
      <c r="MC84" s="34"/>
      <c r="MD84" s="34"/>
      <c r="ME84" s="34"/>
      <c r="MF84" s="34"/>
      <c r="MG84" s="34"/>
      <c r="MH84" s="34"/>
      <c r="MI84" s="34"/>
      <c r="MJ84" s="34"/>
      <c r="MK84" s="34"/>
      <c r="ML84" s="34"/>
      <c r="MM84" s="34"/>
      <c r="MN84" s="34"/>
      <c r="MO84" s="34"/>
      <c r="MP84" s="34"/>
      <c r="MQ84" s="34"/>
      <c r="MR84" s="34"/>
      <c r="MS84" s="34"/>
      <c r="MT84" s="34"/>
      <c r="MU84" s="34"/>
      <c r="MV84" s="34"/>
      <c r="MW84" s="34"/>
      <c r="MX84" s="34"/>
      <c r="MY84" s="34"/>
      <c r="MZ84" s="34"/>
      <c r="NA84" s="34"/>
      <c r="NB84" s="34"/>
      <c r="NC84" s="34"/>
      <c r="ND84" s="34"/>
      <c r="NE84" s="34"/>
      <c r="NF84" s="34"/>
      <c r="NG84" s="34"/>
      <c r="NH84" s="34"/>
      <c r="NI84" s="34"/>
      <c r="NJ84" s="34"/>
      <c r="NK84" s="34"/>
      <c r="NL84" s="34"/>
      <c r="NM84" s="34"/>
      <c r="NN84" s="34"/>
      <c r="NO84" s="34"/>
      <c r="NP84" s="34"/>
      <c r="NQ84" s="34"/>
      <c r="NR84" s="34"/>
      <c r="NS84" s="34"/>
      <c r="NT84" s="7">
        <f>COUNTIF(F84:NS84,"x")</f>
        <v>0</v>
      </c>
      <c r="NU84" s="81"/>
      <c r="NV84" s="32" t="str">
        <f>IF(NX84=0,"0",NX84/NX83)</f>
        <v>0</v>
      </c>
      <c r="NW84" s="37">
        <f t="shared" si="219"/>
        <v>0</v>
      </c>
      <c r="NX84" s="36">
        <f>COUNTIF(F84:AU84,"x")</f>
        <v>0</v>
      </c>
      <c r="NY84" s="81"/>
      <c r="NZ84" s="32" t="str">
        <f>IF(OB84=0,"0",OB84/OB83)</f>
        <v>0</v>
      </c>
      <c r="OA84" s="37">
        <f t="shared" si="220"/>
        <v>0</v>
      </c>
      <c r="OB84" s="36">
        <f>COUNTIF(AV84:CK84,"x")</f>
        <v>0</v>
      </c>
      <c r="OC84" s="81"/>
      <c r="OD84" s="32" t="str">
        <f>IF(OF84=0,"0",OF84/OF83)</f>
        <v>0</v>
      </c>
      <c r="OE84" s="37">
        <f t="shared" si="221"/>
        <v>0</v>
      </c>
      <c r="OF84" s="36">
        <f>COUNTIF(CL84:EA84,"x")</f>
        <v>0</v>
      </c>
      <c r="OG84" s="81"/>
      <c r="OH84" s="32" t="str">
        <f>IF(OJ84=0,"0",OJ84/OJ83)</f>
        <v>0</v>
      </c>
      <c r="OI84" s="37">
        <f t="shared" si="222"/>
        <v>0</v>
      </c>
      <c r="OJ84" s="36">
        <f>COUNTIF(EB84:FQ84,"x")</f>
        <v>0</v>
      </c>
      <c r="OK84" s="74"/>
      <c r="OL84" s="32" t="str">
        <f>IF(ON84=0,"0",ON84/ON83)</f>
        <v>0</v>
      </c>
      <c r="OM84" s="37">
        <f t="shared" si="223"/>
        <v>0</v>
      </c>
      <c r="ON84" s="36">
        <f>COUNTIF(FR84:HG84,"x")</f>
        <v>0</v>
      </c>
      <c r="OO84" s="74"/>
      <c r="OP84" s="32" t="str">
        <f>IF(OR84=0,"0",OR84/OR83)</f>
        <v>0</v>
      </c>
      <c r="OQ84" s="37">
        <f t="shared" si="224"/>
        <v>0</v>
      </c>
      <c r="OR84" s="36">
        <f>COUNTIF(HH84:IW84,"x")</f>
        <v>0</v>
      </c>
      <c r="OS84" s="74"/>
      <c r="OT84" s="32" t="str">
        <f>IF(OV84=0,"0",OV84/OV83)</f>
        <v>0</v>
      </c>
      <c r="OU84" s="37">
        <f t="shared" si="225"/>
        <v>0</v>
      </c>
      <c r="OV84" s="36">
        <f>COUNTIF(IX84:KM84,"x")</f>
        <v>0</v>
      </c>
      <c r="OW84" s="74"/>
      <c r="OX84" s="32" t="str">
        <f>IF(OZ84=0,"0",OZ84/OZ83)</f>
        <v>0</v>
      </c>
      <c r="OY84" s="37">
        <f t="shared" si="226"/>
        <v>0</v>
      </c>
      <c r="OZ84" s="36">
        <f>COUNTIF(KN84:MC84,"x")</f>
        <v>0</v>
      </c>
      <c r="PA84" s="74"/>
      <c r="PB84" s="32" t="str">
        <f>IF(PD84=0,"0",PD84/PD83)</f>
        <v>0</v>
      </c>
      <c r="PC84" s="37">
        <f t="shared" si="227"/>
        <v>0</v>
      </c>
      <c r="PD84" s="36">
        <f>COUNTIF(MD84:NS84,"x")</f>
        <v>0</v>
      </c>
      <c r="PE84" s="74"/>
    </row>
    <row r="85" spans="3:421" ht="15.75" customHeight="1" outlineLevel="1" x14ac:dyDescent="0.25">
      <c r="C85" s="88" t="s">
        <v>97</v>
      </c>
      <c r="D85" s="90" t="s">
        <v>110</v>
      </c>
      <c r="E85" s="53" t="s">
        <v>8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69"/>
      <c r="Q85" s="33"/>
      <c r="R85" s="33"/>
      <c r="S85" s="33"/>
      <c r="T85" s="33"/>
      <c r="U85" s="33"/>
      <c r="V85" s="33"/>
      <c r="W85" s="69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  <c r="HI85" s="33"/>
      <c r="HJ85" s="33"/>
      <c r="HK85" s="33"/>
      <c r="HL85" s="33"/>
      <c r="HM85" s="33"/>
      <c r="HN85" s="33"/>
      <c r="HO85" s="33"/>
      <c r="HP85" s="33"/>
      <c r="HQ85" s="33"/>
      <c r="HR85" s="33"/>
      <c r="HS85" s="33"/>
      <c r="HT85" s="33"/>
      <c r="HU85" s="33"/>
      <c r="HV85" s="33"/>
      <c r="HW85" s="33"/>
      <c r="HX85" s="33"/>
      <c r="HY85" s="33"/>
      <c r="HZ85" s="33"/>
      <c r="IA85" s="33"/>
      <c r="IB85" s="33"/>
      <c r="IC85" s="33"/>
      <c r="ID85" s="33"/>
      <c r="IE85" s="33"/>
      <c r="IF85" s="33"/>
      <c r="IG85" s="33"/>
      <c r="IH85" s="33"/>
      <c r="II85" s="33"/>
      <c r="IJ85" s="33"/>
      <c r="IK85" s="33"/>
      <c r="IL85" s="33"/>
      <c r="IM85" s="33"/>
      <c r="IN85" s="33"/>
      <c r="IO85" s="33"/>
      <c r="IP85" s="33"/>
      <c r="IQ85" s="33"/>
      <c r="IR85" s="33"/>
      <c r="IS85" s="33"/>
      <c r="IT85" s="33"/>
      <c r="IU85" s="33"/>
      <c r="IV85" s="33"/>
      <c r="IW85" s="33"/>
      <c r="IX85" s="33"/>
      <c r="IY85" s="33"/>
      <c r="IZ85" s="33"/>
      <c r="JA85" s="33"/>
      <c r="JB85" s="33"/>
      <c r="JC85" s="33"/>
      <c r="JD85" s="33"/>
      <c r="JE85" s="33"/>
      <c r="JF85" s="33"/>
      <c r="JG85" s="33"/>
      <c r="JH85" s="33"/>
      <c r="JI85" s="33"/>
      <c r="JJ85" s="33"/>
      <c r="JK85" s="33"/>
      <c r="JL85" s="33"/>
      <c r="JM85" s="33"/>
      <c r="JN85" s="33"/>
      <c r="JO85" s="33"/>
      <c r="JP85" s="33"/>
      <c r="JQ85" s="33"/>
      <c r="JR85" s="33"/>
      <c r="JS85" s="33"/>
      <c r="JT85" s="33"/>
      <c r="JU85" s="33"/>
      <c r="JV85" s="33"/>
      <c r="JW85" s="33"/>
      <c r="JX85" s="33"/>
      <c r="JY85" s="33"/>
      <c r="JZ85" s="33"/>
      <c r="KA85" s="33"/>
      <c r="KB85" s="33"/>
      <c r="KC85" s="33"/>
      <c r="KD85" s="33"/>
      <c r="KE85" s="33"/>
      <c r="KF85" s="33"/>
      <c r="KG85" s="33"/>
      <c r="KH85" s="33"/>
      <c r="KI85" s="33"/>
      <c r="KJ85" s="33"/>
      <c r="KK85" s="33"/>
      <c r="KL85" s="33"/>
      <c r="KM85" s="33"/>
      <c r="KN85" s="33"/>
      <c r="KO85" s="33"/>
      <c r="KP85" s="33"/>
      <c r="KQ85" s="33"/>
      <c r="KR85" s="33"/>
      <c r="KS85" s="33"/>
      <c r="KT85" s="33"/>
      <c r="KU85" s="33"/>
      <c r="KV85" s="33"/>
      <c r="KW85" s="33"/>
      <c r="KX85" s="33"/>
      <c r="KY85" s="33"/>
      <c r="KZ85" s="33"/>
      <c r="LA85" s="33"/>
      <c r="LB85" s="33"/>
      <c r="LC85" s="33"/>
      <c r="LD85" s="33"/>
      <c r="LE85" s="33"/>
      <c r="LF85" s="33"/>
      <c r="LG85" s="33"/>
      <c r="LH85" s="33"/>
      <c r="LI85" s="33"/>
      <c r="LJ85" s="33"/>
      <c r="LK85" s="33"/>
      <c r="LL85" s="33"/>
      <c r="LM85" s="33"/>
      <c r="LN85" s="33"/>
      <c r="LO85" s="33"/>
      <c r="LP85" s="33"/>
      <c r="LQ85" s="33"/>
      <c r="LR85" s="33"/>
      <c r="LS85" s="33"/>
      <c r="LT85" s="33"/>
      <c r="LU85" s="33"/>
      <c r="LV85" s="33"/>
      <c r="LW85" s="33"/>
      <c r="LX85" s="33"/>
      <c r="LY85" s="33"/>
      <c r="LZ85" s="33"/>
      <c r="MA85" s="33"/>
      <c r="MB85" s="33"/>
      <c r="MC85" s="33"/>
      <c r="MD85" s="33"/>
      <c r="ME85" s="33"/>
      <c r="MF85" s="33"/>
      <c r="MG85" s="33"/>
      <c r="MH85" s="33"/>
      <c r="MI85" s="33"/>
      <c r="MJ85" s="33"/>
      <c r="MK85" s="33"/>
      <c r="ML85" s="33"/>
      <c r="MM85" s="33"/>
      <c r="MN85" s="33"/>
      <c r="MO85" s="33"/>
      <c r="MP85" s="33"/>
      <c r="MQ85" s="33"/>
      <c r="MR85" s="33"/>
      <c r="MS85" s="33"/>
      <c r="MT85" s="33"/>
      <c r="MU85" s="33"/>
      <c r="MV85" s="33"/>
      <c r="MW85" s="33"/>
      <c r="MX85" s="33"/>
      <c r="MY85" s="33"/>
      <c r="MZ85" s="33"/>
      <c r="NA85" s="33"/>
      <c r="NB85" s="33"/>
      <c r="NC85" s="33"/>
      <c r="ND85" s="33"/>
      <c r="NE85" s="33"/>
      <c r="NF85" s="33"/>
      <c r="NG85" s="33"/>
      <c r="NH85" s="33"/>
      <c r="NI85" s="33"/>
      <c r="NJ85" s="33"/>
      <c r="NK85" s="33"/>
      <c r="NL85" s="33"/>
      <c r="NM85" s="33"/>
      <c r="NN85" s="33"/>
      <c r="NO85" s="33"/>
      <c r="NP85" s="33"/>
      <c r="NQ85" s="33"/>
      <c r="NR85" s="33"/>
      <c r="NS85" s="33"/>
      <c r="NT85" s="31">
        <f>COUNTIF(F85:NS85,"1")</f>
        <v>0</v>
      </c>
      <c r="NU85" s="80" t="e">
        <f>NT86/NT85</f>
        <v>#DIV/0!</v>
      </c>
      <c r="NV85" s="29">
        <f>+IF(NX85&gt;=1,"1",0)</f>
        <v>0</v>
      </c>
      <c r="NW85" s="38">
        <f t="shared" si="219"/>
        <v>1</v>
      </c>
      <c r="NX85" s="35">
        <f>COUNTIF(F85:AU85,"1")</f>
        <v>0</v>
      </c>
      <c r="NY85" s="80" t="e">
        <f t="shared" ref="NY85" si="239">NX86/NX85</f>
        <v>#DIV/0!</v>
      </c>
      <c r="NZ85" s="29">
        <f>+IF(OB85&gt;=1,"1",0)</f>
        <v>0</v>
      </c>
      <c r="OA85" s="38">
        <f t="shared" si="220"/>
        <v>1</v>
      </c>
      <c r="OB85" s="35">
        <f>COUNTIF(AV85:CK85,"1")</f>
        <v>0</v>
      </c>
      <c r="OC85" s="80" t="e">
        <f>OB86/OB85</f>
        <v>#DIV/0!</v>
      </c>
      <c r="OD85" s="29">
        <f>+IF(OF85&gt;=1,"1",0)</f>
        <v>0</v>
      </c>
      <c r="OE85" s="38">
        <f t="shared" si="221"/>
        <v>1</v>
      </c>
      <c r="OF85" s="35">
        <f>COUNTIF(CL85:EA85,"1")</f>
        <v>0</v>
      </c>
      <c r="OG85" s="80" t="e">
        <f>OF86/OF85</f>
        <v>#DIV/0!</v>
      </c>
      <c r="OH85" s="29">
        <f>+IF(OJ85&gt;=1,"1",0)</f>
        <v>0</v>
      </c>
      <c r="OI85" s="38">
        <f t="shared" si="222"/>
        <v>1</v>
      </c>
      <c r="OJ85" s="35">
        <f>COUNTIF(EB85:FQ85,"1")</f>
        <v>0</v>
      </c>
      <c r="OK85" s="79" t="e">
        <f>OJ86/OJ85</f>
        <v>#DIV/0!</v>
      </c>
      <c r="OL85" s="29">
        <f>+IF(ON85&gt;=1,"1",0)</f>
        <v>0</v>
      </c>
      <c r="OM85" s="38">
        <f t="shared" si="223"/>
        <v>1</v>
      </c>
      <c r="ON85" s="35">
        <f>COUNTIF(FR85:HG85,"1")</f>
        <v>0</v>
      </c>
      <c r="OO85" s="79" t="e">
        <f>ON86/ON85</f>
        <v>#DIV/0!</v>
      </c>
      <c r="OP85" s="29">
        <f>+IF(OR85&gt;=1,"1",0)</f>
        <v>0</v>
      </c>
      <c r="OQ85" s="38">
        <f t="shared" si="224"/>
        <v>1</v>
      </c>
      <c r="OR85" s="35">
        <f>COUNTIF(HH85:IW85,"1")</f>
        <v>0</v>
      </c>
      <c r="OS85" s="79" t="e">
        <f>OR86/OR85</f>
        <v>#DIV/0!</v>
      </c>
      <c r="OT85" s="29">
        <f>+IF(OV85&gt;=1,"1",0)</f>
        <v>0</v>
      </c>
      <c r="OU85" s="38">
        <f t="shared" si="225"/>
        <v>1</v>
      </c>
      <c r="OV85" s="35">
        <f>COUNTIF(IX85:KM85,"1")</f>
        <v>0</v>
      </c>
      <c r="OW85" s="79" t="e">
        <f>OV86/OV85</f>
        <v>#DIV/0!</v>
      </c>
      <c r="OX85" s="29">
        <f>+IF(OZ85&gt;=1,"1",0)</f>
        <v>0</v>
      </c>
      <c r="OY85" s="38">
        <f t="shared" si="226"/>
        <v>1</v>
      </c>
      <c r="OZ85" s="35">
        <f>COUNTIF(KN85:MC85,"1")</f>
        <v>0</v>
      </c>
      <c r="PA85" s="79" t="e">
        <f>OZ86/OZ85</f>
        <v>#DIV/0!</v>
      </c>
      <c r="PB85" s="29">
        <f>+IF(PD85&gt;=1,"1",0)</f>
        <v>0</v>
      </c>
      <c r="PC85" s="38">
        <f t="shared" si="227"/>
        <v>1</v>
      </c>
      <c r="PD85" s="35">
        <f>COUNTIF(MD85:NS85,"1")</f>
        <v>0</v>
      </c>
      <c r="PE85" s="79" t="e">
        <f>PD86/PD85</f>
        <v>#DIV/0!</v>
      </c>
    </row>
    <row r="86" spans="3:421" ht="15.75" customHeight="1" outlineLevel="1" thickBot="1" x14ac:dyDescent="0.3">
      <c r="C86" s="89"/>
      <c r="D86" s="91"/>
      <c r="E86" s="54" t="s">
        <v>9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70"/>
      <c r="Q86" s="34"/>
      <c r="R86" s="34"/>
      <c r="S86" s="34"/>
      <c r="T86" s="34"/>
      <c r="U86" s="34"/>
      <c r="V86" s="34"/>
      <c r="W86" s="70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  <c r="HG86" s="34"/>
      <c r="HH86" s="34"/>
      <c r="HI86" s="34"/>
      <c r="HJ86" s="34"/>
      <c r="HK86" s="34"/>
      <c r="HL86" s="34"/>
      <c r="HM86" s="34"/>
      <c r="HN86" s="34"/>
      <c r="HO86" s="34"/>
      <c r="HP86" s="34"/>
      <c r="HQ86" s="34"/>
      <c r="HR86" s="34"/>
      <c r="HS86" s="34"/>
      <c r="HT86" s="34"/>
      <c r="HU86" s="34"/>
      <c r="HV86" s="34"/>
      <c r="HW86" s="34"/>
      <c r="HX86" s="34"/>
      <c r="HY86" s="34"/>
      <c r="HZ86" s="34"/>
      <c r="IA86" s="34"/>
      <c r="IB86" s="34"/>
      <c r="IC86" s="34"/>
      <c r="ID86" s="34"/>
      <c r="IE86" s="34"/>
      <c r="IF86" s="34"/>
      <c r="IG86" s="34"/>
      <c r="IH86" s="34"/>
      <c r="II86" s="34"/>
      <c r="IJ86" s="34"/>
      <c r="IK86" s="34"/>
      <c r="IL86" s="34"/>
      <c r="IM86" s="34"/>
      <c r="IN86" s="34"/>
      <c r="IO86" s="34"/>
      <c r="IP86" s="34"/>
      <c r="IQ86" s="34"/>
      <c r="IR86" s="34"/>
      <c r="IS86" s="34"/>
      <c r="IT86" s="34"/>
      <c r="IU86" s="34"/>
      <c r="IV86" s="34"/>
      <c r="IW86" s="34"/>
      <c r="IX86" s="34"/>
      <c r="IY86" s="34"/>
      <c r="IZ86" s="34"/>
      <c r="JA86" s="34"/>
      <c r="JB86" s="34"/>
      <c r="JC86" s="34"/>
      <c r="JD86" s="34"/>
      <c r="JE86" s="34"/>
      <c r="JF86" s="34"/>
      <c r="JG86" s="34"/>
      <c r="JH86" s="34"/>
      <c r="JI86" s="34"/>
      <c r="JJ86" s="34"/>
      <c r="JK86" s="34"/>
      <c r="JL86" s="34"/>
      <c r="JM86" s="34"/>
      <c r="JN86" s="34"/>
      <c r="JO86" s="34"/>
      <c r="JP86" s="34"/>
      <c r="JQ86" s="34"/>
      <c r="JR86" s="34"/>
      <c r="JS86" s="34"/>
      <c r="JT86" s="34"/>
      <c r="JU86" s="34"/>
      <c r="JV86" s="34"/>
      <c r="JW86" s="34"/>
      <c r="JX86" s="34"/>
      <c r="JY86" s="34"/>
      <c r="JZ86" s="34"/>
      <c r="KA86" s="34"/>
      <c r="KB86" s="34"/>
      <c r="KC86" s="34"/>
      <c r="KD86" s="34"/>
      <c r="KE86" s="34"/>
      <c r="KF86" s="34"/>
      <c r="KG86" s="34"/>
      <c r="KH86" s="34"/>
      <c r="KI86" s="34"/>
      <c r="KJ86" s="34"/>
      <c r="KK86" s="34"/>
      <c r="KL86" s="34"/>
      <c r="KM86" s="34"/>
      <c r="KN86" s="34"/>
      <c r="KO86" s="34"/>
      <c r="KP86" s="34"/>
      <c r="KQ86" s="34"/>
      <c r="KR86" s="34"/>
      <c r="KS86" s="34"/>
      <c r="KT86" s="34"/>
      <c r="KU86" s="34"/>
      <c r="KV86" s="34"/>
      <c r="KW86" s="34"/>
      <c r="KX86" s="34"/>
      <c r="KY86" s="34"/>
      <c r="KZ86" s="34"/>
      <c r="LA86" s="34"/>
      <c r="LB86" s="34"/>
      <c r="LC86" s="34"/>
      <c r="LD86" s="34"/>
      <c r="LE86" s="34"/>
      <c r="LF86" s="34"/>
      <c r="LG86" s="34"/>
      <c r="LH86" s="34"/>
      <c r="LI86" s="34"/>
      <c r="LJ86" s="34"/>
      <c r="LK86" s="34"/>
      <c r="LL86" s="34"/>
      <c r="LM86" s="34"/>
      <c r="LN86" s="34"/>
      <c r="LO86" s="34"/>
      <c r="LP86" s="34"/>
      <c r="LQ86" s="34"/>
      <c r="LR86" s="34"/>
      <c r="LS86" s="34"/>
      <c r="LT86" s="34"/>
      <c r="LU86" s="34"/>
      <c r="LV86" s="34"/>
      <c r="LW86" s="34"/>
      <c r="LX86" s="34"/>
      <c r="LY86" s="34"/>
      <c r="LZ86" s="34"/>
      <c r="MA86" s="34"/>
      <c r="MB86" s="34"/>
      <c r="MC86" s="34"/>
      <c r="MD86" s="34"/>
      <c r="ME86" s="34"/>
      <c r="MF86" s="34"/>
      <c r="MG86" s="34"/>
      <c r="MH86" s="34"/>
      <c r="MI86" s="34"/>
      <c r="MJ86" s="34"/>
      <c r="MK86" s="34"/>
      <c r="ML86" s="34"/>
      <c r="MM86" s="34"/>
      <c r="MN86" s="34"/>
      <c r="MO86" s="34"/>
      <c r="MP86" s="34"/>
      <c r="MQ86" s="34"/>
      <c r="MR86" s="34"/>
      <c r="MS86" s="34"/>
      <c r="MT86" s="34"/>
      <c r="MU86" s="34"/>
      <c r="MV86" s="34"/>
      <c r="MW86" s="34"/>
      <c r="MX86" s="34"/>
      <c r="MY86" s="34"/>
      <c r="MZ86" s="34"/>
      <c r="NA86" s="34"/>
      <c r="NB86" s="34"/>
      <c r="NC86" s="34"/>
      <c r="ND86" s="34"/>
      <c r="NE86" s="34"/>
      <c r="NF86" s="34"/>
      <c r="NG86" s="34"/>
      <c r="NH86" s="34"/>
      <c r="NI86" s="34"/>
      <c r="NJ86" s="34"/>
      <c r="NK86" s="34"/>
      <c r="NL86" s="34"/>
      <c r="NM86" s="34"/>
      <c r="NN86" s="34"/>
      <c r="NO86" s="34"/>
      <c r="NP86" s="34"/>
      <c r="NQ86" s="34"/>
      <c r="NR86" s="34"/>
      <c r="NS86" s="34"/>
      <c r="NT86" s="7">
        <f>COUNTIF(F86:NS86,"x")</f>
        <v>0</v>
      </c>
      <c r="NU86" s="81"/>
      <c r="NV86" s="32" t="str">
        <f>IF(NX86=0,"0",NX86/NX85)</f>
        <v>0</v>
      </c>
      <c r="NW86" s="37">
        <f t="shared" si="219"/>
        <v>0</v>
      </c>
      <c r="NX86" s="36">
        <f>COUNTIF(F86:AU86,"x")</f>
        <v>0</v>
      </c>
      <c r="NY86" s="81"/>
      <c r="NZ86" s="32" t="str">
        <f>IF(OB86=0,"0",OB86/OB85)</f>
        <v>0</v>
      </c>
      <c r="OA86" s="37">
        <f t="shared" si="220"/>
        <v>0</v>
      </c>
      <c r="OB86" s="36">
        <f>COUNTIF(AV86:CK86,"x")</f>
        <v>0</v>
      </c>
      <c r="OC86" s="81"/>
      <c r="OD86" s="32" t="str">
        <f>IF(OF86=0,"0",OF86/OF85)</f>
        <v>0</v>
      </c>
      <c r="OE86" s="37">
        <f t="shared" si="221"/>
        <v>0</v>
      </c>
      <c r="OF86" s="36">
        <f>COUNTIF(CL86:EA86,"x")</f>
        <v>0</v>
      </c>
      <c r="OG86" s="81"/>
      <c r="OH86" s="32" t="str">
        <f>IF(OJ86=0,"0",OJ86/OJ85)</f>
        <v>0</v>
      </c>
      <c r="OI86" s="37">
        <f t="shared" si="222"/>
        <v>0</v>
      </c>
      <c r="OJ86" s="36">
        <f>COUNTIF(EB86:FQ86,"x")</f>
        <v>0</v>
      </c>
      <c r="OK86" s="74"/>
      <c r="OL86" s="32" t="str">
        <f>IF(ON86=0,"0",ON86/ON85)</f>
        <v>0</v>
      </c>
      <c r="OM86" s="37">
        <f t="shared" si="223"/>
        <v>0</v>
      </c>
      <c r="ON86" s="36">
        <f>COUNTIF(FR86:HG86,"x")</f>
        <v>0</v>
      </c>
      <c r="OO86" s="74"/>
      <c r="OP86" s="32" t="str">
        <f>IF(OR86=0,"0",OR86/OR85)</f>
        <v>0</v>
      </c>
      <c r="OQ86" s="37">
        <f t="shared" si="224"/>
        <v>0</v>
      </c>
      <c r="OR86" s="36">
        <f>COUNTIF(HH86:IW86,"x")</f>
        <v>0</v>
      </c>
      <c r="OS86" s="74"/>
      <c r="OT86" s="32" t="str">
        <f>IF(OV86=0,"0",OV86/OV85)</f>
        <v>0</v>
      </c>
      <c r="OU86" s="37">
        <f t="shared" si="225"/>
        <v>0</v>
      </c>
      <c r="OV86" s="36">
        <f>COUNTIF(IX86:KM86,"x")</f>
        <v>0</v>
      </c>
      <c r="OW86" s="74"/>
      <c r="OX86" s="32" t="str">
        <f>IF(OZ86=0,"0",OZ86/OZ85)</f>
        <v>0</v>
      </c>
      <c r="OY86" s="37">
        <f t="shared" si="226"/>
        <v>0</v>
      </c>
      <c r="OZ86" s="36">
        <f>COUNTIF(KN86:MC86,"x")</f>
        <v>0</v>
      </c>
      <c r="PA86" s="74"/>
      <c r="PB86" s="32" t="str">
        <f>IF(PD86=0,"0",PD86/PD85)</f>
        <v>0</v>
      </c>
      <c r="PC86" s="37">
        <f t="shared" si="227"/>
        <v>0</v>
      </c>
      <c r="PD86" s="36">
        <f>COUNTIF(MD86:NS86,"x")</f>
        <v>0</v>
      </c>
      <c r="PE86" s="74"/>
    </row>
    <row r="87" spans="3:421" ht="15.75" customHeight="1" outlineLevel="1" x14ac:dyDescent="0.25">
      <c r="C87" s="82" t="s">
        <v>98</v>
      </c>
      <c r="D87" s="90" t="s">
        <v>110</v>
      </c>
      <c r="E87" s="53" t="s">
        <v>8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69"/>
      <c r="Q87" s="33"/>
      <c r="R87" s="33"/>
      <c r="S87" s="33"/>
      <c r="T87" s="33"/>
      <c r="U87" s="33"/>
      <c r="V87" s="33"/>
      <c r="W87" s="69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  <c r="HI87" s="33"/>
      <c r="HJ87" s="33"/>
      <c r="HK87" s="33"/>
      <c r="HL87" s="33"/>
      <c r="HM87" s="33"/>
      <c r="HN87" s="33"/>
      <c r="HO87" s="33"/>
      <c r="HP87" s="33"/>
      <c r="HQ87" s="33"/>
      <c r="HR87" s="33"/>
      <c r="HS87" s="33"/>
      <c r="HT87" s="33"/>
      <c r="HU87" s="33"/>
      <c r="HV87" s="33"/>
      <c r="HW87" s="33"/>
      <c r="HX87" s="33"/>
      <c r="HY87" s="33"/>
      <c r="HZ87" s="33"/>
      <c r="IA87" s="33"/>
      <c r="IB87" s="33"/>
      <c r="IC87" s="33"/>
      <c r="ID87" s="33"/>
      <c r="IE87" s="33"/>
      <c r="IF87" s="33"/>
      <c r="IG87" s="33"/>
      <c r="IH87" s="33"/>
      <c r="II87" s="33"/>
      <c r="IJ87" s="33"/>
      <c r="IK87" s="33"/>
      <c r="IL87" s="33"/>
      <c r="IM87" s="33"/>
      <c r="IN87" s="33"/>
      <c r="IO87" s="33"/>
      <c r="IP87" s="33"/>
      <c r="IQ87" s="33"/>
      <c r="IR87" s="33"/>
      <c r="IS87" s="33"/>
      <c r="IT87" s="33"/>
      <c r="IU87" s="33"/>
      <c r="IV87" s="33"/>
      <c r="IW87" s="33"/>
      <c r="IX87" s="33"/>
      <c r="IY87" s="33"/>
      <c r="IZ87" s="33"/>
      <c r="JA87" s="33"/>
      <c r="JB87" s="33"/>
      <c r="JC87" s="33"/>
      <c r="JD87" s="33"/>
      <c r="JE87" s="33"/>
      <c r="JF87" s="33"/>
      <c r="JG87" s="33"/>
      <c r="JH87" s="33"/>
      <c r="JI87" s="33"/>
      <c r="JJ87" s="33"/>
      <c r="JK87" s="33"/>
      <c r="JL87" s="33"/>
      <c r="JM87" s="33"/>
      <c r="JN87" s="33"/>
      <c r="JO87" s="33"/>
      <c r="JP87" s="33"/>
      <c r="JQ87" s="33"/>
      <c r="JR87" s="33"/>
      <c r="JS87" s="33"/>
      <c r="JT87" s="33"/>
      <c r="JU87" s="33"/>
      <c r="JV87" s="33"/>
      <c r="JW87" s="33"/>
      <c r="JX87" s="33"/>
      <c r="JY87" s="33"/>
      <c r="JZ87" s="33"/>
      <c r="KA87" s="33"/>
      <c r="KB87" s="33"/>
      <c r="KC87" s="33"/>
      <c r="KD87" s="33"/>
      <c r="KE87" s="33"/>
      <c r="KF87" s="33"/>
      <c r="KG87" s="33"/>
      <c r="KH87" s="33"/>
      <c r="KI87" s="33"/>
      <c r="KJ87" s="33"/>
      <c r="KK87" s="33"/>
      <c r="KL87" s="33"/>
      <c r="KM87" s="33"/>
      <c r="KN87" s="33"/>
      <c r="KO87" s="33"/>
      <c r="KP87" s="33"/>
      <c r="KQ87" s="33"/>
      <c r="KR87" s="33"/>
      <c r="KS87" s="33"/>
      <c r="KT87" s="33"/>
      <c r="KU87" s="33"/>
      <c r="KV87" s="33"/>
      <c r="KW87" s="33"/>
      <c r="KX87" s="33"/>
      <c r="KY87" s="33"/>
      <c r="KZ87" s="33"/>
      <c r="LA87" s="33"/>
      <c r="LB87" s="33"/>
      <c r="LC87" s="33"/>
      <c r="LD87" s="33"/>
      <c r="LE87" s="33"/>
      <c r="LF87" s="33"/>
      <c r="LG87" s="33"/>
      <c r="LH87" s="33"/>
      <c r="LI87" s="33"/>
      <c r="LJ87" s="33"/>
      <c r="LK87" s="33"/>
      <c r="LL87" s="33"/>
      <c r="LM87" s="33"/>
      <c r="LN87" s="33"/>
      <c r="LO87" s="33"/>
      <c r="LP87" s="33"/>
      <c r="LQ87" s="33"/>
      <c r="LR87" s="33"/>
      <c r="LS87" s="33"/>
      <c r="LT87" s="33"/>
      <c r="LU87" s="33"/>
      <c r="LV87" s="33"/>
      <c r="LW87" s="33"/>
      <c r="LX87" s="33"/>
      <c r="LY87" s="33"/>
      <c r="LZ87" s="33"/>
      <c r="MA87" s="33"/>
      <c r="MB87" s="33"/>
      <c r="MC87" s="33"/>
      <c r="MD87" s="33"/>
      <c r="ME87" s="33"/>
      <c r="MF87" s="33"/>
      <c r="MG87" s="33"/>
      <c r="MH87" s="33"/>
      <c r="MI87" s="33"/>
      <c r="MJ87" s="33"/>
      <c r="MK87" s="33"/>
      <c r="ML87" s="33"/>
      <c r="MM87" s="33"/>
      <c r="MN87" s="33"/>
      <c r="MO87" s="33"/>
      <c r="MP87" s="33"/>
      <c r="MQ87" s="33"/>
      <c r="MR87" s="33"/>
      <c r="MS87" s="33"/>
      <c r="MT87" s="33"/>
      <c r="MU87" s="33"/>
      <c r="MV87" s="33"/>
      <c r="MW87" s="33"/>
      <c r="MX87" s="33"/>
      <c r="MY87" s="33"/>
      <c r="MZ87" s="33"/>
      <c r="NA87" s="33"/>
      <c r="NB87" s="33"/>
      <c r="NC87" s="33"/>
      <c r="ND87" s="33"/>
      <c r="NE87" s="33"/>
      <c r="NF87" s="33"/>
      <c r="NG87" s="33"/>
      <c r="NH87" s="33"/>
      <c r="NI87" s="33"/>
      <c r="NJ87" s="33"/>
      <c r="NK87" s="33"/>
      <c r="NL87" s="33"/>
      <c r="NM87" s="33"/>
      <c r="NN87" s="33"/>
      <c r="NO87" s="33"/>
      <c r="NP87" s="33"/>
      <c r="NQ87" s="33"/>
      <c r="NR87" s="33"/>
      <c r="NS87" s="33"/>
      <c r="NT87" s="31">
        <f>COUNTIF(F87:NS87,"1")</f>
        <v>0</v>
      </c>
      <c r="NU87" s="80" t="e">
        <f>NT88/NT87</f>
        <v>#DIV/0!</v>
      </c>
      <c r="NV87" s="29">
        <f>+IF(NX87&gt;=1,"1",0)</f>
        <v>0</v>
      </c>
      <c r="NW87" s="38">
        <f t="shared" si="219"/>
        <v>1</v>
      </c>
      <c r="NX87" s="35">
        <f>COUNTIF(F87:AU87,"1")</f>
        <v>0</v>
      </c>
      <c r="NY87" s="80" t="e">
        <f>NX88/NX87</f>
        <v>#DIV/0!</v>
      </c>
      <c r="NZ87" s="29">
        <f>+IF(OB87&gt;=1,"1",0)</f>
        <v>0</v>
      </c>
      <c r="OA87" s="38">
        <f t="shared" si="220"/>
        <v>1</v>
      </c>
      <c r="OB87" s="35">
        <f>COUNTIF(AV87:CK87,"1")</f>
        <v>0</v>
      </c>
      <c r="OC87" s="80" t="e">
        <f>OB88/OB87</f>
        <v>#DIV/0!</v>
      </c>
      <c r="OD87" s="29">
        <f>+IF(OF87&gt;=1,"1",0)</f>
        <v>0</v>
      </c>
      <c r="OE87" s="38">
        <f t="shared" si="221"/>
        <v>1</v>
      </c>
      <c r="OF87" s="35">
        <f>COUNTIF(CL87:EA87,"1")</f>
        <v>0</v>
      </c>
      <c r="OG87" s="80" t="e">
        <f>OF88/OF87</f>
        <v>#DIV/0!</v>
      </c>
      <c r="OH87" s="29">
        <f>+IF(OJ87&gt;=1,"1",0)</f>
        <v>0</v>
      </c>
      <c r="OI87" s="38">
        <f t="shared" si="222"/>
        <v>1</v>
      </c>
      <c r="OJ87" s="35">
        <f>COUNTIF(EB87:FQ87,"1")</f>
        <v>0</v>
      </c>
      <c r="OK87" s="79" t="e">
        <f>OJ88/OJ87</f>
        <v>#DIV/0!</v>
      </c>
      <c r="OL87" s="29">
        <f>+IF(ON87&gt;=1,"1",0)</f>
        <v>0</v>
      </c>
      <c r="OM87" s="38">
        <f t="shared" si="223"/>
        <v>1</v>
      </c>
      <c r="ON87" s="35">
        <f>COUNTIF(FR87:HG87,"1")</f>
        <v>0</v>
      </c>
      <c r="OO87" s="79" t="e">
        <f>ON88/ON87</f>
        <v>#DIV/0!</v>
      </c>
      <c r="OP87" s="29">
        <f>+IF(OR87&gt;=1,"1",0)</f>
        <v>0</v>
      </c>
      <c r="OQ87" s="38">
        <f t="shared" si="224"/>
        <v>1</v>
      </c>
      <c r="OR87" s="35">
        <f>COUNTIF(HH87:IW87,"1")</f>
        <v>0</v>
      </c>
      <c r="OS87" s="79" t="e">
        <f>OR88/OR87</f>
        <v>#DIV/0!</v>
      </c>
      <c r="OT87" s="29">
        <f>+IF(OV87&gt;=1,"1",0)</f>
        <v>0</v>
      </c>
      <c r="OU87" s="38">
        <f t="shared" si="225"/>
        <v>1</v>
      </c>
      <c r="OV87" s="35">
        <f>COUNTIF(IX87:KM87,"1")</f>
        <v>0</v>
      </c>
      <c r="OW87" s="79" t="e">
        <f>OV88/OV87</f>
        <v>#DIV/0!</v>
      </c>
      <c r="OX87" s="29">
        <f>+IF(OZ87&gt;=1,"1",0)</f>
        <v>0</v>
      </c>
      <c r="OY87" s="38">
        <f t="shared" si="226"/>
        <v>1</v>
      </c>
      <c r="OZ87" s="35">
        <f>COUNTIF(KN87:MC87,"1")</f>
        <v>0</v>
      </c>
      <c r="PA87" s="79" t="e">
        <f>OZ88/OZ87</f>
        <v>#DIV/0!</v>
      </c>
      <c r="PB87" s="29">
        <f>+IF(PD87&gt;=1,"1",0)</f>
        <v>0</v>
      </c>
      <c r="PC87" s="38">
        <f t="shared" si="227"/>
        <v>1</v>
      </c>
      <c r="PD87" s="35">
        <f>COUNTIF(MD87:NS87,"1")</f>
        <v>0</v>
      </c>
      <c r="PE87" s="79" t="e">
        <f>PD88/PD87</f>
        <v>#DIV/0!</v>
      </c>
    </row>
    <row r="88" spans="3:421" ht="15.75" customHeight="1" outlineLevel="1" thickBot="1" x14ac:dyDescent="0.3">
      <c r="C88" s="83"/>
      <c r="D88" s="91"/>
      <c r="E88" s="54" t="s">
        <v>9</v>
      </c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70"/>
      <c r="Q88" s="34"/>
      <c r="R88" s="34"/>
      <c r="S88" s="34"/>
      <c r="T88" s="34"/>
      <c r="U88" s="34"/>
      <c r="V88" s="34"/>
      <c r="W88" s="70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  <c r="HG88" s="34"/>
      <c r="HH88" s="34"/>
      <c r="HI88" s="34"/>
      <c r="HJ88" s="34"/>
      <c r="HK88" s="34"/>
      <c r="HL88" s="34"/>
      <c r="HM88" s="34"/>
      <c r="HN88" s="34"/>
      <c r="HO88" s="34"/>
      <c r="HP88" s="34"/>
      <c r="HQ88" s="34"/>
      <c r="HR88" s="34"/>
      <c r="HS88" s="34"/>
      <c r="HT88" s="34"/>
      <c r="HU88" s="34"/>
      <c r="HV88" s="34"/>
      <c r="HW88" s="34"/>
      <c r="HX88" s="34"/>
      <c r="HY88" s="34"/>
      <c r="HZ88" s="34"/>
      <c r="IA88" s="34"/>
      <c r="IB88" s="34"/>
      <c r="IC88" s="34"/>
      <c r="ID88" s="34"/>
      <c r="IE88" s="34"/>
      <c r="IF88" s="34"/>
      <c r="IG88" s="34"/>
      <c r="IH88" s="34"/>
      <c r="II88" s="34"/>
      <c r="IJ88" s="34"/>
      <c r="IK88" s="34"/>
      <c r="IL88" s="34"/>
      <c r="IM88" s="34"/>
      <c r="IN88" s="34"/>
      <c r="IO88" s="34"/>
      <c r="IP88" s="34"/>
      <c r="IQ88" s="34"/>
      <c r="IR88" s="34"/>
      <c r="IS88" s="34"/>
      <c r="IT88" s="34"/>
      <c r="IU88" s="34"/>
      <c r="IV88" s="34"/>
      <c r="IW88" s="34"/>
      <c r="IX88" s="34"/>
      <c r="IY88" s="34"/>
      <c r="IZ88" s="34"/>
      <c r="JA88" s="34"/>
      <c r="JB88" s="34"/>
      <c r="JC88" s="34"/>
      <c r="JD88" s="34"/>
      <c r="JE88" s="34"/>
      <c r="JF88" s="34"/>
      <c r="JG88" s="34"/>
      <c r="JH88" s="34"/>
      <c r="JI88" s="34"/>
      <c r="JJ88" s="34"/>
      <c r="JK88" s="34"/>
      <c r="JL88" s="34"/>
      <c r="JM88" s="34"/>
      <c r="JN88" s="34"/>
      <c r="JO88" s="34"/>
      <c r="JP88" s="34"/>
      <c r="JQ88" s="34"/>
      <c r="JR88" s="34"/>
      <c r="JS88" s="34"/>
      <c r="JT88" s="34"/>
      <c r="JU88" s="34"/>
      <c r="JV88" s="34"/>
      <c r="JW88" s="34"/>
      <c r="JX88" s="34"/>
      <c r="JY88" s="34"/>
      <c r="JZ88" s="34"/>
      <c r="KA88" s="34"/>
      <c r="KB88" s="34"/>
      <c r="KC88" s="34"/>
      <c r="KD88" s="34"/>
      <c r="KE88" s="34"/>
      <c r="KF88" s="34"/>
      <c r="KG88" s="34"/>
      <c r="KH88" s="34"/>
      <c r="KI88" s="34"/>
      <c r="KJ88" s="34"/>
      <c r="KK88" s="34"/>
      <c r="KL88" s="34"/>
      <c r="KM88" s="34"/>
      <c r="KN88" s="34"/>
      <c r="KO88" s="34"/>
      <c r="KP88" s="34"/>
      <c r="KQ88" s="34"/>
      <c r="KR88" s="34"/>
      <c r="KS88" s="34"/>
      <c r="KT88" s="34"/>
      <c r="KU88" s="34"/>
      <c r="KV88" s="34"/>
      <c r="KW88" s="34"/>
      <c r="KX88" s="34"/>
      <c r="KY88" s="34"/>
      <c r="KZ88" s="34"/>
      <c r="LA88" s="34"/>
      <c r="LB88" s="34"/>
      <c r="LC88" s="34"/>
      <c r="LD88" s="34"/>
      <c r="LE88" s="34"/>
      <c r="LF88" s="34"/>
      <c r="LG88" s="34"/>
      <c r="LH88" s="34"/>
      <c r="LI88" s="34"/>
      <c r="LJ88" s="34"/>
      <c r="LK88" s="34"/>
      <c r="LL88" s="34"/>
      <c r="LM88" s="34"/>
      <c r="LN88" s="34"/>
      <c r="LO88" s="34"/>
      <c r="LP88" s="34"/>
      <c r="LQ88" s="34"/>
      <c r="LR88" s="34"/>
      <c r="LS88" s="34"/>
      <c r="LT88" s="34"/>
      <c r="LU88" s="34"/>
      <c r="LV88" s="34"/>
      <c r="LW88" s="34"/>
      <c r="LX88" s="34"/>
      <c r="LY88" s="34"/>
      <c r="LZ88" s="34"/>
      <c r="MA88" s="34"/>
      <c r="MB88" s="34"/>
      <c r="MC88" s="34"/>
      <c r="MD88" s="34"/>
      <c r="ME88" s="34"/>
      <c r="MF88" s="34"/>
      <c r="MG88" s="34"/>
      <c r="MH88" s="34"/>
      <c r="MI88" s="34"/>
      <c r="MJ88" s="34"/>
      <c r="MK88" s="34"/>
      <c r="ML88" s="34"/>
      <c r="MM88" s="34"/>
      <c r="MN88" s="34"/>
      <c r="MO88" s="34"/>
      <c r="MP88" s="34"/>
      <c r="MQ88" s="34"/>
      <c r="MR88" s="34"/>
      <c r="MS88" s="34"/>
      <c r="MT88" s="34"/>
      <c r="MU88" s="34"/>
      <c r="MV88" s="34"/>
      <c r="MW88" s="34"/>
      <c r="MX88" s="34"/>
      <c r="MY88" s="34"/>
      <c r="MZ88" s="34"/>
      <c r="NA88" s="34"/>
      <c r="NB88" s="34"/>
      <c r="NC88" s="34"/>
      <c r="ND88" s="34"/>
      <c r="NE88" s="34"/>
      <c r="NF88" s="34"/>
      <c r="NG88" s="34"/>
      <c r="NH88" s="34"/>
      <c r="NI88" s="34"/>
      <c r="NJ88" s="34"/>
      <c r="NK88" s="34"/>
      <c r="NL88" s="34"/>
      <c r="NM88" s="34"/>
      <c r="NN88" s="34"/>
      <c r="NO88" s="34"/>
      <c r="NP88" s="34"/>
      <c r="NQ88" s="34"/>
      <c r="NR88" s="34"/>
      <c r="NS88" s="34"/>
      <c r="NT88" s="7">
        <f>COUNTIF(F88:NS88,"x")</f>
        <v>0</v>
      </c>
      <c r="NU88" s="81"/>
      <c r="NV88" s="32" t="str">
        <f>IF(NX88=0,"0",NX88/NX87)</f>
        <v>0</v>
      </c>
      <c r="NW88" s="37">
        <f t="shared" si="219"/>
        <v>0</v>
      </c>
      <c r="NX88" s="36">
        <f>COUNTIF(F88:AU88,"x")</f>
        <v>0</v>
      </c>
      <c r="NY88" s="81"/>
      <c r="NZ88" s="32" t="str">
        <f>IF(OB88=0,"0",OB88/OB87)</f>
        <v>0</v>
      </c>
      <c r="OA88" s="37">
        <f t="shared" si="220"/>
        <v>0</v>
      </c>
      <c r="OB88" s="36">
        <f>COUNTIF(AV88:CK88,"x")</f>
        <v>0</v>
      </c>
      <c r="OC88" s="81"/>
      <c r="OD88" s="32" t="str">
        <f>IF(OF88=0,"0",OF88/OF87)</f>
        <v>0</v>
      </c>
      <c r="OE88" s="37">
        <f t="shared" si="221"/>
        <v>0</v>
      </c>
      <c r="OF88" s="36">
        <f>COUNTIF(CL88:EA88,"x")</f>
        <v>0</v>
      </c>
      <c r="OG88" s="81"/>
      <c r="OH88" s="32" t="str">
        <f>IF(OJ88=0,"0",OJ88/OJ87)</f>
        <v>0</v>
      </c>
      <c r="OI88" s="37">
        <f t="shared" si="222"/>
        <v>0</v>
      </c>
      <c r="OJ88" s="36">
        <f>COUNTIF(EB88:FQ88,"x")</f>
        <v>0</v>
      </c>
      <c r="OK88" s="74"/>
      <c r="OL88" s="32" t="str">
        <f>IF(ON88=0,"0",ON88/ON87)</f>
        <v>0</v>
      </c>
      <c r="OM88" s="37">
        <f t="shared" si="223"/>
        <v>0</v>
      </c>
      <c r="ON88" s="36">
        <f>COUNTIF(FR88:HG88,"x")</f>
        <v>0</v>
      </c>
      <c r="OO88" s="74"/>
      <c r="OP88" s="32" t="str">
        <f>IF(OR88=0,"0",OR88/OR87)</f>
        <v>0</v>
      </c>
      <c r="OQ88" s="37">
        <f t="shared" si="224"/>
        <v>0</v>
      </c>
      <c r="OR88" s="36">
        <f>COUNTIF(HH88:IW88,"x")</f>
        <v>0</v>
      </c>
      <c r="OS88" s="74"/>
      <c r="OT88" s="32" t="str">
        <f>IF(OV88=0,"0",OV88/OV87)</f>
        <v>0</v>
      </c>
      <c r="OU88" s="37">
        <f t="shared" si="225"/>
        <v>0</v>
      </c>
      <c r="OV88" s="36">
        <f>COUNTIF(IX88:KM88,"x")</f>
        <v>0</v>
      </c>
      <c r="OW88" s="74"/>
      <c r="OX88" s="32" t="str">
        <f>IF(OZ88=0,"0",OZ88/OZ87)</f>
        <v>0</v>
      </c>
      <c r="OY88" s="37">
        <f t="shared" si="226"/>
        <v>0</v>
      </c>
      <c r="OZ88" s="36">
        <f>COUNTIF(KN88:MC88,"x")</f>
        <v>0</v>
      </c>
      <c r="PA88" s="74"/>
      <c r="PB88" s="32" t="str">
        <f>IF(PD88=0,"0",PD88/PD87)</f>
        <v>0</v>
      </c>
      <c r="PC88" s="37">
        <f t="shared" si="227"/>
        <v>0</v>
      </c>
      <c r="PD88" s="36">
        <f>COUNTIF(MD88:NS88,"x")</f>
        <v>0</v>
      </c>
      <c r="PE88" s="74"/>
    </row>
    <row r="89" spans="3:421" ht="15.75" customHeight="1" outlineLevel="1" x14ac:dyDescent="0.25">
      <c r="C89" s="82" t="s">
        <v>99</v>
      </c>
      <c r="D89" s="90" t="s">
        <v>110</v>
      </c>
      <c r="E89" s="53" t="s">
        <v>8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69"/>
      <c r="Q89" s="33"/>
      <c r="R89" s="33"/>
      <c r="S89" s="33"/>
      <c r="T89" s="33"/>
      <c r="U89" s="33"/>
      <c r="V89" s="33"/>
      <c r="W89" s="69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>
        <v>1</v>
      </c>
      <c r="AU89" s="33">
        <v>1</v>
      </c>
      <c r="AV89" s="33"/>
      <c r="AW89" s="33"/>
      <c r="AX89" s="33"/>
      <c r="AY89" s="33">
        <v>1</v>
      </c>
      <c r="AZ89" s="33">
        <v>1</v>
      </c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  <c r="HI89" s="33"/>
      <c r="HJ89" s="33"/>
      <c r="HK89" s="33"/>
      <c r="HL89" s="33"/>
      <c r="HM89" s="33"/>
      <c r="HN89" s="33"/>
      <c r="HO89" s="33"/>
      <c r="HP89" s="33"/>
      <c r="HQ89" s="33"/>
      <c r="HR89" s="33"/>
      <c r="HS89" s="33"/>
      <c r="HT89" s="33"/>
      <c r="HU89" s="33"/>
      <c r="HV89" s="33"/>
      <c r="HW89" s="33"/>
      <c r="HX89" s="33"/>
      <c r="HY89" s="33"/>
      <c r="HZ89" s="33"/>
      <c r="IA89" s="33"/>
      <c r="IB89" s="33"/>
      <c r="IC89" s="33"/>
      <c r="ID89" s="33"/>
      <c r="IE89" s="33"/>
      <c r="IF89" s="33"/>
      <c r="IG89" s="33"/>
      <c r="IH89" s="33"/>
      <c r="II89" s="33"/>
      <c r="IJ89" s="33"/>
      <c r="IK89" s="33"/>
      <c r="IL89" s="33"/>
      <c r="IM89" s="33"/>
      <c r="IN89" s="33"/>
      <c r="IO89" s="33"/>
      <c r="IP89" s="33"/>
      <c r="IQ89" s="33"/>
      <c r="IR89" s="33"/>
      <c r="IS89" s="33"/>
      <c r="IT89" s="33"/>
      <c r="IU89" s="33"/>
      <c r="IV89" s="33"/>
      <c r="IW89" s="33"/>
      <c r="IX89" s="33"/>
      <c r="IY89" s="33"/>
      <c r="IZ89" s="33"/>
      <c r="JA89" s="33"/>
      <c r="JB89" s="33"/>
      <c r="JC89" s="33"/>
      <c r="JD89" s="33"/>
      <c r="JE89" s="33"/>
      <c r="JF89" s="33"/>
      <c r="JG89" s="33"/>
      <c r="JH89" s="33"/>
      <c r="JI89" s="33"/>
      <c r="JJ89" s="33"/>
      <c r="JK89" s="33"/>
      <c r="JL89" s="33"/>
      <c r="JM89" s="33"/>
      <c r="JN89" s="33"/>
      <c r="JO89" s="33"/>
      <c r="JP89" s="33"/>
      <c r="JQ89" s="33"/>
      <c r="JR89" s="33"/>
      <c r="JS89" s="33"/>
      <c r="JT89" s="33"/>
      <c r="JU89" s="33"/>
      <c r="JV89" s="33"/>
      <c r="JW89" s="33"/>
      <c r="JX89" s="33"/>
      <c r="JY89" s="33"/>
      <c r="JZ89" s="33"/>
      <c r="KA89" s="33"/>
      <c r="KB89" s="33"/>
      <c r="KC89" s="33"/>
      <c r="KD89" s="33"/>
      <c r="KE89" s="33"/>
      <c r="KF89" s="33"/>
      <c r="KG89" s="33"/>
      <c r="KH89" s="33"/>
      <c r="KI89" s="33"/>
      <c r="KJ89" s="33"/>
      <c r="KK89" s="33"/>
      <c r="KL89" s="33"/>
      <c r="KM89" s="33"/>
      <c r="KN89" s="33"/>
      <c r="KO89" s="33"/>
      <c r="KP89" s="33"/>
      <c r="KQ89" s="33"/>
      <c r="KR89" s="33"/>
      <c r="KS89" s="33"/>
      <c r="KT89" s="33"/>
      <c r="KU89" s="33"/>
      <c r="KV89" s="33"/>
      <c r="KW89" s="33"/>
      <c r="KX89" s="33"/>
      <c r="KY89" s="33"/>
      <c r="KZ89" s="33"/>
      <c r="LA89" s="33"/>
      <c r="LB89" s="33"/>
      <c r="LC89" s="33"/>
      <c r="LD89" s="33"/>
      <c r="LE89" s="33"/>
      <c r="LF89" s="33"/>
      <c r="LG89" s="33"/>
      <c r="LH89" s="33"/>
      <c r="LI89" s="33"/>
      <c r="LJ89" s="33"/>
      <c r="LK89" s="33"/>
      <c r="LL89" s="33"/>
      <c r="LM89" s="33"/>
      <c r="LN89" s="33"/>
      <c r="LO89" s="33"/>
      <c r="LP89" s="33"/>
      <c r="LQ89" s="33"/>
      <c r="LR89" s="33"/>
      <c r="LS89" s="33"/>
      <c r="LT89" s="33"/>
      <c r="LU89" s="33"/>
      <c r="LV89" s="33"/>
      <c r="LW89" s="33"/>
      <c r="LX89" s="33"/>
      <c r="LY89" s="33"/>
      <c r="LZ89" s="33"/>
      <c r="MA89" s="33"/>
      <c r="MB89" s="33"/>
      <c r="MC89" s="33"/>
      <c r="MD89" s="33"/>
      <c r="ME89" s="33"/>
      <c r="MF89" s="33"/>
      <c r="MG89" s="33"/>
      <c r="MH89" s="33"/>
      <c r="MI89" s="33"/>
      <c r="MJ89" s="33"/>
      <c r="MK89" s="33"/>
      <c r="ML89" s="33"/>
      <c r="MM89" s="33"/>
      <c r="MN89" s="33"/>
      <c r="MO89" s="33"/>
      <c r="MP89" s="33"/>
      <c r="MQ89" s="33"/>
      <c r="MR89" s="33"/>
      <c r="MS89" s="33"/>
      <c r="MT89" s="33"/>
      <c r="MU89" s="33"/>
      <c r="MV89" s="33"/>
      <c r="MW89" s="33"/>
      <c r="MX89" s="33"/>
      <c r="MY89" s="33"/>
      <c r="MZ89" s="33"/>
      <c r="NA89" s="33"/>
      <c r="NB89" s="33"/>
      <c r="NC89" s="33"/>
      <c r="ND89" s="33"/>
      <c r="NE89" s="33"/>
      <c r="NF89" s="33"/>
      <c r="NG89" s="33"/>
      <c r="NH89" s="33"/>
      <c r="NI89" s="33"/>
      <c r="NJ89" s="33"/>
      <c r="NK89" s="33"/>
      <c r="NL89" s="33"/>
      <c r="NM89" s="33"/>
      <c r="NN89" s="33"/>
      <c r="NO89" s="33"/>
      <c r="NP89" s="33"/>
      <c r="NQ89" s="33"/>
      <c r="NR89" s="33"/>
      <c r="NS89" s="33"/>
      <c r="NT89" s="31">
        <f>COUNTIF(F89:NS89,"1")</f>
        <v>4</v>
      </c>
      <c r="NU89" s="80">
        <f>NT90/NT89</f>
        <v>0.5</v>
      </c>
      <c r="NV89" s="29" t="str">
        <f>+IF(NX89&gt;=1,"1",0)</f>
        <v>1</v>
      </c>
      <c r="NW89" s="38">
        <f t="shared" si="219"/>
        <v>1</v>
      </c>
      <c r="NX89" s="35">
        <f>COUNTIF(F89:AU89,"1")</f>
        <v>2</v>
      </c>
      <c r="NY89" s="80">
        <f>NX90/NX89</f>
        <v>1</v>
      </c>
      <c r="NZ89" s="29" t="str">
        <f>+IF(OB89&gt;=1,"1",0)</f>
        <v>1</v>
      </c>
      <c r="OA89" s="38">
        <f t="shared" si="220"/>
        <v>1</v>
      </c>
      <c r="OB89" s="35">
        <f>COUNTIF(AV89:CK89,"1")</f>
        <v>2</v>
      </c>
      <c r="OC89" s="80">
        <f>OB90/OB89</f>
        <v>0</v>
      </c>
      <c r="OD89" s="29">
        <f>+IF(OF89&gt;=1,"1",0)</f>
        <v>0</v>
      </c>
      <c r="OE89" s="38">
        <f t="shared" si="221"/>
        <v>1</v>
      </c>
      <c r="OF89" s="35">
        <f>COUNTIF(CL89:EA89,"1")</f>
        <v>0</v>
      </c>
      <c r="OG89" s="80" t="e">
        <f>OF90/OF89</f>
        <v>#DIV/0!</v>
      </c>
      <c r="OH89" s="29">
        <f>+IF(OJ89&gt;=1,"1",0)</f>
        <v>0</v>
      </c>
      <c r="OI89" s="38">
        <f t="shared" si="222"/>
        <v>1</v>
      </c>
      <c r="OJ89" s="35">
        <f>COUNTIF(EB89:FQ89,"1")</f>
        <v>0</v>
      </c>
      <c r="OK89" s="79" t="e">
        <f>OJ90/OJ89</f>
        <v>#DIV/0!</v>
      </c>
      <c r="OL89" s="29">
        <f>+IF(ON89&gt;=1,"1",0)</f>
        <v>0</v>
      </c>
      <c r="OM89" s="38">
        <f t="shared" si="223"/>
        <v>1</v>
      </c>
      <c r="ON89" s="35">
        <f>COUNTIF(FR89:HG89,"1")</f>
        <v>0</v>
      </c>
      <c r="OO89" s="79" t="e">
        <f>ON90/ON89</f>
        <v>#DIV/0!</v>
      </c>
      <c r="OP89" s="29">
        <f>+IF(OR89&gt;=1,"1",0)</f>
        <v>0</v>
      </c>
      <c r="OQ89" s="38">
        <f t="shared" si="224"/>
        <v>1</v>
      </c>
      <c r="OR89" s="35">
        <f>COUNTIF(HH89:IW89,"1")</f>
        <v>0</v>
      </c>
      <c r="OS89" s="79" t="e">
        <f>OR90/OR89</f>
        <v>#DIV/0!</v>
      </c>
      <c r="OT89" s="29">
        <f>+IF(OV89&gt;=1,"1",0)</f>
        <v>0</v>
      </c>
      <c r="OU89" s="38">
        <f t="shared" si="225"/>
        <v>1</v>
      </c>
      <c r="OV89" s="35">
        <f>COUNTIF(IX89:KM89,"1")</f>
        <v>0</v>
      </c>
      <c r="OW89" s="79" t="e">
        <f>OV90/OV89</f>
        <v>#DIV/0!</v>
      </c>
      <c r="OX89" s="29">
        <f>+IF(OZ89&gt;=1,"1",0)</f>
        <v>0</v>
      </c>
      <c r="OY89" s="38">
        <f t="shared" si="226"/>
        <v>1</v>
      </c>
      <c r="OZ89" s="35">
        <f>COUNTIF(KN89:MC89,"1")</f>
        <v>0</v>
      </c>
      <c r="PA89" s="79" t="e">
        <f>OZ90/OZ89</f>
        <v>#DIV/0!</v>
      </c>
      <c r="PB89" s="29">
        <f>+IF(PD89&gt;=1,"1",0)</f>
        <v>0</v>
      </c>
      <c r="PC89" s="38">
        <f t="shared" si="227"/>
        <v>1</v>
      </c>
      <c r="PD89" s="35">
        <f>COUNTIF(MD89:NS89,"1")</f>
        <v>0</v>
      </c>
      <c r="PE89" s="79" t="e">
        <f>PD90/PD89</f>
        <v>#DIV/0!</v>
      </c>
    </row>
    <row r="90" spans="3:421" ht="15.75" customHeight="1" outlineLevel="1" thickBot="1" x14ac:dyDescent="0.3">
      <c r="C90" s="83"/>
      <c r="D90" s="91"/>
      <c r="E90" s="54" t="s">
        <v>9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70"/>
      <c r="Q90" s="34"/>
      <c r="R90" s="34"/>
      <c r="S90" s="34"/>
      <c r="T90" s="34"/>
      <c r="U90" s="34"/>
      <c r="V90" s="34"/>
      <c r="W90" s="70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 t="s">
        <v>75</v>
      </c>
      <c r="AU90" s="34" t="s">
        <v>75</v>
      </c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  <c r="HG90" s="34"/>
      <c r="HH90" s="34"/>
      <c r="HI90" s="34"/>
      <c r="HJ90" s="34"/>
      <c r="HK90" s="34"/>
      <c r="HL90" s="34"/>
      <c r="HM90" s="34"/>
      <c r="HN90" s="34"/>
      <c r="HO90" s="34"/>
      <c r="HP90" s="34"/>
      <c r="HQ90" s="34"/>
      <c r="HR90" s="34"/>
      <c r="HS90" s="34"/>
      <c r="HT90" s="34"/>
      <c r="HU90" s="34"/>
      <c r="HV90" s="34"/>
      <c r="HW90" s="34"/>
      <c r="HX90" s="34"/>
      <c r="HY90" s="34"/>
      <c r="HZ90" s="34"/>
      <c r="IA90" s="34"/>
      <c r="IB90" s="34"/>
      <c r="IC90" s="34"/>
      <c r="ID90" s="34"/>
      <c r="IE90" s="34"/>
      <c r="IF90" s="34"/>
      <c r="IG90" s="34"/>
      <c r="IH90" s="34"/>
      <c r="II90" s="34"/>
      <c r="IJ90" s="34"/>
      <c r="IK90" s="34"/>
      <c r="IL90" s="34"/>
      <c r="IM90" s="34"/>
      <c r="IN90" s="34"/>
      <c r="IO90" s="34"/>
      <c r="IP90" s="34"/>
      <c r="IQ90" s="34"/>
      <c r="IR90" s="34"/>
      <c r="IS90" s="34"/>
      <c r="IT90" s="34"/>
      <c r="IU90" s="34"/>
      <c r="IV90" s="34"/>
      <c r="IW90" s="34"/>
      <c r="IX90" s="34"/>
      <c r="IY90" s="34"/>
      <c r="IZ90" s="34"/>
      <c r="JA90" s="34"/>
      <c r="JB90" s="34"/>
      <c r="JC90" s="34"/>
      <c r="JD90" s="34"/>
      <c r="JE90" s="34"/>
      <c r="JF90" s="34"/>
      <c r="JG90" s="34"/>
      <c r="JH90" s="34"/>
      <c r="JI90" s="34"/>
      <c r="JJ90" s="34"/>
      <c r="JK90" s="34"/>
      <c r="JL90" s="34"/>
      <c r="JM90" s="34"/>
      <c r="JN90" s="34"/>
      <c r="JO90" s="34"/>
      <c r="JP90" s="34"/>
      <c r="JQ90" s="34"/>
      <c r="JR90" s="34"/>
      <c r="JS90" s="34"/>
      <c r="JT90" s="34"/>
      <c r="JU90" s="34"/>
      <c r="JV90" s="34"/>
      <c r="JW90" s="34"/>
      <c r="JX90" s="34"/>
      <c r="JY90" s="34"/>
      <c r="JZ90" s="34"/>
      <c r="KA90" s="34"/>
      <c r="KB90" s="34"/>
      <c r="KC90" s="34"/>
      <c r="KD90" s="34"/>
      <c r="KE90" s="34"/>
      <c r="KF90" s="34"/>
      <c r="KG90" s="34"/>
      <c r="KH90" s="34"/>
      <c r="KI90" s="34"/>
      <c r="KJ90" s="34"/>
      <c r="KK90" s="34"/>
      <c r="KL90" s="34"/>
      <c r="KM90" s="34"/>
      <c r="KN90" s="34"/>
      <c r="KO90" s="34"/>
      <c r="KP90" s="34"/>
      <c r="KQ90" s="34"/>
      <c r="KR90" s="34"/>
      <c r="KS90" s="34"/>
      <c r="KT90" s="34"/>
      <c r="KU90" s="34"/>
      <c r="KV90" s="34"/>
      <c r="KW90" s="34"/>
      <c r="KX90" s="34"/>
      <c r="KY90" s="34"/>
      <c r="KZ90" s="34"/>
      <c r="LA90" s="34"/>
      <c r="LB90" s="34"/>
      <c r="LC90" s="34"/>
      <c r="LD90" s="34"/>
      <c r="LE90" s="34"/>
      <c r="LF90" s="34"/>
      <c r="LG90" s="34"/>
      <c r="LH90" s="34"/>
      <c r="LI90" s="34"/>
      <c r="LJ90" s="34"/>
      <c r="LK90" s="34"/>
      <c r="LL90" s="34"/>
      <c r="LM90" s="34"/>
      <c r="LN90" s="34"/>
      <c r="LO90" s="34"/>
      <c r="LP90" s="34"/>
      <c r="LQ90" s="34"/>
      <c r="LR90" s="34"/>
      <c r="LS90" s="34"/>
      <c r="LT90" s="34"/>
      <c r="LU90" s="34"/>
      <c r="LV90" s="34"/>
      <c r="LW90" s="34"/>
      <c r="LX90" s="34"/>
      <c r="LY90" s="34"/>
      <c r="LZ90" s="34"/>
      <c r="MA90" s="34"/>
      <c r="MB90" s="34"/>
      <c r="MC90" s="34"/>
      <c r="MD90" s="34"/>
      <c r="ME90" s="34"/>
      <c r="MF90" s="34"/>
      <c r="MG90" s="34"/>
      <c r="MH90" s="34"/>
      <c r="MI90" s="34"/>
      <c r="MJ90" s="34"/>
      <c r="MK90" s="34"/>
      <c r="ML90" s="34"/>
      <c r="MM90" s="34"/>
      <c r="MN90" s="34"/>
      <c r="MO90" s="34"/>
      <c r="MP90" s="34"/>
      <c r="MQ90" s="34"/>
      <c r="MR90" s="34"/>
      <c r="MS90" s="34"/>
      <c r="MT90" s="34"/>
      <c r="MU90" s="34"/>
      <c r="MV90" s="34"/>
      <c r="MW90" s="34"/>
      <c r="MX90" s="34"/>
      <c r="MY90" s="34"/>
      <c r="MZ90" s="34"/>
      <c r="NA90" s="34"/>
      <c r="NB90" s="34"/>
      <c r="NC90" s="34"/>
      <c r="ND90" s="34"/>
      <c r="NE90" s="34"/>
      <c r="NF90" s="34"/>
      <c r="NG90" s="34"/>
      <c r="NH90" s="34"/>
      <c r="NI90" s="34"/>
      <c r="NJ90" s="34"/>
      <c r="NK90" s="34"/>
      <c r="NL90" s="34"/>
      <c r="NM90" s="34"/>
      <c r="NN90" s="34"/>
      <c r="NO90" s="34"/>
      <c r="NP90" s="34"/>
      <c r="NQ90" s="34"/>
      <c r="NR90" s="34"/>
      <c r="NS90" s="34"/>
      <c r="NT90" s="7">
        <f>COUNTIF(F90:NS90,"x")</f>
        <v>2</v>
      </c>
      <c r="NU90" s="81"/>
      <c r="NV90" s="32">
        <f>IF(NX90=0,"0",NX90/NX89)</f>
        <v>1</v>
      </c>
      <c r="NW90" s="37">
        <f t="shared" si="219"/>
        <v>0</v>
      </c>
      <c r="NX90" s="36">
        <f>COUNTIF(F90:AU90,"x")</f>
        <v>2</v>
      </c>
      <c r="NY90" s="81"/>
      <c r="NZ90" s="32" t="str">
        <f>IF(OB90=0,"0",OB90/OB89)</f>
        <v>0</v>
      </c>
      <c r="OA90" s="37">
        <f t="shared" si="220"/>
        <v>0</v>
      </c>
      <c r="OB90" s="36">
        <f>COUNTIF(AV90:CK90,"x")</f>
        <v>0</v>
      </c>
      <c r="OC90" s="81"/>
      <c r="OD90" s="32" t="str">
        <f>IF(OF90=0,"0",OF90/OF89)</f>
        <v>0</v>
      </c>
      <c r="OE90" s="37">
        <f t="shared" si="221"/>
        <v>0</v>
      </c>
      <c r="OF90" s="36">
        <f>COUNTIF(CL90:EA90,"x")</f>
        <v>0</v>
      </c>
      <c r="OG90" s="81"/>
      <c r="OH90" s="32" t="str">
        <f>IF(OJ90=0,"0",OJ90/OJ89)</f>
        <v>0</v>
      </c>
      <c r="OI90" s="37">
        <f t="shared" si="222"/>
        <v>0</v>
      </c>
      <c r="OJ90" s="36">
        <f>COUNTIF(EB90:FQ90,"x")</f>
        <v>0</v>
      </c>
      <c r="OK90" s="74"/>
      <c r="OL90" s="32" t="str">
        <f>IF(ON90=0,"0",ON90/ON89)</f>
        <v>0</v>
      </c>
      <c r="OM90" s="37">
        <f t="shared" si="223"/>
        <v>0</v>
      </c>
      <c r="ON90" s="36">
        <f>COUNTIF(FR90:HG90,"x")</f>
        <v>0</v>
      </c>
      <c r="OO90" s="74"/>
      <c r="OP90" s="32" t="str">
        <f>IF(OR90=0,"0",OR90/OR89)</f>
        <v>0</v>
      </c>
      <c r="OQ90" s="37">
        <f t="shared" si="224"/>
        <v>0</v>
      </c>
      <c r="OR90" s="36">
        <f>COUNTIF(HH90:IW90,"x")</f>
        <v>0</v>
      </c>
      <c r="OS90" s="74"/>
      <c r="OT90" s="32" t="str">
        <f>IF(OV90=0,"0",OV90/OV89)</f>
        <v>0</v>
      </c>
      <c r="OU90" s="37">
        <f t="shared" si="225"/>
        <v>0</v>
      </c>
      <c r="OV90" s="36">
        <f>COUNTIF(IX90:KM90,"x")</f>
        <v>0</v>
      </c>
      <c r="OW90" s="74"/>
      <c r="OX90" s="32" t="str">
        <f>IF(OZ90=0,"0",OZ90/OZ89)</f>
        <v>0</v>
      </c>
      <c r="OY90" s="37">
        <f t="shared" si="226"/>
        <v>0</v>
      </c>
      <c r="OZ90" s="36">
        <f>COUNTIF(KN90:MC90,"x")</f>
        <v>0</v>
      </c>
      <c r="PA90" s="74"/>
      <c r="PB90" s="32" t="str">
        <f>IF(PD90=0,"0",PD90/PD89)</f>
        <v>0</v>
      </c>
      <c r="PC90" s="37">
        <f t="shared" si="227"/>
        <v>0</v>
      </c>
      <c r="PD90" s="36">
        <f>COUNTIF(MD90:NS90,"x")</f>
        <v>0</v>
      </c>
      <c r="PE90" s="74"/>
    </row>
    <row r="91" spans="3:421" ht="15.75" customHeight="1" outlineLevel="1" x14ac:dyDescent="0.25">
      <c r="C91" s="88" t="s">
        <v>77</v>
      </c>
      <c r="D91" s="90" t="s">
        <v>96</v>
      </c>
      <c r="E91" s="53" t="s">
        <v>8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69"/>
      <c r="Q91" s="33"/>
      <c r="R91" s="33"/>
      <c r="S91" s="33"/>
      <c r="T91" s="33"/>
      <c r="U91" s="33"/>
      <c r="V91" s="33"/>
      <c r="W91" s="69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/>
      <c r="IS91" s="33"/>
      <c r="IT91" s="33"/>
      <c r="IU91" s="33"/>
      <c r="IV91" s="33"/>
      <c r="IW91" s="33"/>
      <c r="IX91" s="33"/>
      <c r="IY91" s="33"/>
      <c r="IZ91" s="33"/>
      <c r="JA91" s="33"/>
      <c r="JB91" s="33"/>
      <c r="JC91" s="33"/>
      <c r="JD91" s="33"/>
      <c r="JE91" s="33"/>
      <c r="JF91" s="33"/>
      <c r="JG91" s="33"/>
      <c r="JH91" s="33"/>
      <c r="JI91" s="33"/>
      <c r="JJ91" s="33"/>
      <c r="JK91" s="33"/>
      <c r="JL91" s="33"/>
      <c r="JM91" s="33"/>
      <c r="JN91" s="33"/>
      <c r="JO91" s="33"/>
      <c r="JP91" s="33"/>
      <c r="JQ91" s="33"/>
      <c r="JR91" s="33"/>
      <c r="JS91" s="33"/>
      <c r="JT91" s="33"/>
      <c r="JU91" s="33"/>
      <c r="JV91" s="33"/>
      <c r="JW91" s="33"/>
      <c r="JX91" s="33"/>
      <c r="JY91" s="33"/>
      <c r="JZ91" s="33"/>
      <c r="KA91" s="33"/>
      <c r="KB91" s="33"/>
      <c r="KC91" s="33"/>
      <c r="KD91" s="33"/>
      <c r="KE91" s="33"/>
      <c r="KF91" s="33"/>
      <c r="KG91" s="33"/>
      <c r="KH91" s="33"/>
      <c r="KI91" s="33"/>
      <c r="KJ91" s="33"/>
      <c r="KK91" s="33"/>
      <c r="KL91" s="33"/>
      <c r="KM91" s="33"/>
      <c r="KN91" s="33"/>
      <c r="KO91" s="33"/>
      <c r="KP91" s="33"/>
      <c r="KQ91" s="33"/>
      <c r="KR91" s="33"/>
      <c r="KS91" s="33"/>
      <c r="KT91" s="33"/>
      <c r="KU91" s="33"/>
      <c r="KV91" s="33"/>
      <c r="KW91" s="33"/>
      <c r="KX91" s="33"/>
      <c r="KY91" s="33"/>
      <c r="KZ91" s="33"/>
      <c r="LA91" s="33"/>
      <c r="LB91" s="33"/>
      <c r="LC91" s="33"/>
      <c r="LD91" s="33"/>
      <c r="LE91" s="33"/>
      <c r="LF91" s="33"/>
      <c r="LG91" s="33"/>
      <c r="LH91" s="33"/>
      <c r="LI91" s="33"/>
      <c r="LJ91" s="33"/>
      <c r="LK91" s="33"/>
      <c r="LL91" s="33"/>
      <c r="LM91" s="33"/>
      <c r="LN91" s="33"/>
      <c r="LO91" s="33"/>
      <c r="LP91" s="33"/>
      <c r="LQ91" s="33"/>
      <c r="LR91" s="33"/>
      <c r="LS91" s="33"/>
      <c r="LT91" s="33"/>
      <c r="LU91" s="33"/>
      <c r="LV91" s="33"/>
      <c r="LW91" s="33"/>
      <c r="LX91" s="33"/>
      <c r="LY91" s="33"/>
      <c r="LZ91" s="33"/>
      <c r="MA91" s="33"/>
      <c r="MB91" s="33"/>
      <c r="MC91" s="33"/>
      <c r="MD91" s="33"/>
      <c r="ME91" s="33"/>
      <c r="MF91" s="33"/>
      <c r="MG91" s="33"/>
      <c r="MH91" s="33"/>
      <c r="MI91" s="33"/>
      <c r="MJ91" s="33"/>
      <c r="MK91" s="33"/>
      <c r="ML91" s="33"/>
      <c r="MM91" s="33"/>
      <c r="MN91" s="33"/>
      <c r="MO91" s="33"/>
      <c r="MP91" s="33"/>
      <c r="MQ91" s="33"/>
      <c r="MR91" s="33"/>
      <c r="MS91" s="33"/>
      <c r="MT91" s="33"/>
      <c r="MU91" s="33"/>
      <c r="MV91" s="33"/>
      <c r="MW91" s="33"/>
      <c r="MX91" s="33"/>
      <c r="MY91" s="33"/>
      <c r="MZ91" s="33"/>
      <c r="NA91" s="33"/>
      <c r="NB91" s="33"/>
      <c r="NC91" s="33"/>
      <c r="ND91" s="33"/>
      <c r="NE91" s="33"/>
      <c r="NF91" s="33"/>
      <c r="NG91" s="33"/>
      <c r="NH91" s="33"/>
      <c r="NI91" s="33"/>
      <c r="NJ91" s="33"/>
      <c r="NK91" s="33"/>
      <c r="NL91" s="33"/>
      <c r="NM91" s="33"/>
      <c r="NN91" s="33"/>
      <c r="NO91" s="33"/>
      <c r="NP91" s="33"/>
      <c r="NQ91" s="33"/>
      <c r="NR91" s="33"/>
      <c r="NS91" s="33"/>
      <c r="NT91" s="31">
        <f>COUNTIF(F91:NS91,"1")</f>
        <v>0</v>
      </c>
      <c r="NU91" s="80" t="e">
        <f>NT92/NT91</f>
        <v>#DIV/0!</v>
      </c>
      <c r="NV91" s="29">
        <f>+IF(NX91&gt;=1,"1",0)</f>
        <v>0</v>
      </c>
      <c r="NW91" s="38">
        <f>MOD(ROW(NW91),2)</f>
        <v>1</v>
      </c>
      <c r="NX91" s="35">
        <f>COUNTIF(F91:AU91,"1")</f>
        <v>0</v>
      </c>
      <c r="NY91" s="80" t="e">
        <f>NX92/NX91</f>
        <v>#DIV/0!</v>
      </c>
      <c r="NZ91" s="29">
        <f>+IF(OB91&gt;=1,"1",0)</f>
        <v>0</v>
      </c>
      <c r="OA91" s="38">
        <f>MOD(ROW(OA91),2)</f>
        <v>1</v>
      </c>
      <c r="OB91" s="35">
        <f>COUNTIF(AV91:CK91,"1")</f>
        <v>0</v>
      </c>
      <c r="OC91" s="80" t="e">
        <f>OB92/OB91</f>
        <v>#DIV/0!</v>
      </c>
      <c r="OD91" s="29">
        <f>+IF(OF91&gt;=1,"1",0)</f>
        <v>0</v>
      </c>
      <c r="OE91" s="38">
        <f>MOD(ROW(OE91),2)</f>
        <v>1</v>
      </c>
      <c r="OF91" s="35">
        <f>COUNTIF(CL91:EA91,"1")</f>
        <v>0</v>
      </c>
      <c r="OG91" s="80" t="e">
        <f>OF92/OF91</f>
        <v>#DIV/0!</v>
      </c>
      <c r="OH91" s="29">
        <f>+IF(OJ91&gt;=1,"1",0)</f>
        <v>0</v>
      </c>
      <c r="OI91" s="38">
        <f>MOD(ROW(OI91),2)</f>
        <v>1</v>
      </c>
      <c r="OJ91" s="35">
        <f>COUNTIF(EB91:FQ91,"1")</f>
        <v>0</v>
      </c>
      <c r="OK91" s="79" t="e">
        <f>OJ92/OJ91</f>
        <v>#DIV/0!</v>
      </c>
      <c r="OL91" s="29">
        <f>+IF(ON91&gt;=1,"1",0)</f>
        <v>0</v>
      </c>
      <c r="OM91" s="38">
        <f>MOD(ROW(OM91),2)</f>
        <v>1</v>
      </c>
      <c r="ON91" s="35">
        <f>COUNTIF(FR91:HG91,"1")</f>
        <v>0</v>
      </c>
      <c r="OO91" s="79" t="e">
        <f>ON92/ON91</f>
        <v>#DIV/0!</v>
      </c>
      <c r="OP91" s="29">
        <f>+IF(OR91&gt;=1,"1",0)</f>
        <v>0</v>
      </c>
      <c r="OQ91" s="38">
        <f>MOD(ROW(OQ91),2)</f>
        <v>1</v>
      </c>
      <c r="OR91" s="35">
        <f>COUNTIF(HH91:IW91,"1")</f>
        <v>0</v>
      </c>
      <c r="OS91" s="79" t="e">
        <f>OR92/OR91</f>
        <v>#DIV/0!</v>
      </c>
      <c r="OT91" s="29">
        <f>+IF(OV91&gt;=1,"1",0)</f>
        <v>0</v>
      </c>
      <c r="OU91" s="38">
        <f>MOD(ROW(OU91),2)</f>
        <v>1</v>
      </c>
      <c r="OV91" s="35">
        <f>COUNTIF(IX91:KM91,"1")</f>
        <v>0</v>
      </c>
      <c r="OW91" s="79" t="e">
        <f>OV92/OV91</f>
        <v>#DIV/0!</v>
      </c>
      <c r="OX91" s="29">
        <f>+IF(OZ91&gt;=1,"1",0)</f>
        <v>0</v>
      </c>
      <c r="OY91" s="38">
        <f>MOD(ROW(OY91),2)</f>
        <v>1</v>
      </c>
      <c r="OZ91" s="35">
        <f>COUNTIF(KN91:MC91,"1")</f>
        <v>0</v>
      </c>
      <c r="PA91" s="79" t="e">
        <f>OZ92/OZ91</f>
        <v>#DIV/0!</v>
      </c>
      <c r="PB91" s="29">
        <f>+IF(PD91&gt;=1,"1",0)</f>
        <v>0</v>
      </c>
      <c r="PC91" s="38">
        <f>MOD(ROW(PC91),2)</f>
        <v>1</v>
      </c>
      <c r="PD91" s="35">
        <f>COUNTIF(MD91:NS91,"1")</f>
        <v>0</v>
      </c>
      <c r="PE91" s="79" t="e">
        <f>PD92/PD91</f>
        <v>#DIV/0!</v>
      </c>
    </row>
    <row r="92" spans="3:421" ht="15.75" customHeight="1" outlineLevel="1" thickBot="1" x14ac:dyDescent="0.3">
      <c r="C92" s="89"/>
      <c r="D92" s="91"/>
      <c r="E92" s="54" t="s">
        <v>9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70"/>
      <c r="Q92" s="34"/>
      <c r="R92" s="34"/>
      <c r="S92" s="34"/>
      <c r="T92" s="34"/>
      <c r="U92" s="34"/>
      <c r="V92" s="34"/>
      <c r="W92" s="70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  <c r="HG92" s="34"/>
      <c r="HH92" s="34"/>
      <c r="HI92" s="34"/>
      <c r="HJ92" s="34"/>
      <c r="HK92" s="34"/>
      <c r="HL92" s="34"/>
      <c r="HM92" s="34"/>
      <c r="HN92" s="34"/>
      <c r="HO92" s="34"/>
      <c r="HP92" s="34"/>
      <c r="HQ92" s="34"/>
      <c r="HR92" s="34"/>
      <c r="HS92" s="34"/>
      <c r="HT92" s="34"/>
      <c r="HU92" s="34"/>
      <c r="HV92" s="34"/>
      <c r="HW92" s="34"/>
      <c r="HX92" s="34"/>
      <c r="HY92" s="34"/>
      <c r="HZ92" s="34"/>
      <c r="IA92" s="34"/>
      <c r="IB92" s="34"/>
      <c r="IC92" s="34"/>
      <c r="ID92" s="34"/>
      <c r="IE92" s="34"/>
      <c r="IF92" s="34"/>
      <c r="IG92" s="34"/>
      <c r="IH92" s="34"/>
      <c r="II92" s="34"/>
      <c r="IJ92" s="34"/>
      <c r="IK92" s="34"/>
      <c r="IL92" s="34"/>
      <c r="IM92" s="34"/>
      <c r="IN92" s="34"/>
      <c r="IO92" s="34"/>
      <c r="IP92" s="34"/>
      <c r="IQ92" s="34"/>
      <c r="IR92" s="34"/>
      <c r="IS92" s="34"/>
      <c r="IT92" s="34"/>
      <c r="IU92" s="34"/>
      <c r="IV92" s="34"/>
      <c r="IW92" s="34"/>
      <c r="IX92" s="34"/>
      <c r="IY92" s="34"/>
      <c r="IZ92" s="34"/>
      <c r="JA92" s="34"/>
      <c r="JB92" s="34"/>
      <c r="JC92" s="34"/>
      <c r="JD92" s="34"/>
      <c r="JE92" s="34"/>
      <c r="JF92" s="34"/>
      <c r="JG92" s="34"/>
      <c r="JH92" s="34"/>
      <c r="JI92" s="34"/>
      <c r="JJ92" s="34"/>
      <c r="JK92" s="34"/>
      <c r="JL92" s="34"/>
      <c r="JM92" s="34"/>
      <c r="JN92" s="34"/>
      <c r="JO92" s="34"/>
      <c r="JP92" s="34"/>
      <c r="JQ92" s="34"/>
      <c r="JR92" s="34"/>
      <c r="JS92" s="34"/>
      <c r="JT92" s="34"/>
      <c r="JU92" s="34"/>
      <c r="JV92" s="34"/>
      <c r="JW92" s="34"/>
      <c r="JX92" s="34"/>
      <c r="JY92" s="34"/>
      <c r="JZ92" s="34"/>
      <c r="KA92" s="34"/>
      <c r="KB92" s="34"/>
      <c r="KC92" s="34"/>
      <c r="KD92" s="34"/>
      <c r="KE92" s="34"/>
      <c r="KF92" s="34"/>
      <c r="KG92" s="34"/>
      <c r="KH92" s="34"/>
      <c r="KI92" s="34"/>
      <c r="KJ92" s="34"/>
      <c r="KK92" s="34"/>
      <c r="KL92" s="34"/>
      <c r="KM92" s="34"/>
      <c r="KN92" s="34"/>
      <c r="KO92" s="34"/>
      <c r="KP92" s="34"/>
      <c r="KQ92" s="34"/>
      <c r="KR92" s="34"/>
      <c r="KS92" s="34"/>
      <c r="KT92" s="34"/>
      <c r="KU92" s="34"/>
      <c r="KV92" s="34"/>
      <c r="KW92" s="34"/>
      <c r="KX92" s="34"/>
      <c r="KY92" s="34"/>
      <c r="KZ92" s="34"/>
      <c r="LA92" s="34"/>
      <c r="LB92" s="34"/>
      <c r="LC92" s="34"/>
      <c r="LD92" s="34"/>
      <c r="LE92" s="34"/>
      <c r="LF92" s="34"/>
      <c r="LG92" s="34"/>
      <c r="LH92" s="34"/>
      <c r="LI92" s="34"/>
      <c r="LJ92" s="34"/>
      <c r="LK92" s="34"/>
      <c r="LL92" s="34"/>
      <c r="LM92" s="34"/>
      <c r="LN92" s="34"/>
      <c r="LO92" s="34"/>
      <c r="LP92" s="34"/>
      <c r="LQ92" s="34"/>
      <c r="LR92" s="34"/>
      <c r="LS92" s="34"/>
      <c r="LT92" s="34"/>
      <c r="LU92" s="34"/>
      <c r="LV92" s="34"/>
      <c r="LW92" s="34"/>
      <c r="LX92" s="34"/>
      <c r="LY92" s="34"/>
      <c r="LZ92" s="34"/>
      <c r="MA92" s="34"/>
      <c r="MB92" s="34"/>
      <c r="MC92" s="34"/>
      <c r="MD92" s="34"/>
      <c r="ME92" s="34"/>
      <c r="MF92" s="34"/>
      <c r="MG92" s="34"/>
      <c r="MH92" s="34"/>
      <c r="MI92" s="34"/>
      <c r="MJ92" s="34"/>
      <c r="MK92" s="34"/>
      <c r="ML92" s="34"/>
      <c r="MM92" s="34"/>
      <c r="MN92" s="34"/>
      <c r="MO92" s="34"/>
      <c r="MP92" s="34"/>
      <c r="MQ92" s="34"/>
      <c r="MR92" s="34"/>
      <c r="MS92" s="34"/>
      <c r="MT92" s="34"/>
      <c r="MU92" s="34"/>
      <c r="MV92" s="34"/>
      <c r="MW92" s="34"/>
      <c r="MX92" s="34"/>
      <c r="MY92" s="34"/>
      <c r="MZ92" s="34"/>
      <c r="NA92" s="34"/>
      <c r="NB92" s="34"/>
      <c r="NC92" s="34"/>
      <c r="ND92" s="34"/>
      <c r="NE92" s="34"/>
      <c r="NF92" s="34"/>
      <c r="NG92" s="34"/>
      <c r="NH92" s="34"/>
      <c r="NI92" s="34"/>
      <c r="NJ92" s="34"/>
      <c r="NK92" s="34"/>
      <c r="NL92" s="34"/>
      <c r="NM92" s="34"/>
      <c r="NN92" s="34"/>
      <c r="NO92" s="34"/>
      <c r="NP92" s="34"/>
      <c r="NQ92" s="34"/>
      <c r="NR92" s="34"/>
      <c r="NS92" s="34"/>
      <c r="NT92" s="7">
        <f>COUNTIF(F92:NS92,"x")</f>
        <v>0</v>
      </c>
      <c r="NU92" s="81"/>
      <c r="NV92" s="32" t="str">
        <f>IF(NX92=0,"0",NX92/NX91)</f>
        <v>0</v>
      </c>
      <c r="NW92" s="37">
        <f>MOD(ROW(NW92),2)</f>
        <v>0</v>
      </c>
      <c r="NX92" s="36">
        <f>COUNTIF(F92:AU92,"x")</f>
        <v>0</v>
      </c>
      <c r="NY92" s="81"/>
      <c r="NZ92" s="32" t="str">
        <f>IF(OB92=0,"0",OB92/OB91)</f>
        <v>0</v>
      </c>
      <c r="OA92" s="37">
        <f>MOD(ROW(OA92),2)</f>
        <v>0</v>
      </c>
      <c r="OB92" s="36">
        <f>COUNTIF(AV92:CK92,"x")</f>
        <v>0</v>
      </c>
      <c r="OC92" s="81"/>
      <c r="OD92" s="32" t="str">
        <f>IF(OF92=0,"0",OF92/OF91)</f>
        <v>0</v>
      </c>
      <c r="OE92" s="37">
        <f>MOD(ROW(OE92),2)</f>
        <v>0</v>
      </c>
      <c r="OF92" s="36">
        <f>COUNTIF(CL92:EA92,"x")</f>
        <v>0</v>
      </c>
      <c r="OG92" s="81"/>
      <c r="OH92" s="32" t="str">
        <f>IF(OJ92=0,"0",OJ92/OJ91)</f>
        <v>0</v>
      </c>
      <c r="OI92" s="37">
        <f>MOD(ROW(OI92),2)</f>
        <v>0</v>
      </c>
      <c r="OJ92" s="36">
        <f>COUNTIF(EB92:FQ92,"x")</f>
        <v>0</v>
      </c>
      <c r="OK92" s="74"/>
      <c r="OL92" s="32" t="str">
        <f>IF(ON92=0,"0",ON92/ON91)</f>
        <v>0</v>
      </c>
      <c r="OM92" s="37">
        <f>MOD(ROW(OM92),2)</f>
        <v>0</v>
      </c>
      <c r="ON92" s="36">
        <f>COUNTIF(FR92:HG92,"x")</f>
        <v>0</v>
      </c>
      <c r="OO92" s="74"/>
      <c r="OP92" s="32" t="str">
        <f>IF(OR92=0,"0",OR92/OR91)</f>
        <v>0</v>
      </c>
      <c r="OQ92" s="37">
        <f>MOD(ROW(OQ92),2)</f>
        <v>0</v>
      </c>
      <c r="OR92" s="36">
        <f>COUNTIF(HH92:IW92,"x")</f>
        <v>0</v>
      </c>
      <c r="OS92" s="74"/>
      <c r="OT92" s="32" t="str">
        <f>IF(OV92=0,"0",OV92/OV91)</f>
        <v>0</v>
      </c>
      <c r="OU92" s="37">
        <f>MOD(ROW(OU92),2)</f>
        <v>0</v>
      </c>
      <c r="OV92" s="36">
        <f>COUNTIF(IX92:KM92,"x")</f>
        <v>0</v>
      </c>
      <c r="OW92" s="74"/>
      <c r="OX92" s="32" t="str">
        <f>IF(OZ92=0,"0",OZ92/OZ91)</f>
        <v>0</v>
      </c>
      <c r="OY92" s="37">
        <f>MOD(ROW(OY92),2)</f>
        <v>0</v>
      </c>
      <c r="OZ92" s="36">
        <f>COUNTIF(KN92:MC92,"x")</f>
        <v>0</v>
      </c>
      <c r="PA92" s="74"/>
      <c r="PB92" s="32" t="str">
        <f>IF(PD92=0,"0",PD92/PD91)</f>
        <v>0</v>
      </c>
      <c r="PC92" s="37">
        <f>MOD(ROW(PC92),2)</f>
        <v>0</v>
      </c>
      <c r="PD92" s="36">
        <f>COUNTIF(MD92:NS92,"x")</f>
        <v>0</v>
      </c>
      <c r="PE92" s="74"/>
    </row>
    <row r="93" spans="3:421" ht="15.75" customHeight="1" outlineLevel="1" x14ac:dyDescent="0.25">
      <c r="C93" s="88" t="s">
        <v>78</v>
      </c>
      <c r="D93" s="90" t="s">
        <v>96</v>
      </c>
      <c r="E93" s="53" t="s">
        <v>8</v>
      </c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69"/>
      <c r="Q93" s="33"/>
      <c r="R93" s="33"/>
      <c r="S93" s="33"/>
      <c r="T93" s="33"/>
      <c r="U93" s="33"/>
      <c r="V93" s="33"/>
      <c r="W93" s="69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  <c r="HI93" s="33"/>
      <c r="HJ93" s="33"/>
      <c r="HK93" s="33"/>
      <c r="HL93" s="33"/>
      <c r="HM93" s="33"/>
      <c r="HN93" s="33"/>
      <c r="HO93" s="33"/>
      <c r="HP93" s="33"/>
      <c r="HQ93" s="33"/>
      <c r="HR93" s="33"/>
      <c r="HS93" s="33"/>
      <c r="HT93" s="33"/>
      <c r="HU93" s="33"/>
      <c r="HV93" s="33"/>
      <c r="HW93" s="33"/>
      <c r="HX93" s="33"/>
      <c r="HY93" s="33"/>
      <c r="HZ93" s="33"/>
      <c r="IA93" s="33"/>
      <c r="IB93" s="33"/>
      <c r="IC93" s="33"/>
      <c r="ID93" s="33"/>
      <c r="IE93" s="33"/>
      <c r="IF93" s="33"/>
      <c r="IG93" s="33"/>
      <c r="IH93" s="33"/>
      <c r="II93" s="33"/>
      <c r="IJ93" s="33"/>
      <c r="IK93" s="33"/>
      <c r="IL93" s="33"/>
      <c r="IM93" s="33"/>
      <c r="IN93" s="33"/>
      <c r="IO93" s="33"/>
      <c r="IP93" s="33"/>
      <c r="IQ93" s="33"/>
      <c r="IR93" s="33"/>
      <c r="IS93" s="33"/>
      <c r="IT93" s="33"/>
      <c r="IU93" s="33"/>
      <c r="IV93" s="33"/>
      <c r="IW93" s="33"/>
      <c r="IX93" s="33"/>
      <c r="IY93" s="33"/>
      <c r="IZ93" s="33"/>
      <c r="JA93" s="33"/>
      <c r="JB93" s="33"/>
      <c r="JC93" s="33"/>
      <c r="JD93" s="33"/>
      <c r="JE93" s="33"/>
      <c r="JF93" s="33"/>
      <c r="JG93" s="33"/>
      <c r="JH93" s="33"/>
      <c r="JI93" s="33"/>
      <c r="JJ93" s="33"/>
      <c r="JK93" s="33"/>
      <c r="JL93" s="33"/>
      <c r="JM93" s="33"/>
      <c r="JN93" s="33"/>
      <c r="JO93" s="33"/>
      <c r="JP93" s="33"/>
      <c r="JQ93" s="33"/>
      <c r="JR93" s="33"/>
      <c r="JS93" s="33"/>
      <c r="JT93" s="33"/>
      <c r="JU93" s="33"/>
      <c r="JV93" s="33"/>
      <c r="JW93" s="33"/>
      <c r="JX93" s="33"/>
      <c r="JY93" s="33"/>
      <c r="JZ93" s="33"/>
      <c r="KA93" s="33"/>
      <c r="KB93" s="33"/>
      <c r="KC93" s="33"/>
      <c r="KD93" s="33"/>
      <c r="KE93" s="33"/>
      <c r="KF93" s="33"/>
      <c r="KG93" s="33"/>
      <c r="KH93" s="33"/>
      <c r="KI93" s="33"/>
      <c r="KJ93" s="33"/>
      <c r="KK93" s="33"/>
      <c r="KL93" s="33"/>
      <c r="KM93" s="33"/>
      <c r="KN93" s="33"/>
      <c r="KO93" s="33"/>
      <c r="KP93" s="33"/>
      <c r="KQ93" s="33"/>
      <c r="KR93" s="33"/>
      <c r="KS93" s="33"/>
      <c r="KT93" s="33"/>
      <c r="KU93" s="33"/>
      <c r="KV93" s="33"/>
      <c r="KW93" s="33"/>
      <c r="KX93" s="33"/>
      <c r="KY93" s="33"/>
      <c r="KZ93" s="33"/>
      <c r="LA93" s="33"/>
      <c r="LB93" s="33"/>
      <c r="LC93" s="33"/>
      <c r="LD93" s="33"/>
      <c r="LE93" s="33"/>
      <c r="LF93" s="33"/>
      <c r="LG93" s="33"/>
      <c r="LH93" s="33"/>
      <c r="LI93" s="33"/>
      <c r="LJ93" s="33"/>
      <c r="LK93" s="33"/>
      <c r="LL93" s="33"/>
      <c r="LM93" s="33"/>
      <c r="LN93" s="33"/>
      <c r="LO93" s="33"/>
      <c r="LP93" s="33"/>
      <c r="LQ93" s="33"/>
      <c r="LR93" s="33"/>
      <c r="LS93" s="33"/>
      <c r="LT93" s="33"/>
      <c r="LU93" s="33"/>
      <c r="LV93" s="33"/>
      <c r="LW93" s="33"/>
      <c r="LX93" s="33"/>
      <c r="LY93" s="33"/>
      <c r="LZ93" s="33"/>
      <c r="MA93" s="33"/>
      <c r="MB93" s="33"/>
      <c r="MC93" s="33"/>
      <c r="MD93" s="33"/>
      <c r="ME93" s="33"/>
      <c r="MF93" s="33"/>
      <c r="MG93" s="33"/>
      <c r="MH93" s="33"/>
      <c r="MI93" s="33"/>
      <c r="MJ93" s="33"/>
      <c r="MK93" s="33"/>
      <c r="ML93" s="33"/>
      <c r="MM93" s="33"/>
      <c r="MN93" s="33"/>
      <c r="MO93" s="33"/>
      <c r="MP93" s="33"/>
      <c r="MQ93" s="33"/>
      <c r="MR93" s="33"/>
      <c r="MS93" s="33"/>
      <c r="MT93" s="33"/>
      <c r="MU93" s="33"/>
      <c r="MV93" s="33"/>
      <c r="MW93" s="33"/>
      <c r="MX93" s="33"/>
      <c r="MY93" s="33"/>
      <c r="MZ93" s="33"/>
      <c r="NA93" s="33"/>
      <c r="NB93" s="33"/>
      <c r="NC93" s="33"/>
      <c r="ND93" s="33"/>
      <c r="NE93" s="33"/>
      <c r="NF93" s="33"/>
      <c r="NG93" s="33"/>
      <c r="NH93" s="33"/>
      <c r="NI93" s="33"/>
      <c r="NJ93" s="33"/>
      <c r="NK93" s="33"/>
      <c r="NL93" s="33"/>
      <c r="NM93" s="33"/>
      <c r="NN93" s="33"/>
      <c r="NO93" s="33"/>
      <c r="NP93" s="33"/>
      <c r="NQ93" s="33"/>
      <c r="NR93" s="33"/>
      <c r="NS93" s="33"/>
      <c r="NT93" s="31">
        <f>COUNTIF(F93:NS93,"1")</f>
        <v>0</v>
      </c>
      <c r="NU93" s="80" t="e">
        <f>NT94/NT93</f>
        <v>#DIV/0!</v>
      </c>
      <c r="NV93" s="29">
        <f>+IF(NX93&gt;=1,"1",0)</f>
        <v>0</v>
      </c>
      <c r="NW93" s="38">
        <f>MOD(ROW(NW93),2)</f>
        <v>1</v>
      </c>
      <c r="NX93" s="35">
        <f>COUNTIF(F93:AU93,"1")</f>
        <v>0</v>
      </c>
      <c r="NY93" s="80" t="e">
        <f>NX94/NX93</f>
        <v>#DIV/0!</v>
      </c>
      <c r="NZ93" s="29">
        <f>+IF(OB93&gt;=1,"1",0)</f>
        <v>0</v>
      </c>
      <c r="OA93" s="38">
        <f>MOD(ROW(OA93),2)</f>
        <v>1</v>
      </c>
      <c r="OB93" s="35">
        <f>COUNTIF(AV93:CK93,"1")</f>
        <v>0</v>
      </c>
      <c r="OC93" s="80" t="e">
        <f>OB94/OB93</f>
        <v>#DIV/0!</v>
      </c>
      <c r="OD93" s="29">
        <f>+IF(OF93&gt;=1,"1",0)</f>
        <v>0</v>
      </c>
      <c r="OE93" s="38">
        <f>MOD(ROW(OE93),2)</f>
        <v>1</v>
      </c>
      <c r="OF93" s="35">
        <f>COUNTIF(CL93:EA93,"1")</f>
        <v>0</v>
      </c>
      <c r="OG93" s="80" t="e">
        <f>OF94/OF93</f>
        <v>#DIV/0!</v>
      </c>
      <c r="OH93" s="29">
        <f>+IF(OJ93&gt;=1,"1",0)</f>
        <v>0</v>
      </c>
      <c r="OI93" s="38">
        <f>MOD(ROW(OI93),2)</f>
        <v>1</v>
      </c>
      <c r="OJ93" s="35">
        <f>COUNTIF(EB93:FQ93,"1")</f>
        <v>0</v>
      </c>
      <c r="OK93" s="79" t="e">
        <f>OJ94/OJ93</f>
        <v>#DIV/0!</v>
      </c>
      <c r="OL93" s="29">
        <f>+IF(ON93&gt;=1,"1",0)</f>
        <v>0</v>
      </c>
      <c r="OM93" s="38">
        <f>MOD(ROW(OM93),2)</f>
        <v>1</v>
      </c>
      <c r="ON93" s="35">
        <f>COUNTIF(FR93:HG93,"1")</f>
        <v>0</v>
      </c>
      <c r="OO93" s="79" t="e">
        <f>ON94/ON93</f>
        <v>#DIV/0!</v>
      </c>
      <c r="OP93" s="29">
        <f>+IF(OR93&gt;=1,"1",0)</f>
        <v>0</v>
      </c>
      <c r="OQ93" s="38">
        <f>MOD(ROW(OQ93),2)</f>
        <v>1</v>
      </c>
      <c r="OR93" s="35">
        <f>COUNTIF(HH93:IW93,"1")</f>
        <v>0</v>
      </c>
      <c r="OS93" s="79" t="e">
        <f>OR94/OR93</f>
        <v>#DIV/0!</v>
      </c>
      <c r="OT93" s="29">
        <f>+IF(OV93&gt;=1,"1",0)</f>
        <v>0</v>
      </c>
      <c r="OU93" s="38">
        <f>MOD(ROW(OU93),2)</f>
        <v>1</v>
      </c>
      <c r="OV93" s="35">
        <f>COUNTIF(IX93:KM93,"1")</f>
        <v>0</v>
      </c>
      <c r="OW93" s="79" t="e">
        <f>OV94/OV93</f>
        <v>#DIV/0!</v>
      </c>
      <c r="OX93" s="29">
        <f>+IF(OZ93&gt;=1,"1",0)</f>
        <v>0</v>
      </c>
      <c r="OY93" s="38">
        <f>MOD(ROW(OY93),2)</f>
        <v>1</v>
      </c>
      <c r="OZ93" s="35">
        <f>COUNTIF(KN93:MC93,"1")</f>
        <v>0</v>
      </c>
      <c r="PA93" s="79" t="e">
        <f>OZ94/OZ93</f>
        <v>#DIV/0!</v>
      </c>
      <c r="PB93" s="29">
        <f>+IF(PD93&gt;=1,"1",0)</f>
        <v>0</v>
      </c>
      <c r="PC93" s="38">
        <f>MOD(ROW(PC93),2)</f>
        <v>1</v>
      </c>
      <c r="PD93" s="35">
        <f>COUNTIF(MD93:NS93,"1")</f>
        <v>0</v>
      </c>
      <c r="PE93" s="79" t="e">
        <f>PD94/PD93</f>
        <v>#DIV/0!</v>
      </c>
    </row>
    <row r="94" spans="3:421" ht="15.75" customHeight="1" outlineLevel="1" thickBot="1" x14ac:dyDescent="0.3">
      <c r="C94" s="89"/>
      <c r="D94" s="91"/>
      <c r="E94" s="54" t="s">
        <v>9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70"/>
      <c r="Q94" s="34"/>
      <c r="R94" s="34"/>
      <c r="S94" s="34"/>
      <c r="T94" s="34"/>
      <c r="U94" s="34"/>
      <c r="V94" s="34"/>
      <c r="W94" s="70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  <c r="HC94" s="34"/>
      <c r="HD94" s="34"/>
      <c r="HE94" s="34"/>
      <c r="HF94" s="34"/>
      <c r="HG94" s="34"/>
      <c r="HH94" s="34"/>
      <c r="HI94" s="34"/>
      <c r="HJ94" s="34"/>
      <c r="HK94" s="34"/>
      <c r="HL94" s="34"/>
      <c r="HM94" s="34"/>
      <c r="HN94" s="34"/>
      <c r="HO94" s="34"/>
      <c r="HP94" s="34"/>
      <c r="HQ94" s="34"/>
      <c r="HR94" s="34"/>
      <c r="HS94" s="34"/>
      <c r="HT94" s="34"/>
      <c r="HU94" s="34"/>
      <c r="HV94" s="34"/>
      <c r="HW94" s="34"/>
      <c r="HX94" s="34"/>
      <c r="HY94" s="34"/>
      <c r="HZ94" s="34"/>
      <c r="IA94" s="34"/>
      <c r="IB94" s="34"/>
      <c r="IC94" s="34"/>
      <c r="ID94" s="34"/>
      <c r="IE94" s="34"/>
      <c r="IF94" s="34"/>
      <c r="IG94" s="34"/>
      <c r="IH94" s="34"/>
      <c r="II94" s="34"/>
      <c r="IJ94" s="34"/>
      <c r="IK94" s="34"/>
      <c r="IL94" s="34"/>
      <c r="IM94" s="34"/>
      <c r="IN94" s="34"/>
      <c r="IO94" s="34"/>
      <c r="IP94" s="34"/>
      <c r="IQ94" s="34"/>
      <c r="IR94" s="34"/>
      <c r="IS94" s="34"/>
      <c r="IT94" s="34"/>
      <c r="IU94" s="34"/>
      <c r="IV94" s="34"/>
      <c r="IW94" s="34"/>
      <c r="IX94" s="34"/>
      <c r="IY94" s="34"/>
      <c r="IZ94" s="34"/>
      <c r="JA94" s="34"/>
      <c r="JB94" s="34"/>
      <c r="JC94" s="34"/>
      <c r="JD94" s="34"/>
      <c r="JE94" s="34"/>
      <c r="JF94" s="34"/>
      <c r="JG94" s="34"/>
      <c r="JH94" s="34"/>
      <c r="JI94" s="34"/>
      <c r="JJ94" s="34"/>
      <c r="JK94" s="34"/>
      <c r="JL94" s="34"/>
      <c r="JM94" s="34"/>
      <c r="JN94" s="34"/>
      <c r="JO94" s="34"/>
      <c r="JP94" s="34"/>
      <c r="JQ94" s="34"/>
      <c r="JR94" s="34"/>
      <c r="JS94" s="34"/>
      <c r="JT94" s="34"/>
      <c r="JU94" s="34"/>
      <c r="JV94" s="34"/>
      <c r="JW94" s="34"/>
      <c r="JX94" s="34"/>
      <c r="JY94" s="34"/>
      <c r="JZ94" s="34"/>
      <c r="KA94" s="34"/>
      <c r="KB94" s="34"/>
      <c r="KC94" s="34"/>
      <c r="KD94" s="34"/>
      <c r="KE94" s="34"/>
      <c r="KF94" s="34"/>
      <c r="KG94" s="34"/>
      <c r="KH94" s="34"/>
      <c r="KI94" s="34"/>
      <c r="KJ94" s="34"/>
      <c r="KK94" s="34"/>
      <c r="KL94" s="34"/>
      <c r="KM94" s="34"/>
      <c r="KN94" s="34"/>
      <c r="KO94" s="34"/>
      <c r="KP94" s="34"/>
      <c r="KQ94" s="34"/>
      <c r="KR94" s="34"/>
      <c r="KS94" s="34"/>
      <c r="KT94" s="34"/>
      <c r="KU94" s="34"/>
      <c r="KV94" s="34"/>
      <c r="KW94" s="34"/>
      <c r="KX94" s="34"/>
      <c r="KY94" s="34"/>
      <c r="KZ94" s="34"/>
      <c r="LA94" s="34"/>
      <c r="LB94" s="34"/>
      <c r="LC94" s="34"/>
      <c r="LD94" s="34"/>
      <c r="LE94" s="34"/>
      <c r="LF94" s="34"/>
      <c r="LG94" s="34"/>
      <c r="LH94" s="34"/>
      <c r="LI94" s="34"/>
      <c r="LJ94" s="34"/>
      <c r="LK94" s="34"/>
      <c r="LL94" s="34"/>
      <c r="LM94" s="34"/>
      <c r="LN94" s="34"/>
      <c r="LO94" s="34"/>
      <c r="LP94" s="34"/>
      <c r="LQ94" s="34"/>
      <c r="LR94" s="34"/>
      <c r="LS94" s="34"/>
      <c r="LT94" s="34"/>
      <c r="LU94" s="34"/>
      <c r="LV94" s="34"/>
      <c r="LW94" s="34"/>
      <c r="LX94" s="34"/>
      <c r="LY94" s="34"/>
      <c r="LZ94" s="34"/>
      <c r="MA94" s="34"/>
      <c r="MB94" s="34"/>
      <c r="MC94" s="34"/>
      <c r="MD94" s="34"/>
      <c r="ME94" s="34"/>
      <c r="MF94" s="34"/>
      <c r="MG94" s="34"/>
      <c r="MH94" s="34"/>
      <c r="MI94" s="34"/>
      <c r="MJ94" s="34"/>
      <c r="MK94" s="34"/>
      <c r="ML94" s="34"/>
      <c r="MM94" s="34"/>
      <c r="MN94" s="34"/>
      <c r="MO94" s="34"/>
      <c r="MP94" s="34"/>
      <c r="MQ94" s="34"/>
      <c r="MR94" s="34"/>
      <c r="MS94" s="34"/>
      <c r="MT94" s="34"/>
      <c r="MU94" s="34"/>
      <c r="MV94" s="34"/>
      <c r="MW94" s="34"/>
      <c r="MX94" s="34"/>
      <c r="MY94" s="34"/>
      <c r="MZ94" s="34"/>
      <c r="NA94" s="34"/>
      <c r="NB94" s="34"/>
      <c r="NC94" s="34"/>
      <c r="ND94" s="34"/>
      <c r="NE94" s="34"/>
      <c r="NF94" s="34"/>
      <c r="NG94" s="34"/>
      <c r="NH94" s="34"/>
      <c r="NI94" s="34"/>
      <c r="NJ94" s="34"/>
      <c r="NK94" s="34"/>
      <c r="NL94" s="34"/>
      <c r="NM94" s="34"/>
      <c r="NN94" s="34"/>
      <c r="NO94" s="34"/>
      <c r="NP94" s="34"/>
      <c r="NQ94" s="34"/>
      <c r="NR94" s="34"/>
      <c r="NS94" s="34"/>
      <c r="NT94" s="7">
        <f>COUNTIF(F94:NS94,"x")</f>
        <v>0</v>
      </c>
      <c r="NU94" s="81"/>
      <c r="NV94" s="32" t="str">
        <f>IF(NX94=0,"0",NX94/NX93)</f>
        <v>0</v>
      </c>
      <c r="NW94" s="37">
        <f>MOD(ROW(NW94),2)</f>
        <v>0</v>
      </c>
      <c r="NX94" s="36">
        <f>COUNTIF(F94:AU94,"x")</f>
        <v>0</v>
      </c>
      <c r="NY94" s="81"/>
      <c r="NZ94" s="32" t="str">
        <f>IF(OB94=0,"0",OB94/OB93)</f>
        <v>0</v>
      </c>
      <c r="OA94" s="37">
        <f>MOD(ROW(OA94),2)</f>
        <v>0</v>
      </c>
      <c r="OB94" s="36">
        <f>COUNTIF(AV94:CK94,"x")</f>
        <v>0</v>
      </c>
      <c r="OC94" s="81"/>
      <c r="OD94" s="32" t="str">
        <f>IF(OF94=0,"0",OF94/OF93)</f>
        <v>0</v>
      </c>
      <c r="OE94" s="37">
        <f>MOD(ROW(OE94),2)</f>
        <v>0</v>
      </c>
      <c r="OF94" s="36">
        <f>COUNTIF(CL94:EA94,"x")</f>
        <v>0</v>
      </c>
      <c r="OG94" s="81"/>
      <c r="OH94" s="32" t="str">
        <f>IF(OJ94=0,"0",OJ94/OJ93)</f>
        <v>0</v>
      </c>
      <c r="OI94" s="37">
        <f>MOD(ROW(OI94),2)</f>
        <v>0</v>
      </c>
      <c r="OJ94" s="36">
        <f>COUNTIF(EB94:FQ94,"x")</f>
        <v>0</v>
      </c>
      <c r="OK94" s="74"/>
      <c r="OL94" s="32" t="str">
        <f>IF(ON94=0,"0",ON94/ON93)</f>
        <v>0</v>
      </c>
      <c r="OM94" s="37">
        <f>MOD(ROW(OM94),2)</f>
        <v>0</v>
      </c>
      <c r="ON94" s="36">
        <f>COUNTIF(FR94:HG94,"x")</f>
        <v>0</v>
      </c>
      <c r="OO94" s="74"/>
      <c r="OP94" s="32" t="str">
        <f>IF(OR94=0,"0",OR94/OR93)</f>
        <v>0</v>
      </c>
      <c r="OQ94" s="37">
        <f>MOD(ROW(OQ94),2)</f>
        <v>0</v>
      </c>
      <c r="OR94" s="36">
        <f>COUNTIF(HH94:IW94,"x")</f>
        <v>0</v>
      </c>
      <c r="OS94" s="74"/>
      <c r="OT94" s="32" t="str">
        <f>IF(OV94=0,"0",OV94/OV93)</f>
        <v>0</v>
      </c>
      <c r="OU94" s="37">
        <f>MOD(ROW(OU94),2)</f>
        <v>0</v>
      </c>
      <c r="OV94" s="36">
        <f>COUNTIF(IX94:KM94,"x")</f>
        <v>0</v>
      </c>
      <c r="OW94" s="74"/>
      <c r="OX94" s="32" t="str">
        <f>IF(OZ94=0,"0",OZ94/OZ93)</f>
        <v>0</v>
      </c>
      <c r="OY94" s="37">
        <f>MOD(ROW(OY94),2)</f>
        <v>0</v>
      </c>
      <c r="OZ94" s="36">
        <f>COUNTIF(KN94:MC94,"x")</f>
        <v>0</v>
      </c>
      <c r="PA94" s="74"/>
      <c r="PB94" s="32" t="str">
        <f>IF(PD94=0,"0",PD94/PD93)</f>
        <v>0</v>
      </c>
      <c r="PC94" s="37">
        <f>MOD(ROW(PC94),2)</f>
        <v>0</v>
      </c>
      <c r="PD94" s="36">
        <f>COUNTIF(MD94:NS94,"x")</f>
        <v>0</v>
      </c>
      <c r="PE94" s="74"/>
    </row>
    <row r="95" spans="3:421" ht="15.75" customHeight="1" outlineLevel="1" x14ac:dyDescent="0.25">
      <c r="C95" s="88"/>
      <c r="D95" s="90"/>
      <c r="E95" s="53" t="s">
        <v>8</v>
      </c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69"/>
      <c r="Q95" s="33"/>
      <c r="R95" s="33"/>
      <c r="S95" s="33"/>
      <c r="T95" s="33"/>
      <c r="U95" s="33"/>
      <c r="V95" s="33"/>
      <c r="W95" s="69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  <c r="HI95" s="33"/>
      <c r="HJ95" s="33"/>
      <c r="HK95" s="33"/>
      <c r="HL95" s="33"/>
      <c r="HM95" s="33"/>
      <c r="HN95" s="33"/>
      <c r="HO95" s="33"/>
      <c r="HP95" s="33"/>
      <c r="HQ95" s="33"/>
      <c r="HR95" s="33"/>
      <c r="HS95" s="33"/>
      <c r="HT95" s="33"/>
      <c r="HU95" s="33"/>
      <c r="HV95" s="33"/>
      <c r="HW95" s="33"/>
      <c r="HX95" s="33"/>
      <c r="HY95" s="33"/>
      <c r="HZ95" s="33"/>
      <c r="IA95" s="33"/>
      <c r="IB95" s="33"/>
      <c r="IC95" s="33"/>
      <c r="ID95" s="33"/>
      <c r="IE95" s="33"/>
      <c r="IF95" s="33"/>
      <c r="IG95" s="33"/>
      <c r="IH95" s="33"/>
      <c r="II95" s="33"/>
      <c r="IJ95" s="33"/>
      <c r="IK95" s="33"/>
      <c r="IL95" s="33"/>
      <c r="IM95" s="33"/>
      <c r="IN95" s="33"/>
      <c r="IO95" s="33"/>
      <c r="IP95" s="33"/>
      <c r="IQ95" s="33"/>
      <c r="IR95" s="33"/>
      <c r="IS95" s="33"/>
      <c r="IT95" s="33"/>
      <c r="IU95" s="33"/>
      <c r="IV95" s="33"/>
      <c r="IW95" s="33"/>
      <c r="IX95" s="33"/>
      <c r="IY95" s="33"/>
      <c r="IZ95" s="33"/>
      <c r="JA95" s="33"/>
      <c r="JB95" s="33"/>
      <c r="JC95" s="33"/>
      <c r="JD95" s="33"/>
      <c r="JE95" s="33"/>
      <c r="JF95" s="33"/>
      <c r="JG95" s="33"/>
      <c r="JH95" s="33"/>
      <c r="JI95" s="33"/>
      <c r="JJ95" s="33"/>
      <c r="JK95" s="33"/>
      <c r="JL95" s="33"/>
      <c r="JM95" s="33"/>
      <c r="JN95" s="33"/>
      <c r="JO95" s="33"/>
      <c r="JP95" s="33"/>
      <c r="JQ95" s="33"/>
      <c r="JR95" s="33"/>
      <c r="JS95" s="33"/>
      <c r="JT95" s="33"/>
      <c r="JU95" s="33"/>
      <c r="JV95" s="33"/>
      <c r="JW95" s="33"/>
      <c r="JX95" s="33"/>
      <c r="JY95" s="33"/>
      <c r="JZ95" s="33"/>
      <c r="KA95" s="33"/>
      <c r="KB95" s="33"/>
      <c r="KC95" s="33"/>
      <c r="KD95" s="33"/>
      <c r="KE95" s="33"/>
      <c r="KF95" s="33"/>
      <c r="KG95" s="33"/>
      <c r="KH95" s="33"/>
      <c r="KI95" s="33"/>
      <c r="KJ95" s="33"/>
      <c r="KK95" s="33"/>
      <c r="KL95" s="33"/>
      <c r="KM95" s="33"/>
      <c r="KN95" s="33"/>
      <c r="KO95" s="33"/>
      <c r="KP95" s="33"/>
      <c r="KQ95" s="33"/>
      <c r="KR95" s="33"/>
      <c r="KS95" s="33"/>
      <c r="KT95" s="33"/>
      <c r="KU95" s="33"/>
      <c r="KV95" s="33"/>
      <c r="KW95" s="33"/>
      <c r="KX95" s="33"/>
      <c r="KY95" s="33"/>
      <c r="KZ95" s="33"/>
      <c r="LA95" s="33"/>
      <c r="LB95" s="33"/>
      <c r="LC95" s="33"/>
      <c r="LD95" s="33"/>
      <c r="LE95" s="33"/>
      <c r="LF95" s="33"/>
      <c r="LG95" s="33"/>
      <c r="LH95" s="33"/>
      <c r="LI95" s="33"/>
      <c r="LJ95" s="33"/>
      <c r="LK95" s="33"/>
      <c r="LL95" s="33"/>
      <c r="LM95" s="33"/>
      <c r="LN95" s="33"/>
      <c r="LO95" s="33"/>
      <c r="LP95" s="33"/>
      <c r="LQ95" s="33"/>
      <c r="LR95" s="33"/>
      <c r="LS95" s="33"/>
      <c r="LT95" s="33"/>
      <c r="LU95" s="33"/>
      <c r="LV95" s="33"/>
      <c r="LW95" s="33"/>
      <c r="LX95" s="33"/>
      <c r="LY95" s="33"/>
      <c r="LZ95" s="33"/>
      <c r="MA95" s="33"/>
      <c r="MB95" s="33"/>
      <c r="MC95" s="33"/>
      <c r="MD95" s="33"/>
      <c r="ME95" s="33"/>
      <c r="MF95" s="33"/>
      <c r="MG95" s="33"/>
      <c r="MH95" s="33"/>
      <c r="MI95" s="33"/>
      <c r="MJ95" s="33"/>
      <c r="MK95" s="33"/>
      <c r="ML95" s="33"/>
      <c r="MM95" s="33"/>
      <c r="MN95" s="33"/>
      <c r="MO95" s="33"/>
      <c r="MP95" s="33"/>
      <c r="MQ95" s="33"/>
      <c r="MR95" s="33"/>
      <c r="MS95" s="33"/>
      <c r="MT95" s="33"/>
      <c r="MU95" s="33"/>
      <c r="MV95" s="33"/>
      <c r="MW95" s="33"/>
      <c r="MX95" s="33"/>
      <c r="MY95" s="33"/>
      <c r="MZ95" s="33"/>
      <c r="NA95" s="33"/>
      <c r="NB95" s="33"/>
      <c r="NC95" s="33"/>
      <c r="ND95" s="33"/>
      <c r="NE95" s="33"/>
      <c r="NF95" s="33"/>
      <c r="NG95" s="33"/>
      <c r="NH95" s="33"/>
      <c r="NI95" s="33"/>
      <c r="NJ95" s="33"/>
      <c r="NK95" s="33"/>
      <c r="NL95" s="33"/>
      <c r="NM95" s="33"/>
      <c r="NN95" s="33"/>
      <c r="NO95" s="33"/>
      <c r="NP95" s="33"/>
      <c r="NQ95" s="33"/>
      <c r="NR95" s="33"/>
      <c r="NS95" s="33"/>
      <c r="NT95" s="31">
        <f>COUNTIF(F95:NS95,"1")</f>
        <v>0</v>
      </c>
      <c r="NU95" s="80" t="e">
        <f>NT96/NT95</f>
        <v>#DIV/0!</v>
      </c>
      <c r="NV95" s="29">
        <f>+IF(NX95&gt;=1,"1",0)</f>
        <v>0</v>
      </c>
      <c r="NW95" s="38">
        <f t="shared" si="219"/>
        <v>1</v>
      </c>
      <c r="NX95" s="35">
        <f>COUNTIF(F95:AU95,"1")</f>
        <v>0</v>
      </c>
      <c r="NY95" s="80" t="e">
        <f t="shared" ref="NY95" si="240">NX96/NX95</f>
        <v>#DIV/0!</v>
      </c>
      <c r="NZ95" s="29">
        <f>+IF(OB95&gt;=1,"1",0)</f>
        <v>0</v>
      </c>
      <c r="OA95" s="38">
        <f t="shared" si="220"/>
        <v>1</v>
      </c>
      <c r="OB95" s="35">
        <f>COUNTIF(AV95:CK95,"1")</f>
        <v>0</v>
      </c>
      <c r="OC95" s="80" t="e">
        <f>OB96/OB95</f>
        <v>#DIV/0!</v>
      </c>
      <c r="OD95" s="29">
        <f>+IF(OF95&gt;=1,"1",0)</f>
        <v>0</v>
      </c>
      <c r="OE95" s="38">
        <f t="shared" si="221"/>
        <v>1</v>
      </c>
      <c r="OF95" s="35">
        <f>COUNTIF(CL95:EA95,"1")</f>
        <v>0</v>
      </c>
      <c r="OG95" s="80" t="e">
        <f>OF96/OF95</f>
        <v>#DIV/0!</v>
      </c>
      <c r="OH95" s="29">
        <f>+IF(OJ95&gt;=1,"1",0)</f>
        <v>0</v>
      </c>
      <c r="OI95" s="38">
        <f t="shared" si="222"/>
        <v>1</v>
      </c>
      <c r="OJ95" s="35">
        <f>COUNTIF(EB95:FQ95,"1")</f>
        <v>0</v>
      </c>
      <c r="OK95" s="79" t="e">
        <f>OJ96/OJ95</f>
        <v>#DIV/0!</v>
      </c>
      <c r="OL95" s="29">
        <f>+IF(ON95&gt;=1,"1",0)</f>
        <v>0</v>
      </c>
      <c r="OM95" s="38">
        <f t="shared" si="223"/>
        <v>1</v>
      </c>
      <c r="ON95" s="35">
        <f>COUNTIF(FR95:HG95,"1")</f>
        <v>0</v>
      </c>
      <c r="OO95" s="79" t="e">
        <f>ON96/ON95</f>
        <v>#DIV/0!</v>
      </c>
      <c r="OP95" s="29">
        <f>+IF(OR95&gt;=1,"1",0)</f>
        <v>0</v>
      </c>
      <c r="OQ95" s="38">
        <f t="shared" si="224"/>
        <v>1</v>
      </c>
      <c r="OR95" s="35">
        <f>COUNTIF(HH95:IW95,"1")</f>
        <v>0</v>
      </c>
      <c r="OS95" s="79" t="e">
        <f>OR96/OR95</f>
        <v>#DIV/0!</v>
      </c>
      <c r="OT95" s="29">
        <f>+IF(OV95&gt;=1,"1",0)</f>
        <v>0</v>
      </c>
      <c r="OU95" s="38">
        <f t="shared" si="225"/>
        <v>1</v>
      </c>
      <c r="OV95" s="35">
        <f>COUNTIF(IX95:KM95,"1")</f>
        <v>0</v>
      </c>
      <c r="OW95" s="79" t="e">
        <f>OV96/OV95</f>
        <v>#DIV/0!</v>
      </c>
      <c r="OX95" s="29">
        <f>+IF(OZ95&gt;=1,"1",0)</f>
        <v>0</v>
      </c>
      <c r="OY95" s="38">
        <f t="shared" si="226"/>
        <v>1</v>
      </c>
      <c r="OZ95" s="35">
        <f>COUNTIF(KN95:MC95,"1")</f>
        <v>0</v>
      </c>
      <c r="PA95" s="79" t="e">
        <f>OZ96/OZ95</f>
        <v>#DIV/0!</v>
      </c>
      <c r="PB95" s="29">
        <f>+IF(PD95&gt;=1,"1",0)</f>
        <v>0</v>
      </c>
      <c r="PC95" s="38">
        <f t="shared" si="227"/>
        <v>1</v>
      </c>
      <c r="PD95" s="35">
        <f>COUNTIF(MD95:NS95,"1")</f>
        <v>0</v>
      </c>
      <c r="PE95" s="79" t="e">
        <f>PD96/PD95</f>
        <v>#DIV/0!</v>
      </c>
    </row>
    <row r="96" spans="3:421" ht="15.75" customHeight="1" outlineLevel="1" thickBot="1" x14ac:dyDescent="0.3">
      <c r="C96" s="89"/>
      <c r="D96" s="91"/>
      <c r="E96" s="54" t="s">
        <v>9</v>
      </c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70"/>
      <c r="Q96" s="34"/>
      <c r="R96" s="34"/>
      <c r="S96" s="34"/>
      <c r="T96" s="34"/>
      <c r="U96" s="34"/>
      <c r="V96" s="34"/>
      <c r="W96" s="70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  <c r="HB96" s="34"/>
      <c r="HC96" s="34"/>
      <c r="HD96" s="34"/>
      <c r="HE96" s="34"/>
      <c r="HF96" s="34"/>
      <c r="HG96" s="34"/>
      <c r="HH96" s="34"/>
      <c r="HI96" s="34"/>
      <c r="HJ96" s="34"/>
      <c r="HK96" s="34"/>
      <c r="HL96" s="34"/>
      <c r="HM96" s="34"/>
      <c r="HN96" s="34"/>
      <c r="HO96" s="34"/>
      <c r="HP96" s="34"/>
      <c r="HQ96" s="34"/>
      <c r="HR96" s="34"/>
      <c r="HS96" s="34"/>
      <c r="HT96" s="34"/>
      <c r="HU96" s="34"/>
      <c r="HV96" s="34"/>
      <c r="HW96" s="34"/>
      <c r="HX96" s="34"/>
      <c r="HY96" s="34"/>
      <c r="HZ96" s="34"/>
      <c r="IA96" s="34"/>
      <c r="IB96" s="34"/>
      <c r="IC96" s="34"/>
      <c r="ID96" s="34"/>
      <c r="IE96" s="34"/>
      <c r="IF96" s="34"/>
      <c r="IG96" s="34"/>
      <c r="IH96" s="34"/>
      <c r="II96" s="34"/>
      <c r="IJ96" s="34"/>
      <c r="IK96" s="34"/>
      <c r="IL96" s="34"/>
      <c r="IM96" s="34"/>
      <c r="IN96" s="34"/>
      <c r="IO96" s="34"/>
      <c r="IP96" s="34"/>
      <c r="IQ96" s="34"/>
      <c r="IR96" s="34"/>
      <c r="IS96" s="34"/>
      <c r="IT96" s="34"/>
      <c r="IU96" s="34"/>
      <c r="IV96" s="34"/>
      <c r="IW96" s="34"/>
      <c r="IX96" s="34"/>
      <c r="IY96" s="34"/>
      <c r="IZ96" s="34"/>
      <c r="JA96" s="34"/>
      <c r="JB96" s="34"/>
      <c r="JC96" s="34"/>
      <c r="JD96" s="34"/>
      <c r="JE96" s="34"/>
      <c r="JF96" s="34"/>
      <c r="JG96" s="34"/>
      <c r="JH96" s="34"/>
      <c r="JI96" s="34"/>
      <c r="JJ96" s="34"/>
      <c r="JK96" s="34"/>
      <c r="JL96" s="34"/>
      <c r="JM96" s="34"/>
      <c r="JN96" s="34"/>
      <c r="JO96" s="34"/>
      <c r="JP96" s="34"/>
      <c r="JQ96" s="34"/>
      <c r="JR96" s="34"/>
      <c r="JS96" s="34"/>
      <c r="JT96" s="34"/>
      <c r="JU96" s="34"/>
      <c r="JV96" s="34"/>
      <c r="JW96" s="34"/>
      <c r="JX96" s="34"/>
      <c r="JY96" s="34"/>
      <c r="JZ96" s="34"/>
      <c r="KA96" s="34"/>
      <c r="KB96" s="34"/>
      <c r="KC96" s="34"/>
      <c r="KD96" s="34"/>
      <c r="KE96" s="34"/>
      <c r="KF96" s="34"/>
      <c r="KG96" s="34"/>
      <c r="KH96" s="34"/>
      <c r="KI96" s="34"/>
      <c r="KJ96" s="34"/>
      <c r="KK96" s="34"/>
      <c r="KL96" s="34"/>
      <c r="KM96" s="34"/>
      <c r="KN96" s="34"/>
      <c r="KO96" s="34"/>
      <c r="KP96" s="34"/>
      <c r="KQ96" s="34"/>
      <c r="KR96" s="34"/>
      <c r="KS96" s="34"/>
      <c r="KT96" s="34"/>
      <c r="KU96" s="34"/>
      <c r="KV96" s="34"/>
      <c r="KW96" s="34"/>
      <c r="KX96" s="34"/>
      <c r="KY96" s="34"/>
      <c r="KZ96" s="34"/>
      <c r="LA96" s="34"/>
      <c r="LB96" s="34"/>
      <c r="LC96" s="34"/>
      <c r="LD96" s="34"/>
      <c r="LE96" s="34"/>
      <c r="LF96" s="34"/>
      <c r="LG96" s="34"/>
      <c r="LH96" s="34"/>
      <c r="LI96" s="34"/>
      <c r="LJ96" s="34"/>
      <c r="LK96" s="34"/>
      <c r="LL96" s="34"/>
      <c r="LM96" s="34"/>
      <c r="LN96" s="34"/>
      <c r="LO96" s="34"/>
      <c r="LP96" s="34"/>
      <c r="LQ96" s="34"/>
      <c r="LR96" s="34"/>
      <c r="LS96" s="34"/>
      <c r="LT96" s="34"/>
      <c r="LU96" s="34"/>
      <c r="LV96" s="34"/>
      <c r="LW96" s="34"/>
      <c r="LX96" s="34"/>
      <c r="LY96" s="34"/>
      <c r="LZ96" s="34"/>
      <c r="MA96" s="34"/>
      <c r="MB96" s="34"/>
      <c r="MC96" s="34"/>
      <c r="MD96" s="34"/>
      <c r="ME96" s="34"/>
      <c r="MF96" s="34"/>
      <c r="MG96" s="34"/>
      <c r="MH96" s="34"/>
      <c r="MI96" s="34"/>
      <c r="MJ96" s="34"/>
      <c r="MK96" s="34"/>
      <c r="ML96" s="34"/>
      <c r="MM96" s="34"/>
      <c r="MN96" s="34"/>
      <c r="MO96" s="34"/>
      <c r="MP96" s="34"/>
      <c r="MQ96" s="34"/>
      <c r="MR96" s="34"/>
      <c r="MS96" s="34"/>
      <c r="MT96" s="34"/>
      <c r="MU96" s="34"/>
      <c r="MV96" s="34"/>
      <c r="MW96" s="34"/>
      <c r="MX96" s="34"/>
      <c r="MY96" s="34"/>
      <c r="MZ96" s="34"/>
      <c r="NA96" s="34"/>
      <c r="NB96" s="34"/>
      <c r="NC96" s="34"/>
      <c r="ND96" s="34"/>
      <c r="NE96" s="34"/>
      <c r="NF96" s="34"/>
      <c r="NG96" s="34"/>
      <c r="NH96" s="34"/>
      <c r="NI96" s="34"/>
      <c r="NJ96" s="34"/>
      <c r="NK96" s="34"/>
      <c r="NL96" s="34"/>
      <c r="NM96" s="34"/>
      <c r="NN96" s="34"/>
      <c r="NO96" s="34"/>
      <c r="NP96" s="34"/>
      <c r="NQ96" s="34"/>
      <c r="NR96" s="34"/>
      <c r="NS96" s="34"/>
      <c r="NT96" s="7">
        <f>COUNTIF(F96:NS96,"x")</f>
        <v>0</v>
      </c>
      <c r="NU96" s="81"/>
      <c r="NV96" s="32" t="str">
        <f>IF(NX96=0,"0",NX96/NX95)</f>
        <v>0</v>
      </c>
      <c r="NW96" s="37">
        <f t="shared" si="219"/>
        <v>0</v>
      </c>
      <c r="NX96" s="36">
        <f>COUNTIF(F96:AU96,"x")</f>
        <v>0</v>
      </c>
      <c r="NY96" s="81"/>
      <c r="NZ96" s="32" t="str">
        <f>IF(OB96=0,"0",OB96/OB95)</f>
        <v>0</v>
      </c>
      <c r="OA96" s="37">
        <f t="shared" si="220"/>
        <v>0</v>
      </c>
      <c r="OB96" s="36">
        <f>COUNTIF(AV96:CK96,"x")</f>
        <v>0</v>
      </c>
      <c r="OC96" s="81"/>
      <c r="OD96" s="32" t="str">
        <f>IF(OF96=0,"0",OF96/OF95)</f>
        <v>0</v>
      </c>
      <c r="OE96" s="37">
        <f t="shared" si="221"/>
        <v>0</v>
      </c>
      <c r="OF96" s="36">
        <f>COUNTIF(CL96:EA96,"x")</f>
        <v>0</v>
      </c>
      <c r="OG96" s="81"/>
      <c r="OH96" s="32" t="str">
        <f>IF(OJ96=0,"0",OJ96/OJ95)</f>
        <v>0</v>
      </c>
      <c r="OI96" s="37">
        <f t="shared" si="222"/>
        <v>0</v>
      </c>
      <c r="OJ96" s="36">
        <f>COUNTIF(EB96:FQ96,"x")</f>
        <v>0</v>
      </c>
      <c r="OK96" s="74"/>
      <c r="OL96" s="32" t="str">
        <f>IF(ON96=0,"0",ON96/ON95)</f>
        <v>0</v>
      </c>
      <c r="OM96" s="37">
        <f t="shared" si="223"/>
        <v>0</v>
      </c>
      <c r="ON96" s="36">
        <f>COUNTIF(FR96:HG96,"x")</f>
        <v>0</v>
      </c>
      <c r="OO96" s="74"/>
      <c r="OP96" s="32" t="str">
        <f>IF(OR96=0,"0",OR96/OR95)</f>
        <v>0</v>
      </c>
      <c r="OQ96" s="37">
        <f t="shared" si="224"/>
        <v>0</v>
      </c>
      <c r="OR96" s="36">
        <f>COUNTIF(HH96:IW96,"x")</f>
        <v>0</v>
      </c>
      <c r="OS96" s="74"/>
      <c r="OT96" s="32" t="str">
        <f>IF(OV96=0,"0",OV96/OV95)</f>
        <v>0</v>
      </c>
      <c r="OU96" s="37">
        <f t="shared" si="225"/>
        <v>0</v>
      </c>
      <c r="OV96" s="36">
        <f>COUNTIF(IX96:KM96,"x")</f>
        <v>0</v>
      </c>
      <c r="OW96" s="74"/>
      <c r="OX96" s="32" t="str">
        <f>IF(OZ96=0,"0",OZ96/OZ95)</f>
        <v>0</v>
      </c>
      <c r="OY96" s="37">
        <f t="shared" si="226"/>
        <v>0</v>
      </c>
      <c r="OZ96" s="36">
        <f>COUNTIF(KN96:MC96,"x")</f>
        <v>0</v>
      </c>
      <c r="PA96" s="74"/>
      <c r="PB96" s="32" t="str">
        <f>IF(PD96=0,"0",PD96/PD95)</f>
        <v>0</v>
      </c>
      <c r="PC96" s="37">
        <f t="shared" si="227"/>
        <v>0</v>
      </c>
      <c r="PD96" s="36">
        <f>COUNTIF(MD96:NS96,"x")</f>
        <v>0</v>
      </c>
      <c r="PE96" s="74"/>
    </row>
    <row r="97" spans="1:421" ht="15.75" customHeight="1" outlineLevel="1" x14ac:dyDescent="0.25">
      <c r="C97" s="88"/>
      <c r="D97" s="90"/>
      <c r="E97" s="53" t="s">
        <v>8</v>
      </c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69"/>
      <c r="Q97" s="33"/>
      <c r="R97" s="33"/>
      <c r="S97" s="33"/>
      <c r="T97" s="33"/>
      <c r="U97" s="33"/>
      <c r="V97" s="33"/>
      <c r="W97" s="69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  <c r="HI97" s="33"/>
      <c r="HJ97" s="33"/>
      <c r="HK97" s="33"/>
      <c r="HL97" s="33"/>
      <c r="HM97" s="33"/>
      <c r="HN97" s="33"/>
      <c r="HO97" s="33"/>
      <c r="HP97" s="33"/>
      <c r="HQ97" s="33"/>
      <c r="HR97" s="33"/>
      <c r="HS97" s="33"/>
      <c r="HT97" s="33"/>
      <c r="HU97" s="33"/>
      <c r="HV97" s="33"/>
      <c r="HW97" s="33"/>
      <c r="HX97" s="33"/>
      <c r="HY97" s="33"/>
      <c r="HZ97" s="33"/>
      <c r="IA97" s="33"/>
      <c r="IB97" s="33"/>
      <c r="IC97" s="33"/>
      <c r="ID97" s="33"/>
      <c r="IE97" s="33"/>
      <c r="IF97" s="33"/>
      <c r="IG97" s="33"/>
      <c r="IH97" s="33"/>
      <c r="II97" s="33"/>
      <c r="IJ97" s="33"/>
      <c r="IK97" s="33"/>
      <c r="IL97" s="33"/>
      <c r="IM97" s="33"/>
      <c r="IN97" s="33"/>
      <c r="IO97" s="33"/>
      <c r="IP97" s="33"/>
      <c r="IQ97" s="33"/>
      <c r="IR97" s="33"/>
      <c r="IS97" s="33"/>
      <c r="IT97" s="33"/>
      <c r="IU97" s="33"/>
      <c r="IV97" s="33"/>
      <c r="IW97" s="33"/>
      <c r="IX97" s="33"/>
      <c r="IY97" s="33"/>
      <c r="IZ97" s="33"/>
      <c r="JA97" s="33"/>
      <c r="JB97" s="33"/>
      <c r="JC97" s="33"/>
      <c r="JD97" s="33"/>
      <c r="JE97" s="33"/>
      <c r="JF97" s="33"/>
      <c r="JG97" s="33"/>
      <c r="JH97" s="33"/>
      <c r="JI97" s="33"/>
      <c r="JJ97" s="33"/>
      <c r="JK97" s="33"/>
      <c r="JL97" s="33"/>
      <c r="JM97" s="33"/>
      <c r="JN97" s="33"/>
      <c r="JO97" s="33"/>
      <c r="JP97" s="33"/>
      <c r="JQ97" s="33"/>
      <c r="JR97" s="33"/>
      <c r="JS97" s="33"/>
      <c r="JT97" s="33"/>
      <c r="JU97" s="33"/>
      <c r="JV97" s="33"/>
      <c r="JW97" s="33"/>
      <c r="JX97" s="33"/>
      <c r="JY97" s="33"/>
      <c r="JZ97" s="33"/>
      <c r="KA97" s="33"/>
      <c r="KB97" s="33"/>
      <c r="KC97" s="33"/>
      <c r="KD97" s="33"/>
      <c r="KE97" s="33"/>
      <c r="KF97" s="33"/>
      <c r="KG97" s="33"/>
      <c r="KH97" s="33"/>
      <c r="KI97" s="33"/>
      <c r="KJ97" s="33"/>
      <c r="KK97" s="33"/>
      <c r="KL97" s="33"/>
      <c r="KM97" s="33"/>
      <c r="KN97" s="33"/>
      <c r="KO97" s="33"/>
      <c r="KP97" s="33"/>
      <c r="KQ97" s="33"/>
      <c r="KR97" s="33"/>
      <c r="KS97" s="33"/>
      <c r="KT97" s="33"/>
      <c r="KU97" s="33"/>
      <c r="KV97" s="33"/>
      <c r="KW97" s="33"/>
      <c r="KX97" s="33"/>
      <c r="KY97" s="33"/>
      <c r="KZ97" s="33"/>
      <c r="LA97" s="33"/>
      <c r="LB97" s="33"/>
      <c r="LC97" s="33"/>
      <c r="LD97" s="33"/>
      <c r="LE97" s="33"/>
      <c r="LF97" s="33"/>
      <c r="LG97" s="33"/>
      <c r="LH97" s="33"/>
      <c r="LI97" s="33"/>
      <c r="LJ97" s="33"/>
      <c r="LK97" s="33"/>
      <c r="LL97" s="33"/>
      <c r="LM97" s="33"/>
      <c r="LN97" s="33"/>
      <c r="LO97" s="33"/>
      <c r="LP97" s="33"/>
      <c r="LQ97" s="33"/>
      <c r="LR97" s="33"/>
      <c r="LS97" s="33"/>
      <c r="LT97" s="33"/>
      <c r="LU97" s="33"/>
      <c r="LV97" s="33"/>
      <c r="LW97" s="33"/>
      <c r="LX97" s="33"/>
      <c r="LY97" s="33"/>
      <c r="LZ97" s="33"/>
      <c r="MA97" s="33"/>
      <c r="MB97" s="33"/>
      <c r="MC97" s="33"/>
      <c r="MD97" s="33"/>
      <c r="ME97" s="33"/>
      <c r="MF97" s="33"/>
      <c r="MG97" s="33"/>
      <c r="MH97" s="33"/>
      <c r="MI97" s="33"/>
      <c r="MJ97" s="33"/>
      <c r="MK97" s="33"/>
      <c r="ML97" s="33"/>
      <c r="MM97" s="33"/>
      <c r="MN97" s="33"/>
      <c r="MO97" s="33"/>
      <c r="MP97" s="33"/>
      <c r="MQ97" s="33"/>
      <c r="MR97" s="33"/>
      <c r="MS97" s="33"/>
      <c r="MT97" s="33"/>
      <c r="MU97" s="33"/>
      <c r="MV97" s="33"/>
      <c r="MW97" s="33"/>
      <c r="MX97" s="33"/>
      <c r="MY97" s="33"/>
      <c r="MZ97" s="33"/>
      <c r="NA97" s="33"/>
      <c r="NB97" s="33"/>
      <c r="NC97" s="33"/>
      <c r="ND97" s="33"/>
      <c r="NE97" s="33"/>
      <c r="NF97" s="33"/>
      <c r="NG97" s="33"/>
      <c r="NH97" s="33"/>
      <c r="NI97" s="33"/>
      <c r="NJ97" s="33"/>
      <c r="NK97" s="33"/>
      <c r="NL97" s="33"/>
      <c r="NM97" s="33"/>
      <c r="NN97" s="33"/>
      <c r="NO97" s="33"/>
      <c r="NP97" s="33"/>
      <c r="NQ97" s="33"/>
      <c r="NR97" s="33"/>
      <c r="NS97" s="33"/>
      <c r="NT97" s="31">
        <f>COUNTIF(F97:NS97,"1")</f>
        <v>0</v>
      </c>
      <c r="NU97" s="80" t="e">
        <f>NT98/NT97</f>
        <v>#DIV/0!</v>
      </c>
      <c r="NV97" s="29">
        <f>+IF(NX97&gt;=1,"1",0)</f>
        <v>0</v>
      </c>
      <c r="NW97" s="38">
        <f t="shared" si="219"/>
        <v>1</v>
      </c>
      <c r="NX97" s="35">
        <f>COUNTIF(F97:AU97,"1")</f>
        <v>0</v>
      </c>
      <c r="NY97" s="80" t="e">
        <f t="shared" ref="NY97:NY99" si="241">NX98/NX97</f>
        <v>#DIV/0!</v>
      </c>
      <c r="NZ97" s="29">
        <f>+IF(OB97&gt;=1,"1",0)</f>
        <v>0</v>
      </c>
      <c r="OA97" s="38">
        <f t="shared" si="220"/>
        <v>1</v>
      </c>
      <c r="OB97" s="35">
        <f>COUNTIF(AV97:CK97,"1")</f>
        <v>0</v>
      </c>
      <c r="OC97" s="80" t="e">
        <f>OB98/OB97</f>
        <v>#DIV/0!</v>
      </c>
      <c r="OD97" s="29">
        <f>+IF(OF97&gt;=1,"1",0)</f>
        <v>0</v>
      </c>
      <c r="OE97" s="38">
        <f t="shared" si="221"/>
        <v>1</v>
      </c>
      <c r="OF97" s="35">
        <f>COUNTIF(CL97:EA97,"1")</f>
        <v>0</v>
      </c>
      <c r="OG97" s="80" t="e">
        <f>OF98/OF97</f>
        <v>#DIV/0!</v>
      </c>
      <c r="OH97" s="29">
        <f>+IF(OJ97&gt;=1,"1",0)</f>
        <v>0</v>
      </c>
      <c r="OI97" s="38">
        <f t="shared" si="222"/>
        <v>1</v>
      </c>
      <c r="OJ97" s="35">
        <f>COUNTIF(EB97:FQ97,"1")</f>
        <v>0</v>
      </c>
      <c r="OK97" s="79" t="e">
        <f>OJ98/OJ97</f>
        <v>#DIV/0!</v>
      </c>
      <c r="OL97" s="29">
        <f>+IF(ON97&gt;=1,"1",0)</f>
        <v>0</v>
      </c>
      <c r="OM97" s="38">
        <f t="shared" si="223"/>
        <v>1</v>
      </c>
      <c r="ON97" s="35">
        <f>COUNTIF(FR97:HG97,"1")</f>
        <v>0</v>
      </c>
      <c r="OO97" s="79" t="e">
        <f>ON98/ON97</f>
        <v>#DIV/0!</v>
      </c>
      <c r="OP97" s="29">
        <f>+IF(OR97&gt;=1,"1",0)</f>
        <v>0</v>
      </c>
      <c r="OQ97" s="38">
        <f t="shared" si="224"/>
        <v>1</v>
      </c>
      <c r="OR97" s="35">
        <f>COUNTIF(HH97:IW97,"1")</f>
        <v>0</v>
      </c>
      <c r="OS97" s="79" t="e">
        <f>OR98/OR97</f>
        <v>#DIV/0!</v>
      </c>
      <c r="OT97" s="29">
        <f>+IF(OV97&gt;=1,"1",0)</f>
        <v>0</v>
      </c>
      <c r="OU97" s="38">
        <f t="shared" si="225"/>
        <v>1</v>
      </c>
      <c r="OV97" s="35">
        <f>COUNTIF(IX97:KM97,"1")</f>
        <v>0</v>
      </c>
      <c r="OW97" s="79" t="e">
        <f>OV98/OV97</f>
        <v>#DIV/0!</v>
      </c>
      <c r="OX97" s="29">
        <f>+IF(OZ97&gt;=1,"1",0)</f>
        <v>0</v>
      </c>
      <c r="OY97" s="38">
        <f t="shared" si="226"/>
        <v>1</v>
      </c>
      <c r="OZ97" s="35">
        <f>COUNTIF(KN97:MC97,"1")</f>
        <v>0</v>
      </c>
      <c r="PA97" s="79" t="e">
        <f>OZ98/OZ97</f>
        <v>#DIV/0!</v>
      </c>
      <c r="PB97" s="29">
        <f>+IF(PD97&gt;=1,"1",0)</f>
        <v>0</v>
      </c>
      <c r="PC97" s="38">
        <f t="shared" si="227"/>
        <v>1</v>
      </c>
      <c r="PD97" s="35">
        <f>COUNTIF(MD97:NS97,"1")</f>
        <v>0</v>
      </c>
      <c r="PE97" s="79" t="e">
        <f>PD98/PD97</f>
        <v>#DIV/0!</v>
      </c>
    </row>
    <row r="98" spans="1:421" ht="15.75" customHeight="1" outlineLevel="1" thickBot="1" x14ac:dyDescent="0.3">
      <c r="C98" s="89"/>
      <c r="D98" s="91"/>
      <c r="E98" s="54" t="s">
        <v>9</v>
      </c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70"/>
      <c r="Q98" s="34"/>
      <c r="R98" s="34"/>
      <c r="S98" s="34"/>
      <c r="T98" s="34"/>
      <c r="U98" s="34"/>
      <c r="V98" s="34"/>
      <c r="W98" s="70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  <c r="HB98" s="34"/>
      <c r="HC98" s="34"/>
      <c r="HD98" s="34"/>
      <c r="HE98" s="34"/>
      <c r="HF98" s="34"/>
      <c r="HG98" s="34"/>
      <c r="HH98" s="34"/>
      <c r="HI98" s="34"/>
      <c r="HJ98" s="34"/>
      <c r="HK98" s="34"/>
      <c r="HL98" s="34"/>
      <c r="HM98" s="34"/>
      <c r="HN98" s="34"/>
      <c r="HO98" s="34"/>
      <c r="HP98" s="34"/>
      <c r="HQ98" s="34"/>
      <c r="HR98" s="34"/>
      <c r="HS98" s="34"/>
      <c r="HT98" s="34"/>
      <c r="HU98" s="34"/>
      <c r="HV98" s="34"/>
      <c r="HW98" s="34"/>
      <c r="HX98" s="34"/>
      <c r="HY98" s="34"/>
      <c r="HZ98" s="34"/>
      <c r="IA98" s="34"/>
      <c r="IB98" s="34"/>
      <c r="IC98" s="34"/>
      <c r="ID98" s="34"/>
      <c r="IE98" s="34"/>
      <c r="IF98" s="34"/>
      <c r="IG98" s="34"/>
      <c r="IH98" s="34"/>
      <c r="II98" s="34"/>
      <c r="IJ98" s="34"/>
      <c r="IK98" s="34"/>
      <c r="IL98" s="34"/>
      <c r="IM98" s="34"/>
      <c r="IN98" s="34"/>
      <c r="IO98" s="34"/>
      <c r="IP98" s="34"/>
      <c r="IQ98" s="34"/>
      <c r="IR98" s="34"/>
      <c r="IS98" s="34"/>
      <c r="IT98" s="34"/>
      <c r="IU98" s="34"/>
      <c r="IV98" s="34"/>
      <c r="IW98" s="34"/>
      <c r="IX98" s="34"/>
      <c r="IY98" s="34"/>
      <c r="IZ98" s="34"/>
      <c r="JA98" s="34"/>
      <c r="JB98" s="34"/>
      <c r="JC98" s="34"/>
      <c r="JD98" s="34"/>
      <c r="JE98" s="34"/>
      <c r="JF98" s="34"/>
      <c r="JG98" s="34"/>
      <c r="JH98" s="34"/>
      <c r="JI98" s="34"/>
      <c r="JJ98" s="34"/>
      <c r="JK98" s="34"/>
      <c r="JL98" s="34"/>
      <c r="JM98" s="34"/>
      <c r="JN98" s="34"/>
      <c r="JO98" s="34"/>
      <c r="JP98" s="34"/>
      <c r="JQ98" s="34"/>
      <c r="JR98" s="34"/>
      <c r="JS98" s="34"/>
      <c r="JT98" s="34"/>
      <c r="JU98" s="34"/>
      <c r="JV98" s="34"/>
      <c r="JW98" s="34"/>
      <c r="JX98" s="34"/>
      <c r="JY98" s="34"/>
      <c r="JZ98" s="34"/>
      <c r="KA98" s="34"/>
      <c r="KB98" s="34"/>
      <c r="KC98" s="34"/>
      <c r="KD98" s="34"/>
      <c r="KE98" s="34"/>
      <c r="KF98" s="34"/>
      <c r="KG98" s="34"/>
      <c r="KH98" s="34"/>
      <c r="KI98" s="34"/>
      <c r="KJ98" s="34"/>
      <c r="KK98" s="34"/>
      <c r="KL98" s="34"/>
      <c r="KM98" s="34"/>
      <c r="KN98" s="34"/>
      <c r="KO98" s="34"/>
      <c r="KP98" s="34"/>
      <c r="KQ98" s="34"/>
      <c r="KR98" s="34"/>
      <c r="KS98" s="34"/>
      <c r="KT98" s="34"/>
      <c r="KU98" s="34"/>
      <c r="KV98" s="34"/>
      <c r="KW98" s="34"/>
      <c r="KX98" s="34"/>
      <c r="KY98" s="34"/>
      <c r="KZ98" s="34"/>
      <c r="LA98" s="34"/>
      <c r="LB98" s="34"/>
      <c r="LC98" s="34"/>
      <c r="LD98" s="34"/>
      <c r="LE98" s="34"/>
      <c r="LF98" s="34"/>
      <c r="LG98" s="34"/>
      <c r="LH98" s="34"/>
      <c r="LI98" s="34"/>
      <c r="LJ98" s="34"/>
      <c r="LK98" s="34"/>
      <c r="LL98" s="34"/>
      <c r="LM98" s="34"/>
      <c r="LN98" s="34"/>
      <c r="LO98" s="34"/>
      <c r="LP98" s="34"/>
      <c r="LQ98" s="34"/>
      <c r="LR98" s="34"/>
      <c r="LS98" s="34"/>
      <c r="LT98" s="34"/>
      <c r="LU98" s="34"/>
      <c r="LV98" s="34"/>
      <c r="LW98" s="34"/>
      <c r="LX98" s="34"/>
      <c r="LY98" s="34"/>
      <c r="LZ98" s="34"/>
      <c r="MA98" s="34"/>
      <c r="MB98" s="34"/>
      <c r="MC98" s="34"/>
      <c r="MD98" s="34"/>
      <c r="ME98" s="34"/>
      <c r="MF98" s="34"/>
      <c r="MG98" s="34"/>
      <c r="MH98" s="34"/>
      <c r="MI98" s="34"/>
      <c r="MJ98" s="34"/>
      <c r="MK98" s="34"/>
      <c r="ML98" s="34"/>
      <c r="MM98" s="34"/>
      <c r="MN98" s="34"/>
      <c r="MO98" s="34"/>
      <c r="MP98" s="34"/>
      <c r="MQ98" s="34"/>
      <c r="MR98" s="34"/>
      <c r="MS98" s="34"/>
      <c r="MT98" s="34"/>
      <c r="MU98" s="34"/>
      <c r="MV98" s="34"/>
      <c r="MW98" s="34"/>
      <c r="MX98" s="34"/>
      <c r="MY98" s="34"/>
      <c r="MZ98" s="34"/>
      <c r="NA98" s="34"/>
      <c r="NB98" s="34"/>
      <c r="NC98" s="34"/>
      <c r="ND98" s="34"/>
      <c r="NE98" s="34"/>
      <c r="NF98" s="34"/>
      <c r="NG98" s="34"/>
      <c r="NH98" s="34"/>
      <c r="NI98" s="34"/>
      <c r="NJ98" s="34"/>
      <c r="NK98" s="34"/>
      <c r="NL98" s="34"/>
      <c r="NM98" s="34"/>
      <c r="NN98" s="34"/>
      <c r="NO98" s="34"/>
      <c r="NP98" s="34"/>
      <c r="NQ98" s="34"/>
      <c r="NR98" s="34"/>
      <c r="NS98" s="34"/>
      <c r="NT98" s="7">
        <f>COUNTIF(F98:NS98,"x")</f>
        <v>0</v>
      </c>
      <c r="NU98" s="81"/>
      <c r="NV98" s="32" t="str">
        <f>IF(NX98=0,"0",NX98/NX97)</f>
        <v>0</v>
      </c>
      <c r="NW98" s="37">
        <f t="shared" si="219"/>
        <v>0</v>
      </c>
      <c r="NX98" s="36">
        <f>COUNTIF(F98:AU98,"x")</f>
        <v>0</v>
      </c>
      <c r="NY98" s="81"/>
      <c r="NZ98" s="32" t="str">
        <f>IF(OB98=0,"0",OB98/OB97)</f>
        <v>0</v>
      </c>
      <c r="OA98" s="37">
        <f t="shared" si="220"/>
        <v>0</v>
      </c>
      <c r="OB98" s="36">
        <f>COUNTIF(AV98:CK98,"x")</f>
        <v>0</v>
      </c>
      <c r="OC98" s="81"/>
      <c r="OD98" s="32" t="str">
        <f>IF(OF98=0,"0",OF98/OF97)</f>
        <v>0</v>
      </c>
      <c r="OE98" s="37">
        <f t="shared" si="221"/>
        <v>0</v>
      </c>
      <c r="OF98" s="36">
        <f>COUNTIF(CL98:EA98,"x")</f>
        <v>0</v>
      </c>
      <c r="OG98" s="81"/>
      <c r="OH98" s="32" t="str">
        <f>IF(OJ98=0,"0",OJ98/OJ97)</f>
        <v>0</v>
      </c>
      <c r="OI98" s="37">
        <f t="shared" si="222"/>
        <v>0</v>
      </c>
      <c r="OJ98" s="36">
        <f>COUNTIF(EB98:FQ98,"x")</f>
        <v>0</v>
      </c>
      <c r="OK98" s="74"/>
      <c r="OL98" s="32" t="str">
        <f>IF(ON98=0,"0",ON98/ON97)</f>
        <v>0</v>
      </c>
      <c r="OM98" s="37">
        <f t="shared" si="223"/>
        <v>0</v>
      </c>
      <c r="ON98" s="36">
        <f>COUNTIF(FR98:HG98,"x")</f>
        <v>0</v>
      </c>
      <c r="OO98" s="74"/>
      <c r="OP98" s="32" t="str">
        <f>IF(OR98=0,"0",OR98/OR97)</f>
        <v>0</v>
      </c>
      <c r="OQ98" s="37">
        <f t="shared" si="224"/>
        <v>0</v>
      </c>
      <c r="OR98" s="36">
        <f>COUNTIF(HH98:IW98,"x")</f>
        <v>0</v>
      </c>
      <c r="OS98" s="74"/>
      <c r="OT98" s="32" t="str">
        <f>IF(OV98=0,"0",OV98/OV97)</f>
        <v>0</v>
      </c>
      <c r="OU98" s="37">
        <f t="shared" si="225"/>
        <v>0</v>
      </c>
      <c r="OV98" s="36">
        <f>COUNTIF(IX98:KM98,"x")</f>
        <v>0</v>
      </c>
      <c r="OW98" s="74"/>
      <c r="OX98" s="32" t="str">
        <f>IF(OZ98=0,"0",OZ98/OZ97)</f>
        <v>0</v>
      </c>
      <c r="OY98" s="37">
        <f t="shared" si="226"/>
        <v>0</v>
      </c>
      <c r="OZ98" s="36">
        <f>COUNTIF(KN98:MC98,"x")</f>
        <v>0</v>
      </c>
      <c r="PA98" s="74"/>
      <c r="PB98" s="32" t="str">
        <f>IF(PD98=0,"0",PD98/PD97)</f>
        <v>0</v>
      </c>
      <c r="PC98" s="37">
        <f t="shared" si="227"/>
        <v>0</v>
      </c>
      <c r="PD98" s="36">
        <f>COUNTIF(MD98:NS98,"x")</f>
        <v>0</v>
      </c>
      <c r="PE98" s="74"/>
    </row>
    <row r="99" spans="1:421" ht="15.75" customHeight="1" x14ac:dyDescent="0.25">
      <c r="A99" s="18"/>
      <c r="B99" s="18"/>
      <c r="C99" s="94" t="s">
        <v>43</v>
      </c>
      <c r="D99" s="57"/>
      <c r="E99" s="51" t="s">
        <v>8</v>
      </c>
      <c r="F99" s="12">
        <f>COUNTIF(F101:F120,"1")</f>
        <v>0</v>
      </c>
      <c r="G99" s="12">
        <f t="shared" ref="G99:BR99" si="242">COUNTIF(G101:G120,"1")</f>
        <v>0</v>
      </c>
      <c r="H99" s="12">
        <f t="shared" si="242"/>
        <v>0</v>
      </c>
      <c r="I99" s="12">
        <f t="shared" si="242"/>
        <v>0</v>
      </c>
      <c r="J99" s="12">
        <f t="shared" si="242"/>
        <v>0</v>
      </c>
      <c r="K99" s="12">
        <f t="shared" si="242"/>
        <v>0</v>
      </c>
      <c r="L99" s="12">
        <f t="shared" si="242"/>
        <v>0</v>
      </c>
      <c r="M99" s="12">
        <f t="shared" si="242"/>
        <v>0</v>
      </c>
      <c r="N99" s="12">
        <f t="shared" si="242"/>
        <v>0</v>
      </c>
      <c r="O99" s="12">
        <f t="shared" si="242"/>
        <v>0</v>
      </c>
      <c r="P99" s="69">
        <f t="shared" si="242"/>
        <v>0</v>
      </c>
      <c r="Q99" s="12">
        <f t="shared" si="242"/>
        <v>0</v>
      </c>
      <c r="R99" s="12">
        <f t="shared" si="242"/>
        <v>0</v>
      </c>
      <c r="S99" s="12">
        <f t="shared" si="242"/>
        <v>0</v>
      </c>
      <c r="T99" s="12">
        <f t="shared" si="242"/>
        <v>0</v>
      </c>
      <c r="U99" s="12">
        <f t="shared" si="242"/>
        <v>0</v>
      </c>
      <c r="V99" s="12">
        <f t="shared" si="242"/>
        <v>0</v>
      </c>
      <c r="W99" s="69">
        <f t="shared" si="242"/>
        <v>0</v>
      </c>
      <c r="X99" s="12">
        <f t="shared" si="242"/>
        <v>0</v>
      </c>
      <c r="Y99" s="12">
        <f t="shared" si="242"/>
        <v>0</v>
      </c>
      <c r="Z99" s="12">
        <f t="shared" si="242"/>
        <v>0</v>
      </c>
      <c r="AA99" s="12">
        <f t="shared" si="242"/>
        <v>0</v>
      </c>
      <c r="AB99" s="12">
        <f t="shared" si="242"/>
        <v>0</v>
      </c>
      <c r="AC99" s="12">
        <f t="shared" si="242"/>
        <v>0</v>
      </c>
      <c r="AD99" s="12">
        <f t="shared" si="242"/>
        <v>0</v>
      </c>
      <c r="AE99" s="12">
        <f t="shared" si="242"/>
        <v>0</v>
      </c>
      <c r="AF99" s="12">
        <f t="shared" si="242"/>
        <v>0</v>
      </c>
      <c r="AG99" s="12">
        <f t="shared" si="242"/>
        <v>1</v>
      </c>
      <c r="AH99" s="12">
        <f t="shared" si="242"/>
        <v>0</v>
      </c>
      <c r="AI99" s="12">
        <f t="shared" si="242"/>
        <v>0</v>
      </c>
      <c r="AJ99" s="12">
        <f t="shared" si="242"/>
        <v>0</v>
      </c>
      <c r="AK99" s="12">
        <f t="shared" si="242"/>
        <v>0</v>
      </c>
      <c r="AL99" s="12">
        <f t="shared" si="242"/>
        <v>0</v>
      </c>
      <c r="AM99" s="12">
        <f t="shared" si="242"/>
        <v>0</v>
      </c>
      <c r="AN99" s="12">
        <f t="shared" si="242"/>
        <v>1</v>
      </c>
      <c r="AO99" s="12">
        <f t="shared" si="242"/>
        <v>1</v>
      </c>
      <c r="AP99" s="12">
        <f t="shared" si="242"/>
        <v>0</v>
      </c>
      <c r="AQ99" s="12">
        <f t="shared" si="242"/>
        <v>0</v>
      </c>
      <c r="AR99" s="12">
        <f t="shared" si="242"/>
        <v>0</v>
      </c>
      <c r="AS99" s="12">
        <f t="shared" si="242"/>
        <v>0</v>
      </c>
      <c r="AT99" s="12">
        <f t="shared" si="242"/>
        <v>0</v>
      </c>
      <c r="AU99" s="12">
        <f t="shared" si="242"/>
        <v>0</v>
      </c>
      <c r="AV99" s="12">
        <f t="shared" si="242"/>
        <v>0</v>
      </c>
      <c r="AW99" s="12">
        <f t="shared" si="242"/>
        <v>0</v>
      </c>
      <c r="AX99" s="12">
        <f t="shared" si="242"/>
        <v>0</v>
      </c>
      <c r="AY99" s="12">
        <f t="shared" si="242"/>
        <v>0</v>
      </c>
      <c r="AZ99" s="12">
        <f t="shared" si="242"/>
        <v>0</v>
      </c>
      <c r="BA99" s="12">
        <f t="shared" si="242"/>
        <v>0</v>
      </c>
      <c r="BB99" s="12">
        <f t="shared" si="242"/>
        <v>0</v>
      </c>
      <c r="BC99" s="12">
        <f t="shared" si="242"/>
        <v>0</v>
      </c>
      <c r="BD99" s="12">
        <f t="shared" si="242"/>
        <v>0</v>
      </c>
      <c r="BE99" s="12">
        <f t="shared" si="242"/>
        <v>0</v>
      </c>
      <c r="BF99" s="12">
        <f t="shared" si="242"/>
        <v>0</v>
      </c>
      <c r="BG99" s="12">
        <f t="shared" si="242"/>
        <v>0</v>
      </c>
      <c r="BH99" s="12">
        <f t="shared" si="242"/>
        <v>0</v>
      </c>
      <c r="BI99" s="12">
        <f t="shared" si="242"/>
        <v>0</v>
      </c>
      <c r="BJ99" s="12">
        <f t="shared" si="242"/>
        <v>0</v>
      </c>
      <c r="BK99" s="12">
        <f t="shared" si="242"/>
        <v>0</v>
      </c>
      <c r="BL99" s="12">
        <f t="shared" si="242"/>
        <v>0</v>
      </c>
      <c r="BM99" s="12">
        <f t="shared" si="242"/>
        <v>0</v>
      </c>
      <c r="BN99" s="12">
        <f t="shared" si="242"/>
        <v>0</v>
      </c>
      <c r="BO99" s="12">
        <f t="shared" si="242"/>
        <v>0</v>
      </c>
      <c r="BP99" s="12">
        <f t="shared" si="242"/>
        <v>0</v>
      </c>
      <c r="BQ99" s="12">
        <f t="shared" si="242"/>
        <v>0</v>
      </c>
      <c r="BR99" s="12">
        <f t="shared" si="242"/>
        <v>0</v>
      </c>
      <c r="BS99" s="12">
        <f t="shared" ref="BS99:ED99" si="243">COUNTIF(BS101:BS120,"1")</f>
        <v>0</v>
      </c>
      <c r="BT99" s="12">
        <f t="shared" si="243"/>
        <v>0</v>
      </c>
      <c r="BU99" s="12">
        <f t="shared" si="243"/>
        <v>0</v>
      </c>
      <c r="BV99" s="12">
        <f t="shared" si="243"/>
        <v>0</v>
      </c>
      <c r="BW99" s="12">
        <f t="shared" si="243"/>
        <v>0</v>
      </c>
      <c r="BX99" s="12">
        <f t="shared" si="243"/>
        <v>0</v>
      </c>
      <c r="BY99" s="12">
        <f t="shared" si="243"/>
        <v>0</v>
      </c>
      <c r="BZ99" s="12">
        <f t="shared" si="243"/>
        <v>0</v>
      </c>
      <c r="CA99" s="12">
        <f t="shared" si="243"/>
        <v>0</v>
      </c>
      <c r="CB99" s="12">
        <f t="shared" si="243"/>
        <v>0</v>
      </c>
      <c r="CC99" s="12">
        <f t="shared" si="243"/>
        <v>0</v>
      </c>
      <c r="CD99" s="12">
        <f t="shared" si="243"/>
        <v>0</v>
      </c>
      <c r="CE99" s="12">
        <f t="shared" si="243"/>
        <v>0</v>
      </c>
      <c r="CF99" s="12">
        <f t="shared" si="243"/>
        <v>0</v>
      </c>
      <c r="CG99" s="12">
        <f t="shared" si="243"/>
        <v>0</v>
      </c>
      <c r="CH99" s="12">
        <f t="shared" si="243"/>
        <v>0</v>
      </c>
      <c r="CI99" s="12">
        <f t="shared" si="243"/>
        <v>0</v>
      </c>
      <c r="CJ99" s="12">
        <f t="shared" si="243"/>
        <v>0</v>
      </c>
      <c r="CK99" s="12">
        <f t="shared" si="243"/>
        <v>0</v>
      </c>
      <c r="CL99" s="12">
        <f t="shared" si="243"/>
        <v>0</v>
      </c>
      <c r="CM99" s="12">
        <f t="shared" si="243"/>
        <v>0</v>
      </c>
      <c r="CN99" s="12">
        <f t="shared" si="243"/>
        <v>0</v>
      </c>
      <c r="CO99" s="12">
        <f t="shared" si="243"/>
        <v>0</v>
      </c>
      <c r="CP99" s="12">
        <f t="shared" si="243"/>
        <v>0</v>
      </c>
      <c r="CQ99" s="12">
        <f t="shared" si="243"/>
        <v>0</v>
      </c>
      <c r="CR99" s="12">
        <f t="shared" si="243"/>
        <v>0</v>
      </c>
      <c r="CS99" s="12">
        <f t="shared" si="243"/>
        <v>0</v>
      </c>
      <c r="CT99" s="12">
        <f t="shared" si="243"/>
        <v>0</v>
      </c>
      <c r="CU99" s="12">
        <f t="shared" si="243"/>
        <v>0</v>
      </c>
      <c r="CV99" s="12">
        <f t="shared" si="243"/>
        <v>0</v>
      </c>
      <c r="CW99" s="12">
        <f t="shared" si="243"/>
        <v>0</v>
      </c>
      <c r="CX99" s="12">
        <f t="shared" si="243"/>
        <v>0</v>
      </c>
      <c r="CY99" s="12">
        <f t="shared" si="243"/>
        <v>0</v>
      </c>
      <c r="CZ99" s="12">
        <f t="shared" si="243"/>
        <v>0</v>
      </c>
      <c r="DA99" s="12">
        <f t="shared" si="243"/>
        <v>0</v>
      </c>
      <c r="DB99" s="12">
        <f t="shared" si="243"/>
        <v>0</v>
      </c>
      <c r="DC99" s="12">
        <f t="shared" si="243"/>
        <v>0</v>
      </c>
      <c r="DD99" s="12">
        <f t="shared" si="243"/>
        <v>0</v>
      </c>
      <c r="DE99" s="12">
        <f t="shared" si="243"/>
        <v>0</v>
      </c>
      <c r="DF99" s="12">
        <f t="shared" si="243"/>
        <v>0</v>
      </c>
      <c r="DG99" s="12">
        <f t="shared" si="243"/>
        <v>0</v>
      </c>
      <c r="DH99" s="12">
        <f t="shared" si="243"/>
        <v>0</v>
      </c>
      <c r="DI99" s="12">
        <f t="shared" si="243"/>
        <v>0</v>
      </c>
      <c r="DJ99" s="12">
        <f t="shared" si="243"/>
        <v>0</v>
      </c>
      <c r="DK99" s="12">
        <f t="shared" si="243"/>
        <v>0</v>
      </c>
      <c r="DL99" s="12">
        <f t="shared" si="243"/>
        <v>0</v>
      </c>
      <c r="DM99" s="12">
        <f t="shared" si="243"/>
        <v>0</v>
      </c>
      <c r="DN99" s="12">
        <f t="shared" si="243"/>
        <v>0</v>
      </c>
      <c r="DO99" s="12">
        <f t="shared" si="243"/>
        <v>0</v>
      </c>
      <c r="DP99" s="12">
        <f t="shared" si="243"/>
        <v>0</v>
      </c>
      <c r="DQ99" s="12">
        <f t="shared" si="243"/>
        <v>0</v>
      </c>
      <c r="DR99" s="12">
        <f t="shared" si="243"/>
        <v>0</v>
      </c>
      <c r="DS99" s="12">
        <f t="shared" si="243"/>
        <v>0</v>
      </c>
      <c r="DT99" s="12">
        <f t="shared" si="243"/>
        <v>0</v>
      </c>
      <c r="DU99" s="12">
        <f t="shared" si="243"/>
        <v>0</v>
      </c>
      <c r="DV99" s="12">
        <f t="shared" si="243"/>
        <v>0</v>
      </c>
      <c r="DW99" s="12">
        <f t="shared" si="243"/>
        <v>0</v>
      </c>
      <c r="DX99" s="12">
        <f t="shared" si="243"/>
        <v>0</v>
      </c>
      <c r="DY99" s="12">
        <f t="shared" si="243"/>
        <v>0</v>
      </c>
      <c r="DZ99" s="12">
        <f t="shared" si="243"/>
        <v>0</v>
      </c>
      <c r="EA99" s="12">
        <f t="shared" si="243"/>
        <v>0</v>
      </c>
      <c r="EB99" s="12">
        <f t="shared" si="243"/>
        <v>0</v>
      </c>
      <c r="EC99" s="12">
        <f t="shared" si="243"/>
        <v>0</v>
      </c>
      <c r="ED99" s="12">
        <f t="shared" si="243"/>
        <v>0</v>
      </c>
      <c r="EE99" s="12">
        <f t="shared" ref="EE99:GP99" si="244">COUNTIF(EE101:EE120,"1")</f>
        <v>0</v>
      </c>
      <c r="EF99" s="12">
        <f t="shared" si="244"/>
        <v>0</v>
      </c>
      <c r="EG99" s="12">
        <f t="shared" si="244"/>
        <v>0</v>
      </c>
      <c r="EH99" s="12">
        <f t="shared" si="244"/>
        <v>0</v>
      </c>
      <c r="EI99" s="12">
        <f t="shared" si="244"/>
        <v>0</v>
      </c>
      <c r="EJ99" s="12">
        <f t="shared" si="244"/>
        <v>0</v>
      </c>
      <c r="EK99" s="12">
        <f t="shared" si="244"/>
        <v>0</v>
      </c>
      <c r="EL99" s="12">
        <f t="shared" si="244"/>
        <v>0</v>
      </c>
      <c r="EM99" s="12">
        <f t="shared" si="244"/>
        <v>0</v>
      </c>
      <c r="EN99" s="12">
        <f t="shared" si="244"/>
        <v>0</v>
      </c>
      <c r="EO99" s="12">
        <f t="shared" si="244"/>
        <v>0</v>
      </c>
      <c r="EP99" s="12">
        <f t="shared" si="244"/>
        <v>0</v>
      </c>
      <c r="EQ99" s="12">
        <f t="shared" si="244"/>
        <v>0</v>
      </c>
      <c r="ER99" s="12">
        <f t="shared" si="244"/>
        <v>0</v>
      </c>
      <c r="ES99" s="12">
        <f t="shared" si="244"/>
        <v>0</v>
      </c>
      <c r="ET99" s="12">
        <f t="shared" si="244"/>
        <v>0</v>
      </c>
      <c r="EU99" s="12">
        <f t="shared" si="244"/>
        <v>0</v>
      </c>
      <c r="EV99" s="12">
        <f t="shared" si="244"/>
        <v>0</v>
      </c>
      <c r="EW99" s="12">
        <f t="shared" si="244"/>
        <v>0</v>
      </c>
      <c r="EX99" s="12">
        <f t="shared" si="244"/>
        <v>0</v>
      </c>
      <c r="EY99" s="12">
        <f t="shared" si="244"/>
        <v>0</v>
      </c>
      <c r="EZ99" s="12">
        <f t="shared" si="244"/>
        <v>0</v>
      </c>
      <c r="FA99" s="12">
        <f t="shared" si="244"/>
        <v>0</v>
      </c>
      <c r="FB99" s="12">
        <f t="shared" si="244"/>
        <v>0</v>
      </c>
      <c r="FC99" s="12">
        <f t="shared" si="244"/>
        <v>0</v>
      </c>
      <c r="FD99" s="12">
        <f t="shared" si="244"/>
        <v>0</v>
      </c>
      <c r="FE99" s="12">
        <f t="shared" si="244"/>
        <v>0</v>
      </c>
      <c r="FF99" s="12">
        <f t="shared" si="244"/>
        <v>0</v>
      </c>
      <c r="FG99" s="12">
        <f t="shared" si="244"/>
        <v>0</v>
      </c>
      <c r="FH99" s="12">
        <f t="shared" si="244"/>
        <v>0</v>
      </c>
      <c r="FI99" s="12">
        <f t="shared" si="244"/>
        <v>0</v>
      </c>
      <c r="FJ99" s="12">
        <f t="shared" si="244"/>
        <v>0</v>
      </c>
      <c r="FK99" s="12">
        <f t="shared" si="244"/>
        <v>0</v>
      </c>
      <c r="FL99" s="12">
        <f t="shared" si="244"/>
        <v>0</v>
      </c>
      <c r="FM99" s="12">
        <f t="shared" si="244"/>
        <v>0</v>
      </c>
      <c r="FN99" s="12">
        <f t="shared" si="244"/>
        <v>0</v>
      </c>
      <c r="FO99" s="12">
        <f t="shared" si="244"/>
        <v>0</v>
      </c>
      <c r="FP99" s="12">
        <f t="shared" si="244"/>
        <v>0</v>
      </c>
      <c r="FQ99" s="12">
        <f t="shared" si="244"/>
        <v>0</v>
      </c>
      <c r="FR99" s="12">
        <f t="shared" si="244"/>
        <v>0</v>
      </c>
      <c r="FS99" s="12">
        <f t="shared" si="244"/>
        <v>0</v>
      </c>
      <c r="FT99" s="12">
        <f t="shared" si="244"/>
        <v>0</v>
      </c>
      <c r="FU99" s="12">
        <f t="shared" si="244"/>
        <v>0</v>
      </c>
      <c r="FV99" s="12">
        <f t="shared" si="244"/>
        <v>0</v>
      </c>
      <c r="FW99" s="12">
        <f t="shared" si="244"/>
        <v>0</v>
      </c>
      <c r="FX99" s="12">
        <f t="shared" si="244"/>
        <v>0</v>
      </c>
      <c r="FY99" s="12">
        <f t="shared" si="244"/>
        <v>0</v>
      </c>
      <c r="FZ99" s="12">
        <f t="shared" si="244"/>
        <v>0</v>
      </c>
      <c r="GA99" s="12">
        <f t="shared" si="244"/>
        <v>0</v>
      </c>
      <c r="GB99" s="12">
        <f t="shared" si="244"/>
        <v>0</v>
      </c>
      <c r="GC99" s="12">
        <f t="shared" si="244"/>
        <v>0</v>
      </c>
      <c r="GD99" s="12">
        <f t="shared" si="244"/>
        <v>0</v>
      </c>
      <c r="GE99" s="12">
        <f t="shared" si="244"/>
        <v>0</v>
      </c>
      <c r="GF99" s="12">
        <f t="shared" si="244"/>
        <v>0</v>
      </c>
      <c r="GG99" s="12">
        <f t="shared" si="244"/>
        <v>0</v>
      </c>
      <c r="GH99" s="12">
        <f t="shared" si="244"/>
        <v>0</v>
      </c>
      <c r="GI99" s="12">
        <f t="shared" si="244"/>
        <v>0</v>
      </c>
      <c r="GJ99" s="12">
        <f t="shared" si="244"/>
        <v>0</v>
      </c>
      <c r="GK99" s="12">
        <f t="shared" si="244"/>
        <v>0</v>
      </c>
      <c r="GL99" s="12">
        <f t="shared" si="244"/>
        <v>0</v>
      </c>
      <c r="GM99" s="12">
        <f t="shared" si="244"/>
        <v>0</v>
      </c>
      <c r="GN99" s="12">
        <f t="shared" si="244"/>
        <v>0</v>
      </c>
      <c r="GO99" s="12">
        <f t="shared" si="244"/>
        <v>0</v>
      </c>
      <c r="GP99" s="12">
        <f t="shared" si="244"/>
        <v>0</v>
      </c>
      <c r="GQ99" s="12">
        <f t="shared" ref="GQ99:JB99" si="245">COUNTIF(GQ101:GQ120,"1")</f>
        <v>0</v>
      </c>
      <c r="GR99" s="12">
        <f t="shared" si="245"/>
        <v>0</v>
      </c>
      <c r="GS99" s="12">
        <f t="shared" si="245"/>
        <v>0</v>
      </c>
      <c r="GT99" s="12">
        <f t="shared" si="245"/>
        <v>0</v>
      </c>
      <c r="GU99" s="12">
        <f t="shared" si="245"/>
        <v>0</v>
      </c>
      <c r="GV99" s="12">
        <f t="shared" si="245"/>
        <v>0</v>
      </c>
      <c r="GW99" s="12">
        <f t="shared" si="245"/>
        <v>0</v>
      </c>
      <c r="GX99" s="12">
        <f t="shared" si="245"/>
        <v>0</v>
      </c>
      <c r="GY99" s="12">
        <f t="shared" si="245"/>
        <v>0</v>
      </c>
      <c r="GZ99" s="12">
        <f t="shared" si="245"/>
        <v>0</v>
      </c>
      <c r="HA99" s="12">
        <f t="shared" si="245"/>
        <v>0</v>
      </c>
      <c r="HB99" s="12">
        <f t="shared" si="245"/>
        <v>0</v>
      </c>
      <c r="HC99" s="12">
        <f t="shared" si="245"/>
        <v>0</v>
      </c>
      <c r="HD99" s="12">
        <f t="shared" si="245"/>
        <v>0</v>
      </c>
      <c r="HE99" s="12">
        <f t="shared" si="245"/>
        <v>0</v>
      </c>
      <c r="HF99" s="12">
        <f t="shared" si="245"/>
        <v>0</v>
      </c>
      <c r="HG99" s="12">
        <f t="shared" si="245"/>
        <v>0</v>
      </c>
      <c r="HH99" s="12">
        <f t="shared" si="245"/>
        <v>0</v>
      </c>
      <c r="HI99" s="12">
        <f t="shared" si="245"/>
        <v>0</v>
      </c>
      <c r="HJ99" s="12">
        <f t="shared" si="245"/>
        <v>0</v>
      </c>
      <c r="HK99" s="12">
        <f t="shared" si="245"/>
        <v>0</v>
      </c>
      <c r="HL99" s="12">
        <f t="shared" si="245"/>
        <v>0</v>
      </c>
      <c r="HM99" s="12">
        <f t="shared" si="245"/>
        <v>0</v>
      </c>
      <c r="HN99" s="12">
        <f t="shared" si="245"/>
        <v>0</v>
      </c>
      <c r="HO99" s="12">
        <f t="shared" si="245"/>
        <v>0</v>
      </c>
      <c r="HP99" s="12">
        <f t="shared" si="245"/>
        <v>0</v>
      </c>
      <c r="HQ99" s="12">
        <f t="shared" si="245"/>
        <v>0</v>
      </c>
      <c r="HR99" s="12">
        <f t="shared" si="245"/>
        <v>0</v>
      </c>
      <c r="HS99" s="12">
        <f t="shared" si="245"/>
        <v>0</v>
      </c>
      <c r="HT99" s="12">
        <f t="shared" si="245"/>
        <v>0</v>
      </c>
      <c r="HU99" s="12">
        <f t="shared" si="245"/>
        <v>0</v>
      </c>
      <c r="HV99" s="12">
        <f t="shared" si="245"/>
        <v>0</v>
      </c>
      <c r="HW99" s="12">
        <f t="shared" si="245"/>
        <v>0</v>
      </c>
      <c r="HX99" s="12">
        <f t="shared" si="245"/>
        <v>0</v>
      </c>
      <c r="HY99" s="12">
        <f t="shared" si="245"/>
        <v>0</v>
      </c>
      <c r="HZ99" s="12">
        <f t="shared" si="245"/>
        <v>0</v>
      </c>
      <c r="IA99" s="12">
        <f t="shared" si="245"/>
        <v>0</v>
      </c>
      <c r="IB99" s="12">
        <f t="shared" si="245"/>
        <v>0</v>
      </c>
      <c r="IC99" s="12">
        <f t="shared" si="245"/>
        <v>0</v>
      </c>
      <c r="ID99" s="12">
        <f t="shared" si="245"/>
        <v>0</v>
      </c>
      <c r="IE99" s="12">
        <f t="shared" si="245"/>
        <v>0</v>
      </c>
      <c r="IF99" s="12">
        <f t="shared" si="245"/>
        <v>0</v>
      </c>
      <c r="IG99" s="12">
        <f t="shared" si="245"/>
        <v>0</v>
      </c>
      <c r="IH99" s="12">
        <f t="shared" si="245"/>
        <v>0</v>
      </c>
      <c r="II99" s="12">
        <f t="shared" si="245"/>
        <v>0</v>
      </c>
      <c r="IJ99" s="12">
        <f t="shared" si="245"/>
        <v>0</v>
      </c>
      <c r="IK99" s="12">
        <f t="shared" si="245"/>
        <v>0</v>
      </c>
      <c r="IL99" s="12">
        <f t="shared" si="245"/>
        <v>0</v>
      </c>
      <c r="IM99" s="12">
        <f t="shared" si="245"/>
        <v>0</v>
      </c>
      <c r="IN99" s="12">
        <f t="shared" si="245"/>
        <v>0</v>
      </c>
      <c r="IO99" s="12">
        <f t="shared" si="245"/>
        <v>0</v>
      </c>
      <c r="IP99" s="12">
        <f t="shared" si="245"/>
        <v>0</v>
      </c>
      <c r="IQ99" s="12">
        <f t="shared" si="245"/>
        <v>0</v>
      </c>
      <c r="IR99" s="12">
        <f t="shared" si="245"/>
        <v>0</v>
      </c>
      <c r="IS99" s="12">
        <f t="shared" si="245"/>
        <v>0</v>
      </c>
      <c r="IT99" s="12">
        <f t="shared" si="245"/>
        <v>0</v>
      </c>
      <c r="IU99" s="12">
        <f t="shared" si="245"/>
        <v>0</v>
      </c>
      <c r="IV99" s="12">
        <f t="shared" si="245"/>
        <v>0</v>
      </c>
      <c r="IW99" s="12">
        <f t="shared" si="245"/>
        <v>0</v>
      </c>
      <c r="IX99" s="12">
        <f t="shared" si="245"/>
        <v>0</v>
      </c>
      <c r="IY99" s="12">
        <f t="shared" si="245"/>
        <v>0</v>
      </c>
      <c r="IZ99" s="12">
        <f t="shared" si="245"/>
        <v>0</v>
      </c>
      <c r="JA99" s="12">
        <f t="shared" si="245"/>
        <v>0</v>
      </c>
      <c r="JB99" s="12">
        <f t="shared" si="245"/>
        <v>0</v>
      </c>
      <c r="JC99" s="12">
        <f t="shared" ref="JC99:LN99" si="246">COUNTIF(JC101:JC120,"1")</f>
        <v>0</v>
      </c>
      <c r="JD99" s="12">
        <f t="shared" si="246"/>
        <v>0</v>
      </c>
      <c r="JE99" s="12">
        <f t="shared" si="246"/>
        <v>0</v>
      </c>
      <c r="JF99" s="12">
        <f t="shared" si="246"/>
        <v>0</v>
      </c>
      <c r="JG99" s="12">
        <f t="shared" si="246"/>
        <v>0</v>
      </c>
      <c r="JH99" s="12">
        <f t="shared" si="246"/>
        <v>0</v>
      </c>
      <c r="JI99" s="12">
        <f t="shared" si="246"/>
        <v>0</v>
      </c>
      <c r="JJ99" s="12">
        <f t="shared" si="246"/>
        <v>0</v>
      </c>
      <c r="JK99" s="12">
        <f t="shared" si="246"/>
        <v>0</v>
      </c>
      <c r="JL99" s="12">
        <f t="shared" si="246"/>
        <v>0</v>
      </c>
      <c r="JM99" s="12">
        <f t="shared" si="246"/>
        <v>0</v>
      </c>
      <c r="JN99" s="12">
        <f t="shared" si="246"/>
        <v>0</v>
      </c>
      <c r="JO99" s="12">
        <f t="shared" si="246"/>
        <v>0</v>
      </c>
      <c r="JP99" s="12">
        <f t="shared" si="246"/>
        <v>0</v>
      </c>
      <c r="JQ99" s="12">
        <f t="shared" si="246"/>
        <v>0</v>
      </c>
      <c r="JR99" s="12">
        <f t="shared" si="246"/>
        <v>0</v>
      </c>
      <c r="JS99" s="12">
        <f t="shared" si="246"/>
        <v>0</v>
      </c>
      <c r="JT99" s="12">
        <f t="shared" si="246"/>
        <v>0</v>
      </c>
      <c r="JU99" s="12">
        <f t="shared" si="246"/>
        <v>0</v>
      </c>
      <c r="JV99" s="12">
        <f t="shared" si="246"/>
        <v>0</v>
      </c>
      <c r="JW99" s="12">
        <f t="shared" si="246"/>
        <v>0</v>
      </c>
      <c r="JX99" s="12">
        <f t="shared" si="246"/>
        <v>0</v>
      </c>
      <c r="JY99" s="12">
        <f t="shared" si="246"/>
        <v>0</v>
      </c>
      <c r="JZ99" s="12">
        <f t="shared" si="246"/>
        <v>0</v>
      </c>
      <c r="KA99" s="12">
        <f t="shared" si="246"/>
        <v>0</v>
      </c>
      <c r="KB99" s="12">
        <f t="shared" si="246"/>
        <v>0</v>
      </c>
      <c r="KC99" s="12">
        <f t="shared" si="246"/>
        <v>0</v>
      </c>
      <c r="KD99" s="12">
        <f t="shared" si="246"/>
        <v>0</v>
      </c>
      <c r="KE99" s="12">
        <f t="shared" si="246"/>
        <v>0</v>
      </c>
      <c r="KF99" s="12">
        <f t="shared" si="246"/>
        <v>0</v>
      </c>
      <c r="KG99" s="12">
        <f t="shared" si="246"/>
        <v>0</v>
      </c>
      <c r="KH99" s="12">
        <f t="shared" si="246"/>
        <v>0</v>
      </c>
      <c r="KI99" s="12">
        <f t="shared" si="246"/>
        <v>0</v>
      </c>
      <c r="KJ99" s="12">
        <f t="shared" si="246"/>
        <v>0</v>
      </c>
      <c r="KK99" s="12">
        <f t="shared" si="246"/>
        <v>0</v>
      </c>
      <c r="KL99" s="12">
        <f t="shared" si="246"/>
        <v>0</v>
      </c>
      <c r="KM99" s="12">
        <f t="shared" si="246"/>
        <v>0</v>
      </c>
      <c r="KN99" s="12">
        <f t="shared" si="246"/>
        <v>0</v>
      </c>
      <c r="KO99" s="12">
        <f t="shared" si="246"/>
        <v>0</v>
      </c>
      <c r="KP99" s="12">
        <f t="shared" si="246"/>
        <v>0</v>
      </c>
      <c r="KQ99" s="12">
        <f t="shared" si="246"/>
        <v>0</v>
      </c>
      <c r="KR99" s="12">
        <f t="shared" si="246"/>
        <v>0</v>
      </c>
      <c r="KS99" s="12">
        <f t="shared" si="246"/>
        <v>0</v>
      </c>
      <c r="KT99" s="12">
        <f t="shared" si="246"/>
        <v>0</v>
      </c>
      <c r="KU99" s="12">
        <f t="shared" si="246"/>
        <v>0</v>
      </c>
      <c r="KV99" s="12">
        <f t="shared" si="246"/>
        <v>0</v>
      </c>
      <c r="KW99" s="12">
        <f t="shared" si="246"/>
        <v>0</v>
      </c>
      <c r="KX99" s="12">
        <f t="shared" si="246"/>
        <v>0</v>
      </c>
      <c r="KY99" s="12">
        <f t="shared" si="246"/>
        <v>0</v>
      </c>
      <c r="KZ99" s="12">
        <f t="shared" si="246"/>
        <v>0</v>
      </c>
      <c r="LA99" s="12">
        <f t="shared" si="246"/>
        <v>0</v>
      </c>
      <c r="LB99" s="12">
        <f t="shared" si="246"/>
        <v>0</v>
      </c>
      <c r="LC99" s="12">
        <f t="shared" si="246"/>
        <v>0</v>
      </c>
      <c r="LD99" s="12">
        <f t="shared" si="246"/>
        <v>0</v>
      </c>
      <c r="LE99" s="12">
        <f t="shared" si="246"/>
        <v>0</v>
      </c>
      <c r="LF99" s="12">
        <f t="shared" si="246"/>
        <v>0</v>
      </c>
      <c r="LG99" s="12">
        <f t="shared" si="246"/>
        <v>0</v>
      </c>
      <c r="LH99" s="12">
        <f t="shared" si="246"/>
        <v>0</v>
      </c>
      <c r="LI99" s="12">
        <f t="shared" si="246"/>
        <v>0</v>
      </c>
      <c r="LJ99" s="12">
        <f t="shared" si="246"/>
        <v>0</v>
      </c>
      <c r="LK99" s="12">
        <f t="shared" si="246"/>
        <v>0</v>
      </c>
      <c r="LL99" s="12">
        <f t="shared" si="246"/>
        <v>0</v>
      </c>
      <c r="LM99" s="12">
        <f t="shared" si="246"/>
        <v>0</v>
      </c>
      <c r="LN99" s="12">
        <f t="shared" si="246"/>
        <v>0</v>
      </c>
      <c r="LO99" s="12">
        <f t="shared" ref="LO99:NS99" si="247">COUNTIF(LO101:LO120,"1")</f>
        <v>0</v>
      </c>
      <c r="LP99" s="12">
        <f t="shared" si="247"/>
        <v>0</v>
      </c>
      <c r="LQ99" s="12">
        <f t="shared" si="247"/>
        <v>0</v>
      </c>
      <c r="LR99" s="12">
        <f t="shared" si="247"/>
        <v>0</v>
      </c>
      <c r="LS99" s="12">
        <f t="shared" si="247"/>
        <v>0</v>
      </c>
      <c r="LT99" s="12">
        <f t="shared" si="247"/>
        <v>0</v>
      </c>
      <c r="LU99" s="12">
        <f t="shared" si="247"/>
        <v>0</v>
      </c>
      <c r="LV99" s="12">
        <f t="shared" si="247"/>
        <v>0</v>
      </c>
      <c r="LW99" s="12">
        <f t="shared" si="247"/>
        <v>0</v>
      </c>
      <c r="LX99" s="12">
        <f t="shared" si="247"/>
        <v>0</v>
      </c>
      <c r="LY99" s="12">
        <f t="shared" si="247"/>
        <v>0</v>
      </c>
      <c r="LZ99" s="12">
        <f t="shared" si="247"/>
        <v>0</v>
      </c>
      <c r="MA99" s="12">
        <f t="shared" si="247"/>
        <v>0</v>
      </c>
      <c r="MB99" s="12">
        <f t="shared" si="247"/>
        <v>0</v>
      </c>
      <c r="MC99" s="12">
        <f t="shared" si="247"/>
        <v>0</v>
      </c>
      <c r="MD99" s="12">
        <f t="shared" si="247"/>
        <v>0</v>
      </c>
      <c r="ME99" s="12">
        <f t="shared" si="247"/>
        <v>0</v>
      </c>
      <c r="MF99" s="12">
        <f t="shared" si="247"/>
        <v>0</v>
      </c>
      <c r="MG99" s="12">
        <f t="shared" si="247"/>
        <v>0</v>
      </c>
      <c r="MH99" s="12">
        <f t="shared" si="247"/>
        <v>0</v>
      </c>
      <c r="MI99" s="12">
        <f t="shared" si="247"/>
        <v>0</v>
      </c>
      <c r="MJ99" s="12">
        <f t="shared" si="247"/>
        <v>0</v>
      </c>
      <c r="MK99" s="12">
        <f t="shared" si="247"/>
        <v>0</v>
      </c>
      <c r="ML99" s="12">
        <f t="shared" si="247"/>
        <v>0</v>
      </c>
      <c r="MM99" s="12">
        <f t="shared" si="247"/>
        <v>0</v>
      </c>
      <c r="MN99" s="12">
        <f t="shared" si="247"/>
        <v>0</v>
      </c>
      <c r="MO99" s="12">
        <f t="shared" si="247"/>
        <v>0</v>
      </c>
      <c r="MP99" s="12">
        <f t="shared" si="247"/>
        <v>0</v>
      </c>
      <c r="MQ99" s="12">
        <f t="shared" si="247"/>
        <v>0</v>
      </c>
      <c r="MR99" s="12">
        <f t="shared" si="247"/>
        <v>0</v>
      </c>
      <c r="MS99" s="12">
        <f t="shared" si="247"/>
        <v>0</v>
      </c>
      <c r="MT99" s="12">
        <f t="shared" si="247"/>
        <v>0</v>
      </c>
      <c r="MU99" s="12">
        <f t="shared" si="247"/>
        <v>0</v>
      </c>
      <c r="MV99" s="12">
        <f t="shared" si="247"/>
        <v>0</v>
      </c>
      <c r="MW99" s="12">
        <f t="shared" si="247"/>
        <v>0</v>
      </c>
      <c r="MX99" s="12">
        <f t="shared" si="247"/>
        <v>0</v>
      </c>
      <c r="MY99" s="12">
        <f t="shared" si="247"/>
        <v>0</v>
      </c>
      <c r="MZ99" s="12">
        <f t="shared" si="247"/>
        <v>0</v>
      </c>
      <c r="NA99" s="12">
        <f t="shared" si="247"/>
        <v>0</v>
      </c>
      <c r="NB99" s="12">
        <f t="shared" si="247"/>
        <v>0</v>
      </c>
      <c r="NC99" s="12">
        <f t="shared" si="247"/>
        <v>0</v>
      </c>
      <c r="ND99" s="12">
        <f t="shared" si="247"/>
        <v>0</v>
      </c>
      <c r="NE99" s="12">
        <f t="shared" si="247"/>
        <v>0</v>
      </c>
      <c r="NF99" s="12">
        <f t="shared" si="247"/>
        <v>0</v>
      </c>
      <c r="NG99" s="12">
        <f t="shared" si="247"/>
        <v>0</v>
      </c>
      <c r="NH99" s="12">
        <f t="shared" si="247"/>
        <v>0</v>
      </c>
      <c r="NI99" s="12">
        <f t="shared" si="247"/>
        <v>0</v>
      </c>
      <c r="NJ99" s="12">
        <f t="shared" si="247"/>
        <v>0</v>
      </c>
      <c r="NK99" s="12">
        <f t="shared" si="247"/>
        <v>0</v>
      </c>
      <c r="NL99" s="12">
        <f t="shared" si="247"/>
        <v>0</v>
      </c>
      <c r="NM99" s="12">
        <f t="shared" si="247"/>
        <v>0</v>
      </c>
      <c r="NN99" s="12">
        <f t="shared" si="247"/>
        <v>0</v>
      </c>
      <c r="NO99" s="12">
        <f t="shared" si="247"/>
        <v>0</v>
      </c>
      <c r="NP99" s="12">
        <f t="shared" si="247"/>
        <v>0</v>
      </c>
      <c r="NQ99" s="12">
        <f t="shared" si="247"/>
        <v>0</v>
      </c>
      <c r="NR99" s="12">
        <f t="shared" si="247"/>
        <v>0</v>
      </c>
      <c r="NS99" s="12">
        <f t="shared" si="247"/>
        <v>0</v>
      </c>
      <c r="NT99" s="16">
        <f>SUM(F99:NS99)</f>
        <v>3</v>
      </c>
      <c r="NU99" s="92">
        <f>NT100/NT99</f>
        <v>1</v>
      </c>
      <c r="NV99" s="22">
        <f>SUMIF(NV101:NV120,1,NW101:NW120)</f>
        <v>2</v>
      </c>
      <c r="NW99" s="22">
        <f>SUMIF(NV101:NV120,1,NW101:NW120)</f>
        <v>2</v>
      </c>
      <c r="NX99" s="16">
        <f>SUM(F99:AU99)</f>
        <v>3</v>
      </c>
      <c r="NY99" s="92">
        <f t="shared" si="241"/>
        <v>1</v>
      </c>
      <c r="NZ99" s="22">
        <f>SUMIF(NZ101:NZ120,1,OA101:OA120)</f>
        <v>0</v>
      </c>
      <c r="OA99" s="22">
        <f>SUMIF(NZ101:NZ120,1,OA101:OA120)</f>
        <v>0</v>
      </c>
      <c r="OB99" s="16">
        <f>SUM(AV99:CK99)</f>
        <v>0</v>
      </c>
      <c r="OC99" s="92" t="e">
        <f>OB100/OB99</f>
        <v>#DIV/0!</v>
      </c>
      <c r="OD99" s="22">
        <f>SUMIF(OD101:OD120,1,OE101:OE120)</f>
        <v>0</v>
      </c>
      <c r="OE99" s="22">
        <f>SUMIF(OD101:OD120,1,OE101:OE120)</f>
        <v>0</v>
      </c>
      <c r="OF99" s="16">
        <f>SUM(CL99:EA99)</f>
        <v>0</v>
      </c>
      <c r="OG99" s="84" t="e">
        <f>OF100/OF99</f>
        <v>#DIV/0!</v>
      </c>
      <c r="OH99" s="22">
        <f>SUMIF(OH101:OH120,1,OI101:OI120)</f>
        <v>0</v>
      </c>
      <c r="OI99" s="22">
        <f>SUMIF(OH101:OH120,1,OI101:OI120)</f>
        <v>0</v>
      </c>
      <c r="OJ99" s="16">
        <f>SUM(EB99:FQ99)</f>
        <v>0</v>
      </c>
      <c r="OK99" s="84" t="e">
        <f>OJ100/OJ99</f>
        <v>#DIV/0!</v>
      </c>
      <c r="OL99" s="22">
        <f>SUMIF(OL101:OL120,1,OM101:OM120)</f>
        <v>0</v>
      </c>
      <c r="OM99" s="22">
        <f>SUMIF(OL101:OL120,1,OM101:OM120)</f>
        <v>0</v>
      </c>
      <c r="ON99" s="16">
        <f>SUM(FR99:HG99)</f>
        <v>0</v>
      </c>
      <c r="OO99" s="84" t="e">
        <f>ON100/ON99</f>
        <v>#DIV/0!</v>
      </c>
      <c r="OP99" s="22">
        <f>SUMIF(OP101:OP120,1,OQ101:OQ120)</f>
        <v>0</v>
      </c>
      <c r="OQ99" s="84" t="e">
        <f>OP100/OP99</f>
        <v>#DIV/0!</v>
      </c>
      <c r="OR99" s="16">
        <f>SUM(HH99:IW99)</f>
        <v>0</v>
      </c>
      <c r="OS99" s="84" t="e">
        <f>OR100/OR99</f>
        <v>#DIV/0!</v>
      </c>
      <c r="OT99" s="22">
        <f>SUMIF(OT101:OT120,1,OU101:OU120)</f>
        <v>0</v>
      </c>
      <c r="OU99" s="22">
        <f>SUMIF(OT101:OT120,1,OU101:OU120)</f>
        <v>0</v>
      </c>
      <c r="OV99" s="16">
        <f>SUM(IX99:KM99)</f>
        <v>0</v>
      </c>
      <c r="OW99" s="84" t="e">
        <f>OV100/OV99</f>
        <v>#DIV/0!</v>
      </c>
      <c r="OX99" s="22">
        <f>SUMIF(OX101:OX120,1,OY101:OY120)</f>
        <v>0</v>
      </c>
      <c r="OY99" s="22">
        <f>SUMIF(OX101:OX120,1,OY101:OY120)</f>
        <v>0</v>
      </c>
      <c r="OZ99" s="16">
        <f>SUM(KN99:MC99)</f>
        <v>0</v>
      </c>
      <c r="PA99" s="84" t="e">
        <f>OZ100/OZ99</f>
        <v>#DIV/0!</v>
      </c>
      <c r="PB99" s="22">
        <f>SUMIF(PB101:PB120,1,PC101:PC120)</f>
        <v>0</v>
      </c>
      <c r="PC99" s="22">
        <f>SUMIF(PB101:PB120,1,PC101:PC120)</f>
        <v>0</v>
      </c>
      <c r="PD99" s="16">
        <f>SUM(MD99:NS99)</f>
        <v>0</v>
      </c>
      <c r="PE99" s="84" t="e">
        <f>PD100/PD99</f>
        <v>#DIV/0!</v>
      </c>
    </row>
    <row r="100" spans="1:421" ht="15.75" customHeight="1" thickBot="1" x14ac:dyDescent="0.3">
      <c r="A100" s="18"/>
      <c r="B100" s="18"/>
      <c r="C100" s="95"/>
      <c r="D100" s="58"/>
      <c r="E100" s="52" t="s">
        <v>9</v>
      </c>
      <c r="F100" s="13">
        <f>COUNTIF(F102:F120,"X")</f>
        <v>0</v>
      </c>
      <c r="G100" s="13">
        <f t="shared" ref="G100:BR100" si="248">COUNTIF(G102:G120,"X")</f>
        <v>0</v>
      </c>
      <c r="H100" s="13">
        <f t="shared" si="248"/>
        <v>0</v>
      </c>
      <c r="I100" s="13">
        <f t="shared" si="248"/>
        <v>0</v>
      </c>
      <c r="J100" s="13">
        <f t="shared" si="248"/>
        <v>0</v>
      </c>
      <c r="K100" s="13">
        <f t="shared" si="248"/>
        <v>0</v>
      </c>
      <c r="L100" s="13">
        <f t="shared" si="248"/>
        <v>0</v>
      </c>
      <c r="M100" s="13">
        <f t="shared" si="248"/>
        <v>0</v>
      </c>
      <c r="N100" s="13">
        <f t="shared" si="248"/>
        <v>0</v>
      </c>
      <c r="O100" s="13">
        <f t="shared" si="248"/>
        <v>0</v>
      </c>
      <c r="P100" s="70">
        <f t="shared" si="248"/>
        <v>0</v>
      </c>
      <c r="Q100" s="13">
        <f t="shared" si="248"/>
        <v>0</v>
      </c>
      <c r="R100" s="13">
        <f t="shared" si="248"/>
        <v>0</v>
      </c>
      <c r="S100" s="13">
        <f t="shared" si="248"/>
        <v>0</v>
      </c>
      <c r="T100" s="13">
        <f t="shared" si="248"/>
        <v>0</v>
      </c>
      <c r="U100" s="13">
        <f t="shared" si="248"/>
        <v>0</v>
      </c>
      <c r="V100" s="13">
        <f t="shared" si="248"/>
        <v>0</v>
      </c>
      <c r="W100" s="70">
        <f t="shared" si="248"/>
        <v>0</v>
      </c>
      <c r="X100" s="13">
        <f t="shared" si="248"/>
        <v>0</v>
      </c>
      <c r="Y100" s="13">
        <f t="shared" si="248"/>
        <v>0</v>
      </c>
      <c r="Z100" s="13">
        <f t="shared" si="248"/>
        <v>0</v>
      </c>
      <c r="AA100" s="13">
        <f t="shared" si="248"/>
        <v>0</v>
      </c>
      <c r="AB100" s="13">
        <f t="shared" si="248"/>
        <v>0</v>
      </c>
      <c r="AC100" s="13">
        <f t="shared" si="248"/>
        <v>0</v>
      </c>
      <c r="AD100" s="13">
        <f t="shared" si="248"/>
        <v>0</v>
      </c>
      <c r="AE100" s="13">
        <f t="shared" si="248"/>
        <v>0</v>
      </c>
      <c r="AF100" s="13">
        <f t="shared" si="248"/>
        <v>0</v>
      </c>
      <c r="AG100" s="13">
        <f t="shared" si="248"/>
        <v>1</v>
      </c>
      <c r="AH100" s="13">
        <f t="shared" si="248"/>
        <v>0</v>
      </c>
      <c r="AI100" s="13">
        <f t="shared" si="248"/>
        <v>0</v>
      </c>
      <c r="AJ100" s="13">
        <f t="shared" si="248"/>
        <v>0</v>
      </c>
      <c r="AK100" s="13">
        <f t="shared" si="248"/>
        <v>0</v>
      </c>
      <c r="AL100" s="13">
        <f t="shared" si="248"/>
        <v>0</v>
      </c>
      <c r="AM100" s="13">
        <f t="shared" si="248"/>
        <v>0</v>
      </c>
      <c r="AN100" s="13">
        <f t="shared" si="248"/>
        <v>1</v>
      </c>
      <c r="AO100" s="13">
        <f t="shared" si="248"/>
        <v>1</v>
      </c>
      <c r="AP100" s="13">
        <f t="shared" si="248"/>
        <v>0</v>
      </c>
      <c r="AQ100" s="13">
        <f t="shared" si="248"/>
        <v>0</v>
      </c>
      <c r="AR100" s="13">
        <f t="shared" si="248"/>
        <v>0</v>
      </c>
      <c r="AS100" s="13">
        <f t="shared" si="248"/>
        <v>0</v>
      </c>
      <c r="AT100" s="13">
        <f t="shared" si="248"/>
        <v>0</v>
      </c>
      <c r="AU100" s="13">
        <f t="shared" si="248"/>
        <v>0</v>
      </c>
      <c r="AV100" s="13">
        <f t="shared" si="248"/>
        <v>0</v>
      </c>
      <c r="AW100" s="13">
        <f t="shared" si="248"/>
        <v>0</v>
      </c>
      <c r="AX100" s="13">
        <f t="shared" si="248"/>
        <v>0</v>
      </c>
      <c r="AY100" s="13">
        <f t="shared" si="248"/>
        <v>0</v>
      </c>
      <c r="AZ100" s="13">
        <f t="shared" si="248"/>
        <v>0</v>
      </c>
      <c r="BA100" s="13">
        <f t="shared" si="248"/>
        <v>0</v>
      </c>
      <c r="BB100" s="13">
        <f t="shared" si="248"/>
        <v>0</v>
      </c>
      <c r="BC100" s="13">
        <f t="shared" si="248"/>
        <v>0</v>
      </c>
      <c r="BD100" s="13">
        <f t="shared" si="248"/>
        <v>0</v>
      </c>
      <c r="BE100" s="13">
        <f t="shared" si="248"/>
        <v>0</v>
      </c>
      <c r="BF100" s="13">
        <f t="shared" si="248"/>
        <v>0</v>
      </c>
      <c r="BG100" s="13">
        <f t="shared" si="248"/>
        <v>0</v>
      </c>
      <c r="BH100" s="13">
        <f t="shared" si="248"/>
        <v>0</v>
      </c>
      <c r="BI100" s="13">
        <f t="shared" si="248"/>
        <v>0</v>
      </c>
      <c r="BJ100" s="13">
        <f t="shared" si="248"/>
        <v>0</v>
      </c>
      <c r="BK100" s="13">
        <f t="shared" si="248"/>
        <v>0</v>
      </c>
      <c r="BL100" s="13">
        <f t="shared" si="248"/>
        <v>0</v>
      </c>
      <c r="BM100" s="13">
        <f t="shared" si="248"/>
        <v>0</v>
      </c>
      <c r="BN100" s="13">
        <f t="shared" si="248"/>
        <v>0</v>
      </c>
      <c r="BO100" s="13">
        <f t="shared" si="248"/>
        <v>0</v>
      </c>
      <c r="BP100" s="13">
        <f t="shared" si="248"/>
        <v>0</v>
      </c>
      <c r="BQ100" s="13">
        <f t="shared" si="248"/>
        <v>0</v>
      </c>
      <c r="BR100" s="13">
        <f t="shared" si="248"/>
        <v>0</v>
      </c>
      <c r="BS100" s="13">
        <f t="shared" ref="BS100:ED100" si="249">COUNTIF(BS102:BS120,"X")</f>
        <v>0</v>
      </c>
      <c r="BT100" s="13">
        <f t="shared" si="249"/>
        <v>0</v>
      </c>
      <c r="BU100" s="13">
        <f t="shared" si="249"/>
        <v>0</v>
      </c>
      <c r="BV100" s="13">
        <f t="shared" si="249"/>
        <v>0</v>
      </c>
      <c r="BW100" s="13">
        <f t="shared" si="249"/>
        <v>0</v>
      </c>
      <c r="BX100" s="13">
        <f t="shared" si="249"/>
        <v>0</v>
      </c>
      <c r="BY100" s="13">
        <f t="shared" si="249"/>
        <v>0</v>
      </c>
      <c r="BZ100" s="13">
        <f t="shared" si="249"/>
        <v>0</v>
      </c>
      <c r="CA100" s="13">
        <f t="shared" si="249"/>
        <v>0</v>
      </c>
      <c r="CB100" s="13">
        <f t="shared" si="249"/>
        <v>0</v>
      </c>
      <c r="CC100" s="13">
        <f t="shared" si="249"/>
        <v>0</v>
      </c>
      <c r="CD100" s="13">
        <f t="shared" si="249"/>
        <v>0</v>
      </c>
      <c r="CE100" s="13">
        <f t="shared" si="249"/>
        <v>0</v>
      </c>
      <c r="CF100" s="13">
        <f t="shared" si="249"/>
        <v>0</v>
      </c>
      <c r="CG100" s="13">
        <f t="shared" si="249"/>
        <v>0</v>
      </c>
      <c r="CH100" s="13">
        <f t="shared" si="249"/>
        <v>0</v>
      </c>
      <c r="CI100" s="13">
        <f t="shared" si="249"/>
        <v>0</v>
      </c>
      <c r="CJ100" s="13">
        <f t="shared" si="249"/>
        <v>0</v>
      </c>
      <c r="CK100" s="13">
        <f t="shared" si="249"/>
        <v>0</v>
      </c>
      <c r="CL100" s="13">
        <f t="shared" si="249"/>
        <v>0</v>
      </c>
      <c r="CM100" s="13">
        <f t="shared" si="249"/>
        <v>0</v>
      </c>
      <c r="CN100" s="13">
        <f t="shared" si="249"/>
        <v>0</v>
      </c>
      <c r="CO100" s="13">
        <f t="shared" si="249"/>
        <v>0</v>
      </c>
      <c r="CP100" s="13">
        <f t="shared" si="249"/>
        <v>0</v>
      </c>
      <c r="CQ100" s="13">
        <f t="shared" si="249"/>
        <v>0</v>
      </c>
      <c r="CR100" s="13">
        <f t="shared" si="249"/>
        <v>0</v>
      </c>
      <c r="CS100" s="13">
        <f t="shared" si="249"/>
        <v>0</v>
      </c>
      <c r="CT100" s="13">
        <f t="shared" si="249"/>
        <v>0</v>
      </c>
      <c r="CU100" s="13">
        <f t="shared" si="249"/>
        <v>0</v>
      </c>
      <c r="CV100" s="13">
        <f t="shared" si="249"/>
        <v>0</v>
      </c>
      <c r="CW100" s="13">
        <f t="shared" si="249"/>
        <v>0</v>
      </c>
      <c r="CX100" s="13">
        <f t="shared" si="249"/>
        <v>0</v>
      </c>
      <c r="CY100" s="13">
        <f t="shared" si="249"/>
        <v>0</v>
      </c>
      <c r="CZ100" s="13">
        <f t="shared" si="249"/>
        <v>0</v>
      </c>
      <c r="DA100" s="13">
        <f t="shared" si="249"/>
        <v>0</v>
      </c>
      <c r="DB100" s="13">
        <f t="shared" si="249"/>
        <v>0</v>
      </c>
      <c r="DC100" s="13">
        <f t="shared" si="249"/>
        <v>0</v>
      </c>
      <c r="DD100" s="13">
        <f t="shared" si="249"/>
        <v>0</v>
      </c>
      <c r="DE100" s="13">
        <f t="shared" si="249"/>
        <v>0</v>
      </c>
      <c r="DF100" s="13">
        <f t="shared" si="249"/>
        <v>0</v>
      </c>
      <c r="DG100" s="13">
        <f t="shared" si="249"/>
        <v>0</v>
      </c>
      <c r="DH100" s="13">
        <f t="shared" si="249"/>
        <v>0</v>
      </c>
      <c r="DI100" s="13">
        <f t="shared" si="249"/>
        <v>0</v>
      </c>
      <c r="DJ100" s="13">
        <f t="shared" si="249"/>
        <v>0</v>
      </c>
      <c r="DK100" s="13">
        <f t="shared" si="249"/>
        <v>0</v>
      </c>
      <c r="DL100" s="13">
        <f t="shared" si="249"/>
        <v>0</v>
      </c>
      <c r="DM100" s="13">
        <f t="shared" si="249"/>
        <v>0</v>
      </c>
      <c r="DN100" s="13">
        <f t="shared" si="249"/>
        <v>0</v>
      </c>
      <c r="DO100" s="13">
        <f t="shared" si="249"/>
        <v>0</v>
      </c>
      <c r="DP100" s="13">
        <f t="shared" si="249"/>
        <v>0</v>
      </c>
      <c r="DQ100" s="13">
        <f t="shared" si="249"/>
        <v>0</v>
      </c>
      <c r="DR100" s="13">
        <f t="shared" si="249"/>
        <v>0</v>
      </c>
      <c r="DS100" s="13">
        <f t="shared" si="249"/>
        <v>0</v>
      </c>
      <c r="DT100" s="13">
        <f t="shared" si="249"/>
        <v>0</v>
      </c>
      <c r="DU100" s="13">
        <f t="shared" si="249"/>
        <v>0</v>
      </c>
      <c r="DV100" s="13">
        <f t="shared" si="249"/>
        <v>0</v>
      </c>
      <c r="DW100" s="13">
        <f t="shared" si="249"/>
        <v>0</v>
      </c>
      <c r="DX100" s="13">
        <f t="shared" si="249"/>
        <v>0</v>
      </c>
      <c r="DY100" s="13">
        <f t="shared" si="249"/>
        <v>0</v>
      </c>
      <c r="DZ100" s="13">
        <f t="shared" si="249"/>
        <v>0</v>
      </c>
      <c r="EA100" s="13">
        <f t="shared" si="249"/>
        <v>0</v>
      </c>
      <c r="EB100" s="13">
        <f t="shared" si="249"/>
        <v>0</v>
      </c>
      <c r="EC100" s="13">
        <f t="shared" si="249"/>
        <v>0</v>
      </c>
      <c r="ED100" s="13">
        <f t="shared" si="249"/>
        <v>0</v>
      </c>
      <c r="EE100" s="13">
        <f t="shared" ref="EE100:GP100" si="250">COUNTIF(EE102:EE120,"X")</f>
        <v>0</v>
      </c>
      <c r="EF100" s="13">
        <f t="shared" si="250"/>
        <v>0</v>
      </c>
      <c r="EG100" s="13">
        <f t="shared" si="250"/>
        <v>0</v>
      </c>
      <c r="EH100" s="13">
        <f t="shared" si="250"/>
        <v>0</v>
      </c>
      <c r="EI100" s="13">
        <f t="shared" si="250"/>
        <v>0</v>
      </c>
      <c r="EJ100" s="13">
        <f t="shared" si="250"/>
        <v>0</v>
      </c>
      <c r="EK100" s="13">
        <f t="shared" si="250"/>
        <v>0</v>
      </c>
      <c r="EL100" s="13">
        <f t="shared" si="250"/>
        <v>0</v>
      </c>
      <c r="EM100" s="13">
        <f t="shared" si="250"/>
        <v>0</v>
      </c>
      <c r="EN100" s="13">
        <f t="shared" si="250"/>
        <v>0</v>
      </c>
      <c r="EO100" s="13">
        <f t="shared" si="250"/>
        <v>0</v>
      </c>
      <c r="EP100" s="13">
        <f t="shared" si="250"/>
        <v>0</v>
      </c>
      <c r="EQ100" s="13">
        <f t="shared" si="250"/>
        <v>0</v>
      </c>
      <c r="ER100" s="13">
        <f t="shared" si="250"/>
        <v>0</v>
      </c>
      <c r="ES100" s="13">
        <f t="shared" si="250"/>
        <v>0</v>
      </c>
      <c r="ET100" s="13">
        <f t="shared" si="250"/>
        <v>0</v>
      </c>
      <c r="EU100" s="13">
        <f t="shared" si="250"/>
        <v>0</v>
      </c>
      <c r="EV100" s="13">
        <f t="shared" si="250"/>
        <v>0</v>
      </c>
      <c r="EW100" s="13">
        <f t="shared" si="250"/>
        <v>0</v>
      </c>
      <c r="EX100" s="13">
        <f t="shared" si="250"/>
        <v>0</v>
      </c>
      <c r="EY100" s="13">
        <f t="shared" si="250"/>
        <v>0</v>
      </c>
      <c r="EZ100" s="13">
        <f t="shared" si="250"/>
        <v>0</v>
      </c>
      <c r="FA100" s="13">
        <f t="shared" si="250"/>
        <v>0</v>
      </c>
      <c r="FB100" s="13">
        <f t="shared" si="250"/>
        <v>0</v>
      </c>
      <c r="FC100" s="13">
        <f t="shared" si="250"/>
        <v>0</v>
      </c>
      <c r="FD100" s="13">
        <f t="shared" si="250"/>
        <v>0</v>
      </c>
      <c r="FE100" s="13">
        <f t="shared" si="250"/>
        <v>0</v>
      </c>
      <c r="FF100" s="13">
        <f t="shared" si="250"/>
        <v>0</v>
      </c>
      <c r="FG100" s="13">
        <f t="shared" si="250"/>
        <v>0</v>
      </c>
      <c r="FH100" s="13">
        <f t="shared" si="250"/>
        <v>0</v>
      </c>
      <c r="FI100" s="13">
        <f t="shared" si="250"/>
        <v>0</v>
      </c>
      <c r="FJ100" s="13">
        <f t="shared" si="250"/>
        <v>0</v>
      </c>
      <c r="FK100" s="13">
        <f t="shared" si="250"/>
        <v>0</v>
      </c>
      <c r="FL100" s="13">
        <f t="shared" si="250"/>
        <v>0</v>
      </c>
      <c r="FM100" s="13">
        <f t="shared" si="250"/>
        <v>0</v>
      </c>
      <c r="FN100" s="13">
        <f t="shared" si="250"/>
        <v>0</v>
      </c>
      <c r="FO100" s="13">
        <f t="shared" si="250"/>
        <v>0</v>
      </c>
      <c r="FP100" s="13">
        <f t="shared" si="250"/>
        <v>0</v>
      </c>
      <c r="FQ100" s="13">
        <f t="shared" si="250"/>
        <v>0</v>
      </c>
      <c r="FR100" s="13">
        <f t="shared" si="250"/>
        <v>0</v>
      </c>
      <c r="FS100" s="13">
        <f t="shared" si="250"/>
        <v>0</v>
      </c>
      <c r="FT100" s="13">
        <f t="shared" si="250"/>
        <v>0</v>
      </c>
      <c r="FU100" s="13">
        <f t="shared" si="250"/>
        <v>0</v>
      </c>
      <c r="FV100" s="13">
        <f t="shared" si="250"/>
        <v>0</v>
      </c>
      <c r="FW100" s="13">
        <f t="shared" si="250"/>
        <v>0</v>
      </c>
      <c r="FX100" s="13">
        <f t="shared" si="250"/>
        <v>0</v>
      </c>
      <c r="FY100" s="13">
        <f t="shared" si="250"/>
        <v>0</v>
      </c>
      <c r="FZ100" s="13">
        <f t="shared" si="250"/>
        <v>0</v>
      </c>
      <c r="GA100" s="13">
        <f t="shared" si="250"/>
        <v>0</v>
      </c>
      <c r="GB100" s="13">
        <f t="shared" si="250"/>
        <v>0</v>
      </c>
      <c r="GC100" s="13">
        <f t="shared" si="250"/>
        <v>0</v>
      </c>
      <c r="GD100" s="13">
        <f t="shared" si="250"/>
        <v>0</v>
      </c>
      <c r="GE100" s="13">
        <f t="shared" si="250"/>
        <v>0</v>
      </c>
      <c r="GF100" s="13">
        <f t="shared" si="250"/>
        <v>0</v>
      </c>
      <c r="GG100" s="13">
        <f t="shared" si="250"/>
        <v>0</v>
      </c>
      <c r="GH100" s="13">
        <f t="shared" si="250"/>
        <v>0</v>
      </c>
      <c r="GI100" s="13">
        <f t="shared" si="250"/>
        <v>0</v>
      </c>
      <c r="GJ100" s="13">
        <f t="shared" si="250"/>
        <v>0</v>
      </c>
      <c r="GK100" s="13">
        <f t="shared" si="250"/>
        <v>0</v>
      </c>
      <c r="GL100" s="13">
        <f t="shared" si="250"/>
        <v>0</v>
      </c>
      <c r="GM100" s="13">
        <f t="shared" si="250"/>
        <v>0</v>
      </c>
      <c r="GN100" s="13">
        <f t="shared" si="250"/>
        <v>0</v>
      </c>
      <c r="GO100" s="13">
        <f t="shared" si="250"/>
        <v>0</v>
      </c>
      <c r="GP100" s="13">
        <f t="shared" si="250"/>
        <v>0</v>
      </c>
      <c r="GQ100" s="13">
        <f t="shared" ref="GQ100:JB100" si="251">COUNTIF(GQ102:GQ120,"X")</f>
        <v>0</v>
      </c>
      <c r="GR100" s="13">
        <f t="shared" si="251"/>
        <v>0</v>
      </c>
      <c r="GS100" s="13">
        <f t="shared" si="251"/>
        <v>0</v>
      </c>
      <c r="GT100" s="13">
        <f t="shared" si="251"/>
        <v>0</v>
      </c>
      <c r="GU100" s="13">
        <f t="shared" si="251"/>
        <v>0</v>
      </c>
      <c r="GV100" s="13">
        <f t="shared" si="251"/>
        <v>0</v>
      </c>
      <c r="GW100" s="13">
        <f t="shared" si="251"/>
        <v>0</v>
      </c>
      <c r="GX100" s="13">
        <f t="shared" si="251"/>
        <v>0</v>
      </c>
      <c r="GY100" s="13">
        <f t="shared" si="251"/>
        <v>0</v>
      </c>
      <c r="GZ100" s="13">
        <f t="shared" si="251"/>
        <v>0</v>
      </c>
      <c r="HA100" s="13">
        <f t="shared" si="251"/>
        <v>0</v>
      </c>
      <c r="HB100" s="13">
        <f t="shared" si="251"/>
        <v>0</v>
      </c>
      <c r="HC100" s="13">
        <f t="shared" si="251"/>
        <v>0</v>
      </c>
      <c r="HD100" s="13">
        <f t="shared" si="251"/>
        <v>0</v>
      </c>
      <c r="HE100" s="13">
        <f t="shared" si="251"/>
        <v>0</v>
      </c>
      <c r="HF100" s="13">
        <f t="shared" si="251"/>
        <v>0</v>
      </c>
      <c r="HG100" s="13">
        <f t="shared" si="251"/>
        <v>0</v>
      </c>
      <c r="HH100" s="13">
        <f t="shared" si="251"/>
        <v>0</v>
      </c>
      <c r="HI100" s="13">
        <f t="shared" si="251"/>
        <v>0</v>
      </c>
      <c r="HJ100" s="13">
        <f t="shared" si="251"/>
        <v>0</v>
      </c>
      <c r="HK100" s="13">
        <f t="shared" si="251"/>
        <v>0</v>
      </c>
      <c r="HL100" s="13">
        <f t="shared" si="251"/>
        <v>0</v>
      </c>
      <c r="HM100" s="13">
        <f t="shared" si="251"/>
        <v>0</v>
      </c>
      <c r="HN100" s="13">
        <f t="shared" si="251"/>
        <v>0</v>
      </c>
      <c r="HO100" s="13">
        <f t="shared" si="251"/>
        <v>0</v>
      </c>
      <c r="HP100" s="13">
        <f t="shared" si="251"/>
        <v>0</v>
      </c>
      <c r="HQ100" s="13">
        <f t="shared" si="251"/>
        <v>0</v>
      </c>
      <c r="HR100" s="13">
        <f t="shared" si="251"/>
        <v>0</v>
      </c>
      <c r="HS100" s="13">
        <f t="shared" si="251"/>
        <v>0</v>
      </c>
      <c r="HT100" s="13">
        <f t="shared" si="251"/>
        <v>0</v>
      </c>
      <c r="HU100" s="13">
        <f t="shared" si="251"/>
        <v>0</v>
      </c>
      <c r="HV100" s="13">
        <f t="shared" si="251"/>
        <v>0</v>
      </c>
      <c r="HW100" s="13">
        <f t="shared" si="251"/>
        <v>0</v>
      </c>
      <c r="HX100" s="13">
        <f t="shared" si="251"/>
        <v>0</v>
      </c>
      <c r="HY100" s="13">
        <f t="shared" si="251"/>
        <v>0</v>
      </c>
      <c r="HZ100" s="13">
        <f t="shared" si="251"/>
        <v>0</v>
      </c>
      <c r="IA100" s="13">
        <f t="shared" si="251"/>
        <v>0</v>
      </c>
      <c r="IB100" s="13">
        <f t="shared" si="251"/>
        <v>0</v>
      </c>
      <c r="IC100" s="13">
        <f t="shared" si="251"/>
        <v>0</v>
      </c>
      <c r="ID100" s="13">
        <f t="shared" si="251"/>
        <v>0</v>
      </c>
      <c r="IE100" s="13">
        <f t="shared" si="251"/>
        <v>0</v>
      </c>
      <c r="IF100" s="13">
        <f t="shared" si="251"/>
        <v>0</v>
      </c>
      <c r="IG100" s="13">
        <f t="shared" si="251"/>
        <v>0</v>
      </c>
      <c r="IH100" s="13">
        <f t="shared" si="251"/>
        <v>0</v>
      </c>
      <c r="II100" s="13">
        <f t="shared" si="251"/>
        <v>0</v>
      </c>
      <c r="IJ100" s="13">
        <f t="shared" si="251"/>
        <v>0</v>
      </c>
      <c r="IK100" s="13">
        <f t="shared" si="251"/>
        <v>0</v>
      </c>
      <c r="IL100" s="13">
        <f t="shared" si="251"/>
        <v>0</v>
      </c>
      <c r="IM100" s="13">
        <f t="shared" si="251"/>
        <v>0</v>
      </c>
      <c r="IN100" s="13">
        <f t="shared" si="251"/>
        <v>0</v>
      </c>
      <c r="IO100" s="13">
        <f t="shared" si="251"/>
        <v>0</v>
      </c>
      <c r="IP100" s="13">
        <f t="shared" si="251"/>
        <v>0</v>
      </c>
      <c r="IQ100" s="13">
        <f t="shared" si="251"/>
        <v>0</v>
      </c>
      <c r="IR100" s="13">
        <f t="shared" si="251"/>
        <v>0</v>
      </c>
      <c r="IS100" s="13">
        <f t="shared" si="251"/>
        <v>0</v>
      </c>
      <c r="IT100" s="13">
        <f t="shared" si="251"/>
        <v>0</v>
      </c>
      <c r="IU100" s="13">
        <f t="shared" si="251"/>
        <v>0</v>
      </c>
      <c r="IV100" s="13">
        <f t="shared" si="251"/>
        <v>0</v>
      </c>
      <c r="IW100" s="13">
        <f t="shared" si="251"/>
        <v>0</v>
      </c>
      <c r="IX100" s="13">
        <f t="shared" si="251"/>
        <v>0</v>
      </c>
      <c r="IY100" s="13">
        <f t="shared" si="251"/>
        <v>0</v>
      </c>
      <c r="IZ100" s="13">
        <f t="shared" si="251"/>
        <v>0</v>
      </c>
      <c r="JA100" s="13">
        <f t="shared" si="251"/>
        <v>0</v>
      </c>
      <c r="JB100" s="13">
        <f t="shared" si="251"/>
        <v>0</v>
      </c>
      <c r="JC100" s="13">
        <f t="shared" ref="JC100:LN100" si="252">COUNTIF(JC102:JC120,"X")</f>
        <v>0</v>
      </c>
      <c r="JD100" s="13">
        <f t="shared" si="252"/>
        <v>0</v>
      </c>
      <c r="JE100" s="13">
        <f t="shared" si="252"/>
        <v>0</v>
      </c>
      <c r="JF100" s="13">
        <f t="shared" si="252"/>
        <v>0</v>
      </c>
      <c r="JG100" s="13">
        <f t="shared" si="252"/>
        <v>0</v>
      </c>
      <c r="JH100" s="13">
        <f t="shared" si="252"/>
        <v>0</v>
      </c>
      <c r="JI100" s="13">
        <f t="shared" si="252"/>
        <v>0</v>
      </c>
      <c r="JJ100" s="13">
        <f t="shared" si="252"/>
        <v>0</v>
      </c>
      <c r="JK100" s="13">
        <f t="shared" si="252"/>
        <v>0</v>
      </c>
      <c r="JL100" s="13">
        <f t="shared" si="252"/>
        <v>0</v>
      </c>
      <c r="JM100" s="13">
        <f t="shared" si="252"/>
        <v>0</v>
      </c>
      <c r="JN100" s="13">
        <f t="shared" si="252"/>
        <v>0</v>
      </c>
      <c r="JO100" s="13">
        <f t="shared" si="252"/>
        <v>0</v>
      </c>
      <c r="JP100" s="13">
        <f t="shared" si="252"/>
        <v>0</v>
      </c>
      <c r="JQ100" s="13">
        <f t="shared" si="252"/>
        <v>0</v>
      </c>
      <c r="JR100" s="13">
        <f t="shared" si="252"/>
        <v>0</v>
      </c>
      <c r="JS100" s="13">
        <f t="shared" si="252"/>
        <v>0</v>
      </c>
      <c r="JT100" s="13">
        <f t="shared" si="252"/>
        <v>0</v>
      </c>
      <c r="JU100" s="13">
        <f t="shared" si="252"/>
        <v>0</v>
      </c>
      <c r="JV100" s="13">
        <f t="shared" si="252"/>
        <v>0</v>
      </c>
      <c r="JW100" s="13">
        <f t="shared" si="252"/>
        <v>0</v>
      </c>
      <c r="JX100" s="13">
        <f t="shared" si="252"/>
        <v>0</v>
      </c>
      <c r="JY100" s="13">
        <f t="shared" si="252"/>
        <v>0</v>
      </c>
      <c r="JZ100" s="13">
        <f t="shared" si="252"/>
        <v>0</v>
      </c>
      <c r="KA100" s="13">
        <f t="shared" si="252"/>
        <v>0</v>
      </c>
      <c r="KB100" s="13">
        <f t="shared" si="252"/>
        <v>0</v>
      </c>
      <c r="KC100" s="13">
        <f t="shared" si="252"/>
        <v>0</v>
      </c>
      <c r="KD100" s="13">
        <f t="shared" si="252"/>
        <v>0</v>
      </c>
      <c r="KE100" s="13">
        <f t="shared" si="252"/>
        <v>0</v>
      </c>
      <c r="KF100" s="13">
        <f t="shared" si="252"/>
        <v>0</v>
      </c>
      <c r="KG100" s="13">
        <f t="shared" si="252"/>
        <v>0</v>
      </c>
      <c r="KH100" s="13">
        <f t="shared" si="252"/>
        <v>0</v>
      </c>
      <c r="KI100" s="13">
        <f t="shared" si="252"/>
        <v>0</v>
      </c>
      <c r="KJ100" s="13">
        <f t="shared" si="252"/>
        <v>0</v>
      </c>
      <c r="KK100" s="13">
        <f t="shared" si="252"/>
        <v>0</v>
      </c>
      <c r="KL100" s="13">
        <f t="shared" si="252"/>
        <v>0</v>
      </c>
      <c r="KM100" s="13">
        <f t="shared" si="252"/>
        <v>0</v>
      </c>
      <c r="KN100" s="13">
        <f t="shared" si="252"/>
        <v>0</v>
      </c>
      <c r="KO100" s="13">
        <f t="shared" si="252"/>
        <v>0</v>
      </c>
      <c r="KP100" s="13">
        <f t="shared" si="252"/>
        <v>0</v>
      </c>
      <c r="KQ100" s="13">
        <f t="shared" si="252"/>
        <v>0</v>
      </c>
      <c r="KR100" s="13">
        <f t="shared" si="252"/>
        <v>0</v>
      </c>
      <c r="KS100" s="13">
        <f t="shared" si="252"/>
        <v>0</v>
      </c>
      <c r="KT100" s="13">
        <f t="shared" si="252"/>
        <v>0</v>
      </c>
      <c r="KU100" s="13">
        <f t="shared" si="252"/>
        <v>0</v>
      </c>
      <c r="KV100" s="13">
        <f t="shared" si="252"/>
        <v>0</v>
      </c>
      <c r="KW100" s="13">
        <f t="shared" si="252"/>
        <v>0</v>
      </c>
      <c r="KX100" s="13">
        <f t="shared" si="252"/>
        <v>0</v>
      </c>
      <c r="KY100" s="13">
        <f t="shared" si="252"/>
        <v>0</v>
      </c>
      <c r="KZ100" s="13">
        <f t="shared" si="252"/>
        <v>0</v>
      </c>
      <c r="LA100" s="13">
        <f t="shared" si="252"/>
        <v>0</v>
      </c>
      <c r="LB100" s="13">
        <f t="shared" si="252"/>
        <v>0</v>
      </c>
      <c r="LC100" s="13">
        <f t="shared" si="252"/>
        <v>0</v>
      </c>
      <c r="LD100" s="13">
        <f t="shared" si="252"/>
        <v>0</v>
      </c>
      <c r="LE100" s="13">
        <f t="shared" si="252"/>
        <v>0</v>
      </c>
      <c r="LF100" s="13">
        <f t="shared" si="252"/>
        <v>0</v>
      </c>
      <c r="LG100" s="13">
        <f t="shared" si="252"/>
        <v>0</v>
      </c>
      <c r="LH100" s="13">
        <f t="shared" si="252"/>
        <v>0</v>
      </c>
      <c r="LI100" s="13">
        <f t="shared" si="252"/>
        <v>0</v>
      </c>
      <c r="LJ100" s="13">
        <f t="shared" si="252"/>
        <v>0</v>
      </c>
      <c r="LK100" s="13">
        <f t="shared" si="252"/>
        <v>0</v>
      </c>
      <c r="LL100" s="13">
        <f t="shared" si="252"/>
        <v>0</v>
      </c>
      <c r="LM100" s="13">
        <f t="shared" si="252"/>
        <v>0</v>
      </c>
      <c r="LN100" s="13">
        <f t="shared" si="252"/>
        <v>0</v>
      </c>
      <c r="LO100" s="13">
        <f t="shared" ref="LO100:NR100" si="253">COUNTIF(LO102:LO120,"X")</f>
        <v>0</v>
      </c>
      <c r="LP100" s="13">
        <f t="shared" si="253"/>
        <v>0</v>
      </c>
      <c r="LQ100" s="13">
        <f t="shared" si="253"/>
        <v>0</v>
      </c>
      <c r="LR100" s="13">
        <f t="shared" si="253"/>
        <v>0</v>
      </c>
      <c r="LS100" s="13">
        <f t="shared" si="253"/>
        <v>0</v>
      </c>
      <c r="LT100" s="13">
        <f t="shared" si="253"/>
        <v>0</v>
      </c>
      <c r="LU100" s="13">
        <f t="shared" si="253"/>
        <v>0</v>
      </c>
      <c r="LV100" s="13">
        <f t="shared" si="253"/>
        <v>0</v>
      </c>
      <c r="LW100" s="13">
        <f t="shared" si="253"/>
        <v>0</v>
      </c>
      <c r="LX100" s="13">
        <f t="shared" si="253"/>
        <v>0</v>
      </c>
      <c r="LY100" s="13">
        <f t="shared" si="253"/>
        <v>0</v>
      </c>
      <c r="LZ100" s="13">
        <f t="shared" si="253"/>
        <v>0</v>
      </c>
      <c r="MA100" s="13">
        <f t="shared" si="253"/>
        <v>0</v>
      </c>
      <c r="MB100" s="13">
        <f t="shared" si="253"/>
        <v>0</v>
      </c>
      <c r="MC100" s="13">
        <f t="shared" si="253"/>
        <v>0</v>
      </c>
      <c r="MD100" s="13">
        <f t="shared" si="253"/>
        <v>0</v>
      </c>
      <c r="ME100" s="13">
        <f t="shared" si="253"/>
        <v>0</v>
      </c>
      <c r="MF100" s="13">
        <f t="shared" si="253"/>
        <v>0</v>
      </c>
      <c r="MG100" s="13">
        <f t="shared" si="253"/>
        <v>0</v>
      </c>
      <c r="MH100" s="13">
        <f t="shared" si="253"/>
        <v>0</v>
      </c>
      <c r="MI100" s="13">
        <f t="shared" si="253"/>
        <v>0</v>
      </c>
      <c r="MJ100" s="13">
        <f t="shared" si="253"/>
        <v>0</v>
      </c>
      <c r="MK100" s="13">
        <f t="shared" si="253"/>
        <v>0</v>
      </c>
      <c r="ML100" s="13">
        <f t="shared" si="253"/>
        <v>0</v>
      </c>
      <c r="MM100" s="13">
        <f t="shared" si="253"/>
        <v>0</v>
      </c>
      <c r="MN100" s="13">
        <f t="shared" si="253"/>
        <v>0</v>
      </c>
      <c r="MO100" s="13">
        <f t="shared" si="253"/>
        <v>0</v>
      </c>
      <c r="MP100" s="13">
        <f t="shared" si="253"/>
        <v>0</v>
      </c>
      <c r="MQ100" s="13">
        <f t="shared" si="253"/>
        <v>0</v>
      </c>
      <c r="MR100" s="13">
        <f t="shared" si="253"/>
        <v>0</v>
      </c>
      <c r="MS100" s="13">
        <f t="shared" si="253"/>
        <v>0</v>
      </c>
      <c r="MT100" s="13">
        <f t="shared" si="253"/>
        <v>0</v>
      </c>
      <c r="MU100" s="13">
        <f t="shared" si="253"/>
        <v>0</v>
      </c>
      <c r="MV100" s="13">
        <f t="shared" si="253"/>
        <v>0</v>
      </c>
      <c r="MW100" s="13">
        <f t="shared" si="253"/>
        <v>0</v>
      </c>
      <c r="MX100" s="13">
        <f t="shared" si="253"/>
        <v>0</v>
      </c>
      <c r="MY100" s="13">
        <f t="shared" si="253"/>
        <v>0</v>
      </c>
      <c r="MZ100" s="13">
        <f t="shared" si="253"/>
        <v>0</v>
      </c>
      <c r="NA100" s="13">
        <f t="shared" si="253"/>
        <v>0</v>
      </c>
      <c r="NB100" s="13">
        <f t="shared" si="253"/>
        <v>0</v>
      </c>
      <c r="NC100" s="13">
        <f t="shared" si="253"/>
        <v>0</v>
      </c>
      <c r="ND100" s="13">
        <f t="shared" si="253"/>
        <v>0</v>
      </c>
      <c r="NE100" s="13">
        <f t="shared" si="253"/>
        <v>0</v>
      </c>
      <c r="NF100" s="13">
        <f t="shared" si="253"/>
        <v>0</v>
      </c>
      <c r="NG100" s="13">
        <f t="shared" si="253"/>
        <v>0</v>
      </c>
      <c r="NH100" s="13">
        <f t="shared" si="253"/>
        <v>0</v>
      </c>
      <c r="NI100" s="13">
        <f t="shared" si="253"/>
        <v>0</v>
      </c>
      <c r="NJ100" s="13">
        <f t="shared" si="253"/>
        <v>0</v>
      </c>
      <c r="NK100" s="13">
        <f t="shared" si="253"/>
        <v>0</v>
      </c>
      <c r="NL100" s="13">
        <f t="shared" si="253"/>
        <v>0</v>
      </c>
      <c r="NM100" s="13">
        <f t="shared" si="253"/>
        <v>0</v>
      </c>
      <c r="NN100" s="13">
        <f t="shared" si="253"/>
        <v>0</v>
      </c>
      <c r="NO100" s="13">
        <f t="shared" si="253"/>
        <v>0</v>
      </c>
      <c r="NP100" s="13">
        <f t="shared" si="253"/>
        <v>0</v>
      </c>
      <c r="NQ100" s="13">
        <f t="shared" si="253"/>
        <v>0</v>
      </c>
      <c r="NR100" s="13">
        <f t="shared" si="253"/>
        <v>0</v>
      </c>
      <c r="NS100" s="13">
        <f>COUNTIF(NS101:NS120,"X")</f>
        <v>0</v>
      </c>
      <c r="NT100" s="14">
        <f>SUM(F100:NS100)</f>
        <v>3</v>
      </c>
      <c r="NU100" s="93"/>
      <c r="NV100" s="30">
        <f>SUMIF(NW101:NW120,0,NV101:NV120)</f>
        <v>2</v>
      </c>
      <c r="NW100" s="30">
        <f>SUMIF(NW101:NW120,0,NV101:NV120)</f>
        <v>2</v>
      </c>
      <c r="NX100" s="14">
        <f>SUM(F100:AU100)</f>
        <v>3</v>
      </c>
      <c r="NY100" s="93"/>
      <c r="NZ100" s="30">
        <f>SUMIF(OA101:OA120,0,NZ101:NZ120)</f>
        <v>0</v>
      </c>
      <c r="OA100" s="30">
        <f>SUMIF(OA101:OA120,0,NZ101:NZ120)</f>
        <v>0</v>
      </c>
      <c r="OB100" s="14">
        <f>SUM(AV100:CK100)</f>
        <v>0</v>
      </c>
      <c r="OC100" s="93"/>
      <c r="OD100" s="30">
        <f>SUMIF(OE101:OE120,0,OD101:OD120)</f>
        <v>0</v>
      </c>
      <c r="OE100" s="30">
        <f>SUMIF(OE101:OE120,0,OD101:OD120)</f>
        <v>0</v>
      </c>
      <c r="OF100" s="14">
        <f>SUM(CL100:EA100)</f>
        <v>0</v>
      </c>
      <c r="OG100" s="85"/>
      <c r="OH100" s="30">
        <f>SUMIF(OI101:OI120,0,OH101:OH120)</f>
        <v>0</v>
      </c>
      <c r="OI100" s="30">
        <f>SUMIF(OI101:OI120,0,OH101:OH120)</f>
        <v>0</v>
      </c>
      <c r="OJ100" s="14">
        <f>SUM(EB100:FQ100)</f>
        <v>0</v>
      </c>
      <c r="OK100" s="85"/>
      <c r="OL100" s="30">
        <f>SUMIF(OM101:OM120,0,OL101:OL120)</f>
        <v>0</v>
      </c>
      <c r="OM100" s="30">
        <f>SUMIF(OM101:OM120,0,OL101:OL120)</f>
        <v>0</v>
      </c>
      <c r="ON100" s="14">
        <f>SUM(FR100:HG100)</f>
        <v>0</v>
      </c>
      <c r="OO100" s="85"/>
      <c r="OP100" s="30">
        <f>SUMIF(OQ101:OQ120,0,OP101:OP120)</f>
        <v>0</v>
      </c>
      <c r="OQ100" s="85"/>
      <c r="OR100" s="14">
        <f>SUM(HH100:IW100)</f>
        <v>0</v>
      </c>
      <c r="OS100" s="85"/>
      <c r="OT100" s="30">
        <f>SUMIF(OU101:OU120,0,OT101:OT120)</f>
        <v>0</v>
      </c>
      <c r="OU100" s="30">
        <f>SUMIF(OU101:OU120,0,OT101:OT120)</f>
        <v>0</v>
      </c>
      <c r="OV100" s="14">
        <f>SUM(IX100:KM100)</f>
        <v>0</v>
      </c>
      <c r="OW100" s="85"/>
      <c r="OX100" s="30">
        <f>SUMIF(OY101:OY120,0,OX101:OX120)</f>
        <v>0</v>
      </c>
      <c r="OY100" s="30">
        <f>SUMIF(OY101:OY120,0,OX101:OX120)</f>
        <v>0</v>
      </c>
      <c r="OZ100" s="14">
        <f>SUM(KN100:MC100)</f>
        <v>0</v>
      </c>
      <c r="PA100" s="85"/>
      <c r="PB100" s="30">
        <f>SUMIF(PC101:PC120,0,PB101:PB120)</f>
        <v>0</v>
      </c>
      <c r="PC100" s="30">
        <f>SUMIF(PC101:PC120,0,PB101:PB120)</f>
        <v>0</v>
      </c>
      <c r="PD100" s="14">
        <f>SUM(MD100:NS100)</f>
        <v>0</v>
      </c>
      <c r="PE100" s="85"/>
    </row>
    <row r="101" spans="1:421" ht="15.75" customHeight="1" outlineLevel="1" x14ac:dyDescent="0.25">
      <c r="C101" s="82" t="s">
        <v>100</v>
      </c>
      <c r="D101" s="71"/>
      <c r="E101" s="53" t="s">
        <v>8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69"/>
      <c r="Q101" s="33"/>
      <c r="R101" s="33"/>
      <c r="S101" s="33"/>
      <c r="T101" s="33"/>
      <c r="U101" s="33"/>
      <c r="V101" s="33"/>
      <c r="W101" s="69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>
        <v>1</v>
      </c>
      <c r="AO101" s="33">
        <v>1</v>
      </c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  <c r="HI101" s="33"/>
      <c r="HJ101" s="33"/>
      <c r="HK101" s="33"/>
      <c r="HL101" s="33"/>
      <c r="HM101" s="33"/>
      <c r="HN101" s="33"/>
      <c r="HO101" s="33"/>
      <c r="HP101" s="33"/>
      <c r="HQ101" s="33"/>
      <c r="HR101" s="33"/>
      <c r="HS101" s="33"/>
      <c r="HT101" s="33"/>
      <c r="HU101" s="33"/>
      <c r="HV101" s="33"/>
      <c r="HW101" s="33"/>
      <c r="HX101" s="33"/>
      <c r="HY101" s="33"/>
      <c r="HZ101" s="33"/>
      <c r="IA101" s="33"/>
      <c r="IB101" s="33"/>
      <c r="IC101" s="33"/>
      <c r="ID101" s="33"/>
      <c r="IE101" s="33"/>
      <c r="IF101" s="33"/>
      <c r="IG101" s="33"/>
      <c r="IH101" s="33"/>
      <c r="II101" s="33"/>
      <c r="IJ101" s="33"/>
      <c r="IK101" s="33"/>
      <c r="IL101" s="33"/>
      <c r="IM101" s="33"/>
      <c r="IN101" s="33"/>
      <c r="IO101" s="33"/>
      <c r="IP101" s="33"/>
      <c r="IQ101" s="33"/>
      <c r="IR101" s="33"/>
      <c r="IS101" s="33"/>
      <c r="IT101" s="33"/>
      <c r="IU101" s="33"/>
      <c r="IV101" s="33"/>
      <c r="IW101" s="33"/>
      <c r="IX101" s="33"/>
      <c r="IY101" s="33"/>
      <c r="IZ101" s="33"/>
      <c r="JA101" s="33"/>
      <c r="JB101" s="33"/>
      <c r="JC101" s="33"/>
      <c r="JD101" s="33"/>
      <c r="JE101" s="33"/>
      <c r="JF101" s="33"/>
      <c r="JG101" s="33"/>
      <c r="JH101" s="33"/>
      <c r="JI101" s="33"/>
      <c r="JJ101" s="33"/>
      <c r="JK101" s="33"/>
      <c r="JL101" s="33"/>
      <c r="JM101" s="33"/>
      <c r="JN101" s="33"/>
      <c r="JO101" s="33"/>
      <c r="JP101" s="33"/>
      <c r="JQ101" s="33"/>
      <c r="JR101" s="33"/>
      <c r="JS101" s="33"/>
      <c r="JT101" s="33"/>
      <c r="JU101" s="33"/>
      <c r="JV101" s="33"/>
      <c r="JW101" s="33"/>
      <c r="JX101" s="33"/>
      <c r="JY101" s="33"/>
      <c r="JZ101" s="33"/>
      <c r="KA101" s="33"/>
      <c r="KB101" s="33"/>
      <c r="KC101" s="33"/>
      <c r="KD101" s="33"/>
      <c r="KE101" s="33"/>
      <c r="KF101" s="33"/>
      <c r="KG101" s="33"/>
      <c r="KH101" s="33"/>
      <c r="KI101" s="33"/>
      <c r="KJ101" s="33"/>
      <c r="KK101" s="33"/>
      <c r="KL101" s="33"/>
      <c r="KM101" s="33"/>
      <c r="KN101" s="33"/>
      <c r="KO101" s="33"/>
      <c r="KP101" s="33"/>
      <c r="KQ101" s="33"/>
      <c r="KR101" s="33"/>
      <c r="KS101" s="33"/>
      <c r="KT101" s="33"/>
      <c r="KU101" s="33"/>
      <c r="KV101" s="33"/>
      <c r="KW101" s="33"/>
      <c r="KX101" s="33"/>
      <c r="KY101" s="33"/>
      <c r="KZ101" s="33"/>
      <c r="LA101" s="33"/>
      <c r="LB101" s="33"/>
      <c r="LC101" s="33"/>
      <c r="LD101" s="33"/>
      <c r="LE101" s="33"/>
      <c r="LF101" s="33"/>
      <c r="LG101" s="33"/>
      <c r="LH101" s="33"/>
      <c r="LI101" s="33"/>
      <c r="LJ101" s="33"/>
      <c r="LK101" s="33"/>
      <c r="LL101" s="33"/>
      <c r="LM101" s="33"/>
      <c r="LN101" s="33"/>
      <c r="LO101" s="33"/>
      <c r="LP101" s="33"/>
      <c r="LQ101" s="33"/>
      <c r="LR101" s="33"/>
      <c r="LS101" s="33"/>
      <c r="LT101" s="33"/>
      <c r="LU101" s="33"/>
      <c r="LV101" s="33"/>
      <c r="LW101" s="33"/>
      <c r="LX101" s="33"/>
      <c r="LY101" s="33"/>
      <c r="LZ101" s="33"/>
      <c r="MA101" s="33"/>
      <c r="MB101" s="33"/>
      <c r="MC101" s="33"/>
      <c r="MD101" s="33"/>
      <c r="ME101" s="33"/>
      <c r="MF101" s="33"/>
      <c r="MG101" s="33"/>
      <c r="MH101" s="33"/>
      <c r="MI101" s="33"/>
      <c r="MJ101" s="33"/>
      <c r="MK101" s="33"/>
      <c r="ML101" s="33"/>
      <c r="MM101" s="33"/>
      <c r="MN101" s="33"/>
      <c r="MO101" s="33"/>
      <c r="MP101" s="33"/>
      <c r="MQ101" s="33"/>
      <c r="MR101" s="33"/>
      <c r="MS101" s="33"/>
      <c r="MT101" s="33"/>
      <c r="MU101" s="33"/>
      <c r="MV101" s="33"/>
      <c r="MW101" s="33"/>
      <c r="MX101" s="33"/>
      <c r="MY101" s="33"/>
      <c r="MZ101" s="33"/>
      <c r="NA101" s="33"/>
      <c r="NB101" s="33"/>
      <c r="NC101" s="33"/>
      <c r="ND101" s="33"/>
      <c r="NE101" s="33"/>
      <c r="NF101" s="33"/>
      <c r="NG101" s="33"/>
      <c r="NH101" s="33"/>
      <c r="NI101" s="33"/>
      <c r="NJ101" s="33"/>
      <c r="NK101" s="33"/>
      <c r="NL101" s="33"/>
      <c r="NM101" s="33"/>
      <c r="NN101" s="33"/>
      <c r="NO101" s="33"/>
      <c r="NP101" s="33"/>
      <c r="NQ101" s="33"/>
      <c r="NR101" s="33"/>
      <c r="NS101" s="33"/>
      <c r="NT101" s="31">
        <f>COUNTIF(F101:NS101,"1")</f>
        <v>2</v>
      </c>
      <c r="NU101" s="80">
        <f>NT102/NT101</f>
        <v>1</v>
      </c>
      <c r="NV101" s="29" t="str">
        <f>+IF(NX101&gt;=1,"1",0)</f>
        <v>1</v>
      </c>
      <c r="NW101" s="38">
        <f>MOD(ROW(NW101),2)</f>
        <v>1</v>
      </c>
      <c r="NX101" s="35">
        <f>COUNTIF(F101:AU101,"1")</f>
        <v>2</v>
      </c>
      <c r="NY101" s="80">
        <f>NX102/NX101</f>
        <v>1</v>
      </c>
      <c r="NZ101" s="29">
        <f>+IF(OB101&gt;=1,"1",0)</f>
        <v>0</v>
      </c>
      <c r="OA101" s="38">
        <f>MOD(ROW(OA101),2)</f>
        <v>1</v>
      </c>
      <c r="OB101" s="35">
        <f>COUNTIF(AV101:CK101,"1")</f>
        <v>0</v>
      </c>
      <c r="OC101" s="80" t="e">
        <f>OB102/OB101</f>
        <v>#DIV/0!</v>
      </c>
      <c r="OD101" s="29">
        <f>+IF(OF101&gt;=1,"1",0)</f>
        <v>0</v>
      </c>
      <c r="OE101" s="38">
        <f>MOD(ROW(OE101),2)</f>
        <v>1</v>
      </c>
      <c r="OF101" s="35">
        <f>COUNTIF(CL101:EA101,"1")</f>
        <v>0</v>
      </c>
      <c r="OG101" s="80" t="e">
        <f>OF102/OF101</f>
        <v>#DIV/0!</v>
      </c>
      <c r="OH101" s="29">
        <f>+IF(OJ101&gt;=1,"1",0)</f>
        <v>0</v>
      </c>
      <c r="OI101" s="38">
        <f>MOD(ROW(OI101),2)</f>
        <v>1</v>
      </c>
      <c r="OJ101" s="35">
        <f>COUNTIF(EB101:FQ101,"1")</f>
        <v>0</v>
      </c>
      <c r="OK101" s="79" t="e">
        <f>OJ102/OJ101</f>
        <v>#DIV/0!</v>
      </c>
      <c r="OL101" s="29">
        <f>+IF(ON101&gt;=1,"1",0)</f>
        <v>0</v>
      </c>
      <c r="OM101" s="38">
        <f>MOD(ROW(OM101),2)</f>
        <v>1</v>
      </c>
      <c r="ON101" s="35">
        <f>COUNTIF(FR101:HG101,"1")</f>
        <v>0</v>
      </c>
      <c r="OO101" s="79" t="e">
        <f>ON102/ON101</f>
        <v>#DIV/0!</v>
      </c>
      <c r="OP101" s="29">
        <f>+IF(OR101&gt;=1,"1",0)</f>
        <v>0</v>
      </c>
      <c r="OQ101" s="38">
        <f>MOD(ROW(OQ101),2)</f>
        <v>1</v>
      </c>
      <c r="OR101" s="35">
        <f>COUNTIF(HH101:IW101,"1")</f>
        <v>0</v>
      </c>
      <c r="OS101" s="79" t="e">
        <f>OR102/OR101</f>
        <v>#DIV/0!</v>
      </c>
      <c r="OT101" s="29">
        <f>+IF(OV101&gt;=1,"1",0)</f>
        <v>0</v>
      </c>
      <c r="OU101" s="38">
        <f>MOD(ROW(OU101),2)</f>
        <v>1</v>
      </c>
      <c r="OV101" s="35">
        <f>COUNTIF(IX101:KM101,"1")</f>
        <v>0</v>
      </c>
      <c r="OW101" s="79" t="e">
        <f>OV102/OV101</f>
        <v>#DIV/0!</v>
      </c>
      <c r="OX101" s="29">
        <f>+IF(OZ101&gt;=1,"1",0)</f>
        <v>0</v>
      </c>
      <c r="OY101" s="38">
        <f>MOD(ROW(OY101),2)</f>
        <v>1</v>
      </c>
      <c r="OZ101" s="35">
        <f>COUNTIF(KN101:MC101,"1")</f>
        <v>0</v>
      </c>
      <c r="PA101" s="79" t="e">
        <f>OZ102/OZ101</f>
        <v>#DIV/0!</v>
      </c>
      <c r="PB101" s="29">
        <f>+IF(PD101&gt;=1,"1",0)</f>
        <v>0</v>
      </c>
      <c r="PC101" s="38">
        <f>MOD(ROW(PC101),2)</f>
        <v>1</v>
      </c>
      <c r="PD101" s="35">
        <f>COUNTIF(MD101:NS101,"1")</f>
        <v>0</v>
      </c>
      <c r="PE101" s="79" t="e">
        <f>PD102/PD101</f>
        <v>#DIV/0!</v>
      </c>
    </row>
    <row r="102" spans="1:421" ht="15.75" customHeight="1" outlineLevel="1" thickBot="1" x14ac:dyDescent="0.3">
      <c r="C102" s="83"/>
      <c r="D102" s="72"/>
      <c r="E102" s="54" t="s">
        <v>9</v>
      </c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70"/>
      <c r="Q102" s="34"/>
      <c r="R102" s="34"/>
      <c r="S102" s="34"/>
      <c r="T102" s="34"/>
      <c r="U102" s="34"/>
      <c r="V102" s="34"/>
      <c r="W102" s="70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 t="s">
        <v>75</v>
      </c>
      <c r="AO102" s="34" t="s">
        <v>75</v>
      </c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  <c r="HI102" s="34"/>
      <c r="HJ102" s="34"/>
      <c r="HK102" s="34"/>
      <c r="HL102" s="34"/>
      <c r="HM102" s="34"/>
      <c r="HN102" s="34"/>
      <c r="HO102" s="34"/>
      <c r="HP102" s="34"/>
      <c r="HQ102" s="34"/>
      <c r="HR102" s="34"/>
      <c r="HS102" s="34"/>
      <c r="HT102" s="34"/>
      <c r="HU102" s="34"/>
      <c r="HV102" s="34"/>
      <c r="HW102" s="34"/>
      <c r="HX102" s="34"/>
      <c r="HY102" s="34"/>
      <c r="HZ102" s="34"/>
      <c r="IA102" s="34"/>
      <c r="IB102" s="34"/>
      <c r="IC102" s="34"/>
      <c r="ID102" s="34"/>
      <c r="IE102" s="34"/>
      <c r="IF102" s="34"/>
      <c r="IG102" s="34"/>
      <c r="IH102" s="34"/>
      <c r="II102" s="34"/>
      <c r="IJ102" s="34"/>
      <c r="IK102" s="34"/>
      <c r="IL102" s="34"/>
      <c r="IM102" s="34"/>
      <c r="IN102" s="34"/>
      <c r="IO102" s="34"/>
      <c r="IP102" s="34"/>
      <c r="IQ102" s="34"/>
      <c r="IR102" s="34"/>
      <c r="IS102" s="34"/>
      <c r="IT102" s="34"/>
      <c r="IU102" s="34"/>
      <c r="IV102" s="34"/>
      <c r="IW102" s="34"/>
      <c r="IX102" s="34"/>
      <c r="IY102" s="34"/>
      <c r="IZ102" s="34"/>
      <c r="JA102" s="34"/>
      <c r="JB102" s="34"/>
      <c r="JC102" s="34"/>
      <c r="JD102" s="34"/>
      <c r="JE102" s="34"/>
      <c r="JF102" s="34"/>
      <c r="JG102" s="34"/>
      <c r="JH102" s="34"/>
      <c r="JI102" s="34"/>
      <c r="JJ102" s="34"/>
      <c r="JK102" s="34"/>
      <c r="JL102" s="34"/>
      <c r="JM102" s="34"/>
      <c r="JN102" s="34"/>
      <c r="JO102" s="34"/>
      <c r="JP102" s="34"/>
      <c r="JQ102" s="34"/>
      <c r="JR102" s="34"/>
      <c r="JS102" s="34"/>
      <c r="JT102" s="34"/>
      <c r="JU102" s="34"/>
      <c r="JV102" s="34"/>
      <c r="JW102" s="34"/>
      <c r="JX102" s="34"/>
      <c r="JY102" s="34"/>
      <c r="JZ102" s="34"/>
      <c r="KA102" s="34"/>
      <c r="KB102" s="34"/>
      <c r="KC102" s="34"/>
      <c r="KD102" s="34"/>
      <c r="KE102" s="34"/>
      <c r="KF102" s="34"/>
      <c r="KG102" s="34"/>
      <c r="KH102" s="34"/>
      <c r="KI102" s="34"/>
      <c r="KJ102" s="34"/>
      <c r="KK102" s="34"/>
      <c r="KL102" s="34"/>
      <c r="KM102" s="34"/>
      <c r="KN102" s="34"/>
      <c r="KO102" s="34"/>
      <c r="KP102" s="34"/>
      <c r="KQ102" s="34"/>
      <c r="KR102" s="34"/>
      <c r="KS102" s="34"/>
      <c r="KT102" s="34"/>
      <c r="KU102" s="34"/>
      <c r="KV102" s="34"/>
      <c r="KW102" s="34"/>
      <c r="KX102" s="34"/>
      <c r="KY102" s="34"/>
      <c r="KZ102" s="34"/>
      <c r="LA102" s="34"/>
      <c r="LB102" s="34"/>
      <c r="LC102" s="34"/>
      <c r="LD102" s="34"/>
      <c r="LE102" s="34"/>
      <c r="LF102" s="34"/>
      <c r="LG102" s="34"/>
      <c r="LH102" s="34"/>
      <c r="LI102" s="34"/>
      <c r="LJ102" s="34"/>
      <c r="LK102" s="34"/>
      <c r="LL102" s="34"/>
      <c r="LM102" s="34"/>
      <c r="LN102" s="34"/>
      <c r="LO102" s="34"/>
      <c r="LP102" s="34"/>
      <c r="LQ102" s="34"/>
      <c r="LR102" s="34"/>
      <c r="LS102" s="34"/>
      <c r="LT102" s="34"/>
      <c r="LU102" s="34"/>
      <c r="LV102" s="34"/>
      <c r="LW102" s="34"/>
      <c r="LX102" s="34"/>
      <c r="LY102" s="34"/>
      <c r="LZ102" s="34"/>
      <c r="MA102" s="34"/>
      <c r="MB102" s="34"/>
      <c r="MC102" s="34"/>
      <c r="MD102" s="34"/>
      <c r="ME102" s="34"/>
      <c r="MF102" s="34"/>
      <c r="MG102" s="34"/>
      <c r="MH102" s="34"/>
      <c r="MI102" s="34"/>
      <c r="MJ102" s="34"/>
      <c r="MK102" s="34"/>
      <c r="ML102" s="34"/>
      <c r="MM102" s="34"/>
      <c r="MN102" s="34"/>
      <c r="MO102" s="34"/>
      <c r="MP102" s="34"/>
      <c r="MQ102" s="34"/>
      <c r="MR102" s="34"/>
      <c r="MS102" s="34"/>
      <c r="MT102" s="34"/>
      <c r="MU102" s="34"/>
      <c r="MV102" s="34"/>
      <c r="MW102" s="34"/>
      <c r="MX102" s="34"/>
      <c r="MY102" s="34"/>
      <c r="MZ102" s="34"/>
      <c r="NA102" s="34"/>
      <c r="NB102" s="34"/>
      <c r="NC102" s="34"/>
      <c r="ND102" s="34"/>
      <c r="NE102" s="34"/>
      <c r="NF102" s="34"/>
      <c r="NG102" s="34"/>
      <c r="NH102" s="34"/>
      <c r="NI102" s="34"/>
      <c r="NJ102" s="34"/>
      <c r="NK102" s="34"/>
      <c r="NL102" s="34"/>
      <c r="NM102" s="34"/>
      <c r="NN102" s="34"/>
      <c r="NO102" s="34"/>
      <c r="NP102" s="34"/>
      <c r="NQ102" s="34"/>
      <c r="NR102" s="34"/>
      <c r="NS102" s="34"/>
      <c r="NT102" s="7">
        <f>COUNTIF(F102:NS102,"x")</f>
        <v>2</v>
      </c>
      <c r="NU102" s="81"/>
      <c r="NV102" s="32">
        <f>IF(NX102=0,"0",NX102/NX101)</f>
        <v>1</v>
      </c>
      <c r="NW102" s="37">
        <f>MOD(ROW(NW102),2)</f>
        <v>0</v>
      </c>
      <c r="NX102" s="36">
        <f>COUNTIF(F102:AU102,"x")</f>
        <v>2</v>
      </c>
      <c r="NY102" s="81"/>
      <c r="NZ102" s="32" t="str">
        <f>IF(OB102=0,"0",OB102/OB101)</f>
        <v>0</v>
      </c>
      <c r="OA102" s="37">
        <f>MOD(ROW(OA102),2)</f>
        <v>0</v>
      </c>
      <c r="OB102" s="36">
        <f>COUNTIF(AV102:CK102,"x")</f>
        <v>0</v>
      </c>
      <c r="OC102" s="81"/>
      <c r="OD102" s="32" t="str">
        <f>IF(OF102=0,"0",OF102/OF101)</f>
        <v>0</v>
      </c>
      <c r="OE102" s="37">
        <f>MOD(ROW(OE102),2)</f>
        <v>0</v>
      </c>
      <c r="OF102" s="36">
        <f>COUNTIF(CL102:EA102,"x")</f>
        <v>0</v>
      </c>
      <c r="OG102" s="81"/>
      <c r="OH102" s="32" t="str">
        <f>IF(OJ102=0,"0",OJ102/OJ101)</f>
        <v>0</v>
      </c>
      <c r="OI102" s="37">
        <f>MOD(ROW(OI102),2)</f>
        <v>0</v>
      </c>
      <c r="OJ102" s="36">
        <f>COUNTIF(EB102:FQ102,"x")</f>
        <v>0</v>
      </c>
      <c r="OK102" s="74"/>
      <c r="OL102" s="32" t="str">
        <f>IF(ON102=0,"0",ON102/ON101)</f>
        <v>0</v>
      </c>
      <c r="OM102" s="37">
        <f>MOD(ROW(OM102),2)</f>
        <v>0</v>
      </c>
      <c r="ON102" s="36">
        <f>COUNTIF(FR102:HG102,"x")</f>
        <v>0</v>
      </c>
      <c r="OO102" s="74"/>
      <c r="OP102" s="32" t="str">
        <f>IF(OR102=0,"0",OR102/OR101)</f>
        <v>0</v>
      </c>
      <c r="OQ102" s="37">
        <f>MOD(ROW(OQ102),2)</f>
        <v>0</v>
      </c>
      <c r="OR102" s="36">
        <f>COUNTIF(HH102:IW102,"x")</f>
        <v>0</v>
      </c>
      <c r="OS102" s="74"/>
      <c r="OT102" s="32" t="str">
        <f>IF(OV102=0,"0",OV102/OV101)</f>
        <v>0</v>
      </c>
      <c r="OU102" s="37">
        <f>MOD(ROW(OU102),2)</f>
        <v>0</v>
      </c>
      <c r="OV102" s="36">
        <f>COUNTIF(IX102:KM102,"x")</f>
        <v>0</v>
      </c>
      <c r="OW102" s="74"/>
      <c r="OX102" s="32" t="str">
        <f>IF(OZ102=0,"0",OZ102/OZ101)</f>
        <v>0</v>
      </c>
      <c r="OY102" s="37">
        <f>MOD(ROW(OY102),2)</f>
        <v>0</v>
      </c>
      <c r="OZ102" s="36">
        <f>COUNTIF(KN102:MC102,"x")</f>
        <v>0</v>
      </c>
      <c r="PA102" s="74"/>
      <c r="PB102" s="32" t="str">
        <f>IF(PD102=0,"0",PD102/PD101)</f>
        <v>0</v>
      </c>
      <c r="PC102" s="37">
        <f>MOD(ROW(PC102),2)</f>
        <v>0</v>
      </c>
      <c r="PD102" s="36">
        <f>COUNTIF(MD102:NS102,"x")</f>
        <v>0</v>
      </c>
      <c r="PE102" s="74"/>
    </row>
    <row r="103" spans="1:421" ht="15.75" customHeight="1" outlineLevel="1" x14ac:dyDescent="0.25">
      <c r="C103" s="82" t="s">
        <v>54</v>
      </c>
      <c r="D103" s="71"/>
      <c r="E103" s="53" t="s">
        <v>8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69"/>
      <c r="Q103" s="33"/>
      <c r="R103" s="33"/>
      <c r="S103" s="33"/>
      <c r="T103" s="33"/>
      <c r="U103" s="33"/>
      <c r="V103" s="33"/>
      <c r="W103" s="69"/>
      <c r="X103" s="33"/>
      <c r="Y103" s="33"/>
      <c r="Z103" s="33"/>
      <c r="AA103" s="33"/>
      <c r="AB103" s="33"/>
      <c r="AC103" s="33"/>
      <c r="AD103" s="33"/>
      <c r="AE103" s="33"/>
      <c r="AF103" s="33"/>
      <c r="AG103" s="33">
        <v>1</v>
      </c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  <c r="HI103" s="33"/>
      <c r="HJ103" s="33"/>
      <c r="HK103" s="33"/>
      <c r="HL103" s="33"/>
      <c r="HM103" s="33"/>
      <c r="HN103" s="33"/>
      <c r="HO103" s="33"/>
      <c r="HP103" s="33"/>
      <c r="HQ103" s="33"/>
      <c r="HR103" s="33"/>
      <c r="HS103" s="33"/>
      <c r="HT103" s="33"/>
      <c r="HU103" s="33"/>
      <c r="HV103" s="33"/>
      <c r="HW103" s="33"/>
      <c r="HX103" s="33"/>
      <c r="HY103" s="33"/>
      <c r="HZ103" s="33"/>
      <c r="IA103" s="33"/>
      <c r="IB103" s="33"/>
      <c r="IC103" s="33"/>
      <c r="ID103" s="33"/>
      <c r="IE103" s="33"/>
      <c r="IF103" s="33"/>
      <c r="IG103" s="33"/>
      <c r="IH103" s="33"/>
      <c r="II103" s="33"/>
      <c r="IJ103" s="33"/>
      <c r="IK103" s="33"/>
      <c r="IL103" s="33"/>
      <c r="IM103" s="33"/>
      <c r="IN103" s="33"/>
      <c r="IO103" s="33"/>
      <c r="IP103" s="33"/>
      <c r="IQ103" s="33"/>
      <c r="IR103" s="33"/>
      <c r="IS103" s="33"/>
      <c r="IT103" s="33"/>
      <c r="IU103" s="33"/>
      <c r="IV103" s="33"/>
      <c r="IW103" s="33"/>
      <c r="IX103" s="33"/>
      <c r="IY103" s="33"/>
      <c r="IZ103" s="33"/>
      <c r="JA103" s="33"/>
      <c r="JB103" s="33"/>
      <c r="JC103" s="33"/>
      <c r="JD103" s="33"/>
      <c r="JE103" s="33"/>
      <c r="JF103" s="33"/>
      <c r="JG103" s="33"/>
      <c r="JH103" s="33"/>
      <c r="JI103" s="33"/>
      <c r="JJ103" s="33"/>
      <c r="JK103" s="33"/>
      <c r="JL103" s="33"/>
      <c r="JM103" s="33"/>
      <c r="JN103" s="33"/>
      <c r="JO103" s="33"/>
      <c r="JP103" s="33"/>
      <c r="JQ103" s="33"/>
      <c r="JR103" s="33"/>
      <c r="JS103" s="33"/>
      <c r="JT103" s="33"/>
      <c r="JU103" s="33"/>
      <c r="JV103" s="33"/>
      <c r="JW103" s="33"/>
      <c r="JX103" s="33"/>
      <c r="JY103" s="33"/>
      <c r="JZ103" s="33"/>
      <c r="KA103" s="33"/>
      <c r="KB103" s="33"/>
      <c r="KC103" s="33"/>
      <c r="KD103" s="33"/>
      <c r="KE103" s="33"/>
      <c r="KF103" s="33"/>
      <c r="KG103" s="33"/>
      <c r="KH103" s="33"/>
      <c r="KI103" s="33"/>
      <c r="KJ103" s="33"/>
      <c r="KK103" s="33"/>
      <c r="KL103" s="33"/>
      <c r="KM103" s="33"/>
      <c r="KN103" s="33"/>
      <c r="KO103" s="33"/>
      <c r="KP103" s="33"/>
      <c r="KQ103" s="33"/>
      <c r="KR103" s="33"/>
      <c r="KS103" s="33"/>
      <c r="KT103" s="33"/>
      <c r="KU103" s="33"/>
      <c r="KV103" s="33"/>
      <c r="KW103" s="33"/>
      <c r="KX103" s="33"/>
      <c r="KY103" s="33"/>
      <c r="KZ103" s="33"/>
      <c r="LA103" s="33"/>
      <c r="LB103" s="33"/>
      <c r="LC103" s="33"/>
      <c r="LD103" s="33"/>
      <c r="LE103" s="33"/>
      <c r="LF103" s="33"/>
      <c r="LG103" s="33"/>
      <c r="LH103" s="33"/>
      <c r="LI103" s="33"/>
      <c r="LJ103" s="33"/>
      <c r="LK103" s="33"/>
      <c r="LL103" s="33"/>
      <c r="LM103" s="33"/>
      <c r="LN103" s="33"/>
      <c r="LO103" s="33"/>
      <c r="LP103" s="33"/>
      <c r="LQ103" s="33"/>
      <c r="LR103" s="33"/>
      <c r="LS103" s="33"/>
      <c r="LT103" s="33"/>
      <c r="LU103" s="33"/>
      <c r="LV103" s="33"/>
      <c r="LW103" s="33"/>
      <c r="LX103" s="33"/>
      <c r="LY103" s="33"/>
      <c r="LZ103" s="33"/>
      <c r="MA103" s="33"/>
      <c r="MB103" s="33"/>
      <c r="MC103" s="33"/>
      <c r="MD103" s="33"/>
      <c r="ME103" s="33"/>
      <c r="MF103" s="33"/>
      <c r="MG103" s="33"/>
      <c r="MH103" s="33"/>
      <c r="MI103" s="33"/>
      <c r="MJ103" s="33"/>
      <c r="MK103" s="33"/>
      <c r="ML103" s="33"/>
      <c r="MM103" s="33"/>
      <c r="MN103" s="33"/>
      <c r="MO103" s="33"/>
      <c r="MP103" s="33"/>
      <c r="MQ103" s="33"/>
      <c r="MR103" s="33"/>
      <c r="MS103" s="33"/>
      <c r="MT103" s="33"/>
      <c r="MU103" s="33"/>
      <c r="MV103" s="33"/>
      <c r="MW103" s="33"/>
      <c r="MX103" s="33"/>
      <c r="MY103" s="33"/>
      <c r="MZ103" s="33"/>
      <c r="NA103" s="33"/>
      <c r="NB103" s="33"/>
      <c r="NC103" s="33"/>
      <c r="ND103" s="33"/>
      <c r="NE103" s="33"/>
      <c r="NF103" s="33"/>
      <c r="NG103" s="33"/>
      <c r="NH103" s="33"/>
      <c r="NI103" s="33"/>
      <c r="NJ103" s="33"/>
      <c r="NK103" s="33"/>
      <c r="NL103" s="33"/>
      <c r="NM103" s="33"/>
      <c r="NN103" s="33"/>
      <c r="NO103" s="33"/>
      <c r="NP103" s="33"/>
      <c r="NQ103" s="33"/>
      <c r="NR103" s="33"/>
      <c r="NS103" s="33"/>
      <c r="NT103" s="31">
        <f>COUNTIF(F103:NS103,"1")</f>
        <v>1</v>
      </c>
      <c r="NU103" s="80">
        <f>NT104/NT103</f>
        <v>1</v>
      </c>
      <c r="NV103" s="29" t="str">
        <f>+IF(NX103&gt;=1,"1",0)</f>
        <v>1</v>
      </c>
      <c r="NW103" s="38">
        <f t="shared" ref="NW103:NW120" si="254">MOD(ROW(NW103),2)</f>
        <v>1</v>
      </c>
      <c r="NX103" s="35">
        <f>COUNTIF(F103:AU103,"1")</f>
        <v>1</v>
      </c>
      <c r="NY103" s="80">
        <f>NX104/NX103</f>
        <v>1</v>
      </c>
      <c r="NZ103" s="29">
        <f>+IF(OB103&gt;=1,"1",0)</f>
        <v>0</v>
      </c>
      <c r="OA103" s="38">
        <f t="shared" ref="OA103:OA120" si="255">MOD(ROW(OA103),2)</f>
        <v>1</v>
      </c>
      <c r="OB103" s="35">
        <f>COUNTIF(AV103:CK103,"1")</f>
        <v>0</v>
      </c>
      <c r="OC103" s="80" t="e">
        <f>OB104/OB103</f>
        <v>#DIV/0!</v>
      </c>
      <c r="OD103" s="29">
        <f>+IF(OF103&gt;=1,"1",0)</f>
        <v>0</v>
      </c>
      <c r="OE103" s="38">
        <f t="shared" ref="OE103:OE120" si="256">MOD(ROW(OE103),2)</f>
        <v>1</v>
      </c>
      <c r="OF103" s="35">
        <f>COUNTIF(CL103:EA103,"1")</f>
        <v>0</v>
      </c>
      <c r="OG103" s="80" t="e">
        <f>OF104/OF103</f>
        <v>#DIV/0!</v>
      </c>
      <c r="OH103" s="29">
        <f>+IF(OJ103&gt;=1,"1",0)</f>
        <v>0</v>
      </c>
      <c r="OI103" s="38">
        <f t="shared" ref="OI103:OI120" si="257">MOD(ROW(OI103),2)</f>
        <v>1</v>
      </c>
      <c r="OJ103" s="35">
        <f>COUNTIF(EB103:FQ103,"1")</f>
        <v>0</v>
      </c>
      <c r="OK103" s="79" t="e">
        <f>OJ104/OJ103</f>
        <v>#DIV/0!</v>
      </c>
      <c r="OL103" s="29">
        <f>+IF(ON103&gt;=1,"1",0)</f>
        <v>0</v>
      </c>
      <c r="OM103" s="38">
        <f t="shared" ref="OM103:OM120" si="258">MOD(ROW(OM103),2)</f>
        <v>1</v>
      </c>
      <c r="ON103" s="35">
        <f>COUNTIF(FR103:HG103,"1")</f>
        <v>0</v>
      </c>
      <c r="OO103" s="79" t="e">
        <f>ON104/ON103</f>
        <v>#DIV/0!</v>
      </c>
      <c r="OP103" s="29">
        <f>+IF(OR103&gt;=1,"1",0)</f>
        <v>0</v>
      </c>
      <c r="OQ103" s="38">
        <f t="shared" ref="OQ103:OQ120" si="259">MOD(ROW(OQ103),2)</f>
        <v>1</v>
      </c>
      <c r="OR103" s="35">
        <f>COUNTIF(HH103:IW103,"1")</f>
        <v>0</v>
      </c>
      <c r="OS103" s="79" t="e">
        <f>OR104/OR103</f>
        <v>#DIV/0!</v>
      </c>
      <c r="OT103" s="29">
        <f>+IF(OV103&gt;=1,"1",0)</f>
        <v>0</v>
      </c>
      <c r="OU103" s="38">
        <f t="shared" ref="OU103:OU120" si="260">MOD(ROW(OU103),2)</f>
        <v>1</v>
      </c>
      <c r="OV103" s="35">
        <f>COUNTIF(IX103:KM103,"1")</f>
        <v>0</v>
      </c>
      <c r="OW103" s="79" t="e">
        <f>OV104/OV103</f>
        <v>#DIV/0!</v>
      </c>
      <c r="OX103" s="29">
        <f>+IF(OZ103&gt;=1,"1",0)</f>
        <v>0</v>
      </c>
      <c r="OY103" s="38">
        <f t="shared" ref="OY103:OY120" si="261">MOD(ROW(OY103),2)</f>
        <v>1</v>
      </c>
      <c r="OZ103" s="35">
        <f>COUNTIF(KN103:MC103,"1")</f>
        <v>0</v>
      </c>
      <c r="PA103" s="79" t="e">
        <f>OZ104/OZ103</f>
        <v>#DIV/0!</v>
      </c>
      <c r="PB103" s="29">
        <f>+IF(PD103&gt;=1,"1",0)</f>
        <v>0</v>
      </c>
      <c r="PC103" s="38">
        <f t="shared" ref="PC103:PC120" si="262">MOD(ROW(PC103),2)</f>
        <v>1</v>
      </c>
      <c r="PD103" s="35">
        <f>COUNTIF(MD103:NS103,"1")</f>
        <v>0</v>
      </c>
      <c r="PE103" s="79" t="e">
        <f>PD104/PD103</f>
        <v>#DIV/0!</v>
      </c>
    </row>
    <row r="104" spans="1:421" ht="15.75" customHeight="1" outlineLevel="1" thickBot="1" x14ac:dyDescent="0.3">
      <c r="C104" s="83"/>
      <c r="D104" s="72"/>
      <c r="E104" s="54" t="s">
        <v>9</v>
      </c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70"/>
      <c r="Q104" s="34"/>
      <c r="R104" s="34"/>
      <c r="S104" s="34"/>
      <c r="T104" s="34"/>
      <c r="U104" s="34"/>
      <c r="V104" s="34"/>
      <c r="W104" s="70"/>
      <c r="X104" s="34"/>
      <c r="Y104" s="34"/>
      <c r="Z104" s="34"/>
      <c r="AA104" s="34"/>
      <c r="AB104" s="34"/>
      <c r="AC104" s="34"/>
      <c r="AD104" s="34"/>
      <c r="AE104" s="34"/>
      <c r="AF104" s="34"/>
      <c r="AG104" s="34" t="s">
        <v>75</v>
      </c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  <c r="HI104" s="34"/>
      <c r="HJ104" s="34"/>
      <c r="HK104" s="34"/>
      <c r="HL104" s="34"/>
      <c r="HM104" s="34"/>
      <c r="HN104" s="34"/>
      <c r="HO104" s="34"/>
      <c r="HP104" s="34"/>
      <c r="HQ104" s="34"/>
      <c r="HR104" s="34"/>
      <c r="HS104" s="34"/>
      <c r="HT104" s="34"/>
      <c r="HU104" s="34"/>
      <c r="HV104" s="34"/>
      <c r="HW104" s="34"/>
      <c r="HX104" s="34"/>
      <c r="HY104" s="34"/>
      <c r="HZ104" s="34"/>
      <c r="IA104" s="34"/>
      <c r="IB104" s="34"/>
      <c r="IC104" s="34"/>
      <c r="ID104" s="34"/>
      <c r="IE104" s="34"/>
      <c r="IF104" s="34"/>
      <c r="IG104" s="34"/>
      <c r="IH104" s="34"/>
      <c r="II104" s="34"/>
      <c r="IJ104" s="34"/>
      <c r="IK104" s="34"/>
      <c r="IL104" s="34"/>
      <c r="IM104" s="34"/>
      <c r="IN104" s="34"/>
      <c r="IO104" s="34"/>
      <c r="IP104" s="34"/>
      <c r="IQ104" s="34"/>
      <c r="IR104" s="34"/>
      <c r="IS104" s="34"/>
      <c r="IT104" s="34"/>
      <c r="IU104" s="34"/>
      <c r="IV104" s="34"/>
      <c r="IW104" s="34"/>
      <c r="IX104" s="34"/>
      <c r="IY104" s="34"/>
      <c r="IZ104" s="34"/>
      <c r="JA104" s="34"/>
      <c r="JB104" s="34"/>
      <c r="JC104" s="34"/>
      <c r="JD104" s="34"/>
      <c r="JE104" s="34"/>
      <c r="JF104" s="34"/>
      <c r="JG104" s="34"/>
      <c r="JH104" s="34"/>
      <c r="JI104" s="34"/>
      <c r="JJ104" s="34"/>
      <c r="JK104" s="34"/>
      <c r="JL104" s="34"/>
      <c r="JM104" s="34"/>
      <c r="JN104" s="34"/>
      <c r="JO104" s="34"/>
      <c r="JP104" s="34"/>
      <c r="JQ104" s="34"/>
      <c r="JR104" s="34"/>
      <c r="JS104" s="34"/>
      <c r="JT104" s="34"/>
      <c r="JU104" s="34"/>
      <c r="JV104" s="34"/>
      <c r="JW104" s="34"/>
      <c r="JX104" s="34"/>
      <c r="JY104" s="34"/>
      <c r="JZ104" s="34"/>
      <c r="KA104" s="34"/>
      <c r="KB104" s="34"/>
      <c r="KC104" s="34"/>
      <c r="KD104" s="34"/>
      <c r="KE104" s="34"/>
      <c r="KF104" s="34"/>
      <c r="KG104" s="34"/>
      <c r="KH104" s="34"/>
      <c r="KI104" s="34"/>
      <c r="KJ104" s="34"/>
      <c r="KK104" s="34"/>
      <c r="KL104" s="34"/>
      <c r="KM104" s="34"/>
      <c r="KN104" s="34"/>
      <c r="KO104" s="34"/>
      <c r="KP104" s="34"/>
      <c r="KQ104" s="34"/>
      <c r="KR104" s="34"/>
      <c r="KS104" s="34"/>
      <c r="KT104" s="34"/>
      <c r="KU104" s="34"/>
      <c r="KV104" s="34"/>
      <c r="KW104" s="34"/>
      <c r="KX104" s="34"/>
      <c r="KY104" s="34"/>
      <c r="KZ104" s="34"/>
      <c r="LA104" s="34"/>
      <c r="LB104" s="34"/>
      <c r="LC104" s="34"/>
      <c r="LD104" s="34"/>
      <c r="LE104" s="34"/>
      <c r="LF104" s="34"/>
      <c r="LG104" s="34"/>
      <c r="LH104" s="34"/>
      <c r="LI104" s="34"/>
      <c r="LJ104" s="34"/>
      <c r="LK104" s="34"/>
      <c r="LL104" s="34"/>
      <c r="LM104" s="34"/>
      <c r="LN104" s="34"/>
      <c r="LO104" s="34"/>
      <c r="LP104" s="34"/>
      <c r="LQ104" s="34"/>
      <c r="LR104" s="34"/>
      <c r="LS104" s="34"/>
      <c r="LT104" s="34"/>
      <c r="LU104" s="34"/>
      <c r="LV104" s="34"/>
      <c r="LW104" s="34"/>
      <c r="LX104" s="34"/>
      <c r="LY104" s="34"/>
      <c r="LZ104" s="34"/>
      <c r="MA104" s="34"/>
      <c r="MB104" s="34"/>
      <c r="MC104" s="34"/>
      <c r="MD104" s="34"/>
      <c r="ME104" s="34"/>
      <c r="MF104" s="34"/>
      <c r="MG104" s="34"/>
      <c r="MH104" s="34"/>
      <c r="MI104" s="34"/>
      <c r="MJ104" s="34"/>
      <c r="MK104" s="34"/>
      <c r="ML104" s="34"/>
      <c r="MM104" s="34"/>
      <c r="MN104" s="34"/>
      <c r="MO104" s="34"/>
      <c r="MP104" s="34"/>
      <c r="MQ104" s="34"/>
      <c r="MR104" s="34"/>
      <c r="MS104" s="34"/>
      <c r="MT104" s="34"/>
      <c r="MU104" s="34"/>
      <c r="MV104" s="34"/>
      <c r="MW104" s="34"/>
      <c r="MX104" s="34"/>
      <c r="MY104" s="34"/>
      <c r="MZ104" s="34"/>
      <c r="NA104" s="34"/>
      <c r="NB104" s="34"/>
      <c r="NC104" s="34"/>
      <c r="ND104" s="34"/>
      <c r="NE104" s="34"/>
      <c r="NF104" s="34"/>
      <c r="NG104" s="34"/>
      <c r="NH104" s="34"/>
      <c r="NI104" s="34"/>
      <c r="NJ104" s="34"/>
      <c r="NK104" s="34"/>
      <c r="NL104" s="34"/>
      <c r="NM104" s="34"/>
      <c r="NN104" s="34"/>
      <c r="NO104" s="34"/>
      <c r="NP104" s="34"/>
      <c r="NQ104" s="34"/>
      <c r="NR104" s="34"/>
      <c r="NS104" s="34"/>
      <c r="NT104" s="7">
        <f>COUNTIF(F104:NS104,"x")</f>
        <v>1</v>
      </c>
      <c r="NU104" s="81"/>
      <c r="NV104" s="32">
        <f>IF(NX104=0,"0",NX104/NX103)</f>
        <v>1</v>
      </c>
      <c r="NW104" s="37">
        <f t="shared" si="254"/>
        <v>0</v>
      </c>
      <c r="NX104" s="36">
        <f>COUNTIF(F104:AU104,"x")</f>
        <v>1</v>
      </c>
      <c r="NY104" s="81"/>
      <c r="NZ104" s="32" t="str">
        <f>IF(OB104=0,"0",OB104/OB103)</f>
        <v>0</v>
      </c>
      <c r="OA104" s="37">
        <f t="shared" si="255"/>
        <v>0</v>
      </c>
      <c r="OB104" s="36">
        <f>COUNTIF(AV104:CK104,"x")</f>
        <v>0</v>
      </c>
      <c r="OC104" s="81"/>
      <c r="OD104" s="32" t="str">
        <f>IF(OF104=0,"0",OF104/OF103)</f>
        <v>0</v>
      </c>
      <c r="OE104" s="37">
        <f t="shared" si="256"/>
        <v>0</v>
      </c>
      <c r="OF104" s="36">
        <f>COUNTIF(CL104:EA104,"x")</f>
        <v>0</v>
      </c>
      <c r="OG104" s="81"/>
      <c r="OH104" s="32" t="str">
        <f>IF(OJ104=0,"0",OJ104/OJ103)</f>
        <v>0</v>
      </c>
      <c r="OI104" s="37">
        <f t="shared" si="257"/>
        <v>0</v>
      </c>
      <c r="OJ104" s="36">
        <f>COUNTIF(EB104:FQ104,"x")</f>
        <v>0</v>
      </c>
      <c r="OK104" s="74"/>
      <c r="OL104" s="32" t="str">
        <f>IF(ON104=0,"0",ON104/ON103)</f>
        <v>0</v>
      </c>
      <c r="OM104" s="37">
        <f t="shared" si="258"/>
        <v>0</v>
      </c>
      <c r="ON104" s="36">
        <f>COUNTIF(FR104:HG104,"x")</f>
        <v>0</v>
      </c>
      <c r="OO104" s="74"/>
      <c r="OP104" s="32" t="str">
        <f>IF(OR104=0,"0",OR104/OR103)</f>
        <v>0</v>
      </c>
      <c r="OQ104" s="37">
        <f t="shared" si="259"/>
        <v>0</v>
      </c>
      <c r="OR104" s="36">
        <f>COUNTIF(HH104:IW104,"x")</f>
        <v>0</v>
      </c>
      <c r="OS104" s="74"/>
      <c r="OT104" s="32" t="str">
        <f>IF(OV104=0,"0",OV104/OV103)</f>
        <v>0</v>
      </c>
      <c r="OU104" s="37">
        <f t="shared" si="260"/>
        <v>0</v>
      </c>
      <c r="OV104" s="36">
        <f>COUNTIF(IX104:KM104,"x")</f>
        <v>0</v>
      </c>
      <c r="OW104" s="74"/>
      <c r="OX104" s="32" t="str">
        <f>IF(OZ104=0,"0",OZ104/OZ103)</f>
        <v>0</v>
      </c>
      <c r="OY104" s="37">
        <f t="shared" si="261"/>
        <v>0</v>
      </c>
      <c r="OZ104" s="36">
        <f>COUNTIF(KN104:MC104,"x")</f>
        <v>0</v>
      </c>
      <c r="PA104" s="74"/>
      <c r="PB104" s="32" t="str">
        <f>IF(PD104=0,"0",PD104/PD103)</f>
        <v>0</v>
      </c>
      <c r="PC104" s="37">
        <f t="shared" si="262"/>
        <v>0</v>
      </c>
      <c r="PD104" s="36">
        <f>COUNTIF(MD104:NS104,"x")</f>
        <v>0</v>
      </c>
      <c r="PE104" s="74"/>
    </row>
    <row r="105" spans="1:421" ht="15.75" customHeight="1" outlineLevel="1" x14ac:dyDescent="0.25">
      <c r="C105" s="82" t="s">
        <v>55</v>
      </c>
      <c r="D105" s="71"/>
      <c r="E105" s="53" t="s">
        <v>8</v>
      </c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69"/>
      <c r="Q105" s="33"/>
      <c r="R105" s="33"/>
      <c r="S105" s="33"/>
      <c r="T105" s="33"/>
      <c r="U105" s="33"/>
      <c r="V105" s="33"/>
      <c r="W105" s="69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  <c r="HI105" s="33"/>
      <c r="HJ105" s="33"/>
      <c r="HK105" s="33"/>
      <c r="HL105" s="33"/>
      <c r="HM105" s="33"/>
      <c r="HN105" s="33"/>
      <c r="HO105" s="33"/>
      <c r="HP105" s="33"/>
      <c r="HQ105" s="33"/>
      <c r="HR105" s="33"/>
      <c r="HS105" s="33"/>
      <c r="HT105" s="33"/>
      <c r="HU105" s="33"/>
      <c r="HV105" s="33"/>
      <c r="HW105" s="33"/>
      <c r="HX105" s="33"/>
      <c r="HY105" s="33"/>
      <c r="HZ105" s="33"/>
      <c r="IA105" s="33"/>
      <c r="IB105" s="33"/>
      <c r="IC105" s="33"/>
      <c r="ID105" s="33"/>
      <c r="IE105" s="33"/>
      <c r="IF105" s="33"/>
      <c r="IG105" s="33"/>
      <c r="IH105" s="33"/>
      <c r="II105" s="33"/>
      <c r="IJ105" s="33"/>
      <c r="IK105" s="33"/>
      <c r="IL105" s="33"/>
      <c r="IM105" s="33"/>
      <c r="IN105" s="33"/>
      <c r="IO105" s="33"/>
      <c r="IP105" s="33"/>
      <c r="IQ105" s="33"/>
      <c r="IR105" s="33"/>
      <c r="IS105" s="33"/>
      <c r="IT105" s="33"/>
      <c r="IU105" s="33"/>
      <c r="IV105" s="33"/>
      <c r="IW105" s="33"/>
      <c r="IX105" s="33"/>
      <c r="IY105" s="33"/>
      <c r="IZ105" s="33"/>
      <c r="JA105" s="33"/>
      <c r="JB105" s="33"/>
      <c r="JC105" s="33"/>
      <c r="JD105" s="33"/>
      <c r="JE105" s="33"/>
      <c r="JF105" s="33"/>
      <c r="JG105" s="33"/>
      <c r="JH105" s="33"/>
      <c r="JI105" s="33"/>
      <c r="JJ105" s="33"/>
      <c r="JK105" s="33"/>
      <c r="JL105" s="33"/>
      <c r="JM105" s="33"/>
      <c r="JN105" s="33"/>
      <c r="JO105" s="33"/>
      <c r="JP105" s="33"/>
      <c r="JQ105" s="33"/>
      <c r="JR105" s="33"/>
      <c r="JS105" s="33"/>
      <c r="JT105" s="33"/>
      <c r="JU105" s="33"/>
      <c r="JV105" s="33"/>
      <c r="JW105" s="33"/>
      <c r="JX105" s="33"/>
      <c r="JY105" s="33"/>
      <c r="JZ105" s="33"/>
      <c r="KA105" s="33"/>
      <c r="KB105" s="33"/>
      <c r="KC105" s="33"/>
      <c r="KD105" s="33"/>
      <c r="KE105" s="33"/>
      <c r="KF105" s="33"/>
      <c r="KG105" s="33"/>
      <c r="KH105" s="33"/>
      <c r="KI105" s="33"/>
      <c r="KJ105" s="33"/>
      <c r="KK105" s="33"/>
      <c r="KL105" s="33"/>
      <c r="KM105" s="33"/>
      <c r="KN105" s="33"/>
      <c r="KO105" s="33"/>
      <c r="KP105" s="33"/>
      <c r="KQ105" s="33"/>
      <c r="KR105" s="33"/>
      <c r="KS105" s="33"/>
      <c r="KT105" s="33"/>
      <c r="KU105" s="33"/>
      <c r="KV105" s="33"/>
      <c r="KW105" s="33"/>
      <c r="KX105" s="33"/>
      <c r="KY105" s="33"/>
      <c r="KZ105" s="33"/>
      <c r="LA105" s="33"/>
      <c r="LB105" s="33"/>
      <c r="LC105" s="33"/>
      <c r="LD105" s="33"/>
      <c r="LE105" s="33"/>
      <c r="LF105" s="33"/>
      <c r="LG105" s="33"/>
      <c r="LH105" s="33"/>
      <c r="LI105" s="33"/>
      <c r="LJ105" s="33"/>
      <c r="LK105" s="33"/>
      <c r="LL105" s="33"/>
      <c r="LM105" s="33"/>
      <c r="LN105" s="33"/>
      <c r="LO105" s="33"/>
      <c r="LP105" s="33"/>
      <c r="LQ105" s="33"/>
      <c r="LR105" s="33"/>
      <c r="LS105" s="33"/>
      <c r="LT105" s="33"/>
      <c r="LU105" s="33"/>
      <c r="LV105" s="33"/>
      <c r="LW105" s="33"/>
      <c r="LX105" s="33"/>
      <c r="LY105" s="33"/>
      <c r="LZ105" s="33"/>
      <c r="MA105" s="33"/>
      <c r="MB105" s="33"/>
      <c r="MC105" s="33"/>
      <c r="MD105" s="33"/>
      <c r="ME105" s="33"/>
      <c r="MF105" s="33"/>
      <c r="MG105" s="33"/>
      <c r="MH105" s="33"/>
      <c r="MI105" s="33"/>
      <c r="MJ105" s="33"/>
      <c r="MK105" s="33"/>
      <c r="ML105" s="33"/>
      <c r="MM105" s="33"/>
      <c r="MN105" s="33"/>
      <c r="MO105" s="33"/>
      <c r="MP105" s="33"/>
      <c r="MQ105" s="33"/>
      <c r="MR105" s="33"/>
      <c r="MS105" s="33"/>
      <c r="MT105" s="33"/>
      <c r="MU105" s="33"/>
      <c r="MV105" s="33"/>
      <c r="MW105" s="33"/>
      <c r="MX105" s="33"/>
      <c r="MY105" s="33"/>
      <c r="MZ105" s="33"/>
      <c r="NA105" s="33"/>
      <c r="NB105" s="33"/>
      <c r="NC105" s="33"/>
      <c r="ND105" s="33"/>
      <c r="NE105" s="33"/>
      <c r="NF105" s="33"/>
      <c r="NG105" s="33"/>
      <c r="NH105" s="33"/>
      <c r="NI105" s="33"/>
      <c r="NJ105" s="33"/>
      <c r="NK105" s="33"/>
      <c r="NL105" s="33"/>
      <c r="NM105" s="33"/>
      <c r="NN105" s="33"/>
      <c r="NO105" s="33"/>
      <c r="NP105" s="33"/>
      <c r="NQ105" s="33"/>
      <c r="NR105" s="33"/>
      <c r="NS105" s="33"/>
      <c r="NT105" s="31">
        <f>COUNTIF(F105:NS105,"1")</f>
        <v>0</v>
      </c>
      <c r="NU105" s="80" t="e">
        <f>NT106/NT105</f>
        <v>#DIV/0!</v>
      </c>
      <c r="NV105" s="29">
        <f>+IF(NX105&gt;=1,"1",0)</f>
        <v>0</v>
      </c>
      <c r="NW105" s="38">
        <f t="shared" si="254"/>
        <v>1</v>
      </c>
      <c r="NX105" s="35">
        <f>COUNTIF(F105:AU105,"1")</f>
        <v>0</v>
      </c>
      <c r="NY105" s="80" t="e">
        <f t="shared" ref="NY105" si="263">NX106/NX105</f>
        <v>#DIV/0!</v>
      </c>
      <c r="NZ105" s="29">
        <f>+IF(OB105&gt;=1,"1",0)</f>
        <v>0</v>
      </c>
      <c r="OA105" s="38">
        <f t="shared" si="255"/>
        <v>1</v>
      </c>
      <c r="OB105" s="35">
        <f>COUNTIF(AV105:CK105,"1")</f>
        <v>0</v>
      </c>
      <c r="OC105" s="80" t="e">
        <f>OB106/OB105</f>
        <v>#DIV/0!</v>
      </c>
      <c r="OD105" s="29">
        <f>+IF(OF105&gt;=1,"1",0)</f>
        <v>0</v>
      </c>
      <c r="OE105" s="38">
        <f t="shared" si="256"/>
        <v>1</v>
      </c>
      <c r="OF105" s="35">
        <f>COUNTIF(CL105:EA105,"1")</f>
        <v>0</v>
      </c>
      <c r="OG105" s="80" t="e">
        <f>OF106/OF105</f>
        <v>#DIV/0!</v>
      </c>
      <c r="OH105" s="29">
        <f>+IF(OJ105&gt;=1,"1",0)</f>
        <v>0</v>
      </c>
      <c r="OI105" s="38">
        <f t="shared" si="257"/>
        <v>1</v>
      </c>
      <c r="OJ105" s="35">
        <f>COUNTIF(EB105:FQ105,"1")</f>
        <v>0</v>
      </c>
      <c r="OK105" s="79" t="e">
        <f>OJ106/OJ105</f>
        <v>#DIV/0!</v>
      </c>
      <c r="OL105" s="29">
        <f>+IF(ON105&gt;=1,"1",0)</f>
        <v>0</v>
      </c>
      <c r="OM105" s="38">
        <f t="shared" si="258"/>
        <v>1</v>
      </c>
      <c r="ON105" s="35">
        <f>COUNTIF(FR105:HG105,"1")</f>
        <v>0</v>
      </c>
      <c r="OO105" s="79" t="e">
        <f>ON106/ON105</f>
        <v>#DIV/0!</v>
      </c>
      <c r="OP105" s="29">
        <f>+IF(OR105&gt;=1,"1",0)</f>
        <v>0</v>
      </c>
      <c r="OQ105" s="38">
        <f t="shared" si="259"/>
        <v>1</v>
      </c>
      <c r="OR105" s="35">
        <f>COUNTIF(HH105:IW105,"1")</f>
        <v>0</v>
      </c>
      <c r="OS105" s="79" t="e">
        <f>OR106/OR105</f>
        <v>#DIV/0!</v>
      </c>
      <c r="OT105" s="29">
        <f>+IF(OV105&gt;=1,"1",0)</f>
        <v>0</v>
      </c>
      <c r="OU105" s="38">
        <f t="shared" si="260"/>
        <v>1</v>
      </c>
      <c r="OV105" s="35">
        <f>COUNTIF(IX105:KM105,"1")</f>
        <v>0</v>
      </c>
      <c r="OW105" s="79" t="e">
        <f>OV106/OV105</f>
        <v>#DIV/0!</v>
      </c>
      <c r="OX105" s="29">
        <f>+IF(OZ105&gt;=1,"1",0)</f>
        <v>0</v>
      </c>
      <c r="OY105" s="38">
        <f t="shared" si="261"/>
        <v>1</v>
      </c>
      <c r="OZ105" s="35">
        <f>COUNTIF(KN105:MC105,"1")</f>
        <v>0</v>
      </c>
      <c r="PA105" s="79" t="e">
        <f>OZ106/OZ105</f>
        <v>#DIV/0!</v>
      </c>
      <c r="PB105" s="29">
        <f>+IF(PD105&gt;=1,"1",0)</f>
        <v>0</v>
      </c>
      <c r="PC105" s="38">
        <f t="shared" si="262"/>
        <v>1</v>
      </c>
      <c r="PD105" s="35">
        <f>COUNTIF(MD105:NS105,"1")</f>
        <v>0</v>
      </c>
      <c r="PE105" s="79" t="e">
        <f>PD106/PD105</f>
        <v>#DIV/0!</v>
      </c>
    </row>
    <row r="106" spans="1:421" ht="15.75" customHeight="1" outlineLevel="1" thickBot="1" x14ac:dyDescent="0.3">
      <c r="C106" s="83"/>
      <c r="D106" s="72"/>
      <c r="E106" s="54" t="s">
        <v>9</v>
      </c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70"/>
      <c r="Q106" s="34"/>
      <c r="R106" s="34"/>
      <c r="S106" s="34"/>
      <c r="T106" s="34"/>
      <c r="U106" s="34"/>
      <c r="V106" s="34"/>
      <c r="W106" s="70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  <c r="FS106" s="34"/>
      <c r="FT106" s="34"/>
      <c r="FU106" s="34"/>
      <c r="FV106" s="34"/>
      <c r="FW106" s="34"/>
      <c r="FX106" s="34"/>
      <c r="FY106" s="34"/>
      <c r="FZ106" s="34"/>
      <c r="GA106" s="34"/>
      <c r="GB106" s="34"/>
      <c r="GC106" s="34"/>
      <c r="GD106" s="34"/>
      <c r="GE106" s="34"/>
      <c r="GF106" s="34"/>
      <c r="GG106" s="34"/>
      <c r="GH106" s="34"/>
      <c r="GI106" s="34"/>
      <c r="GJ106" s="34"/>
      <c r="GK106" s="34"/>
      <c r="GL106" s="34"/>
      <c r="GM106" s="34"/>
      <c r="GN106" s="34"/>
      <c r="GO106" s="34"/>
      <c r="GP106" s="34"/>
      <c r="GQ106" s="34"/>
      <c r="GR106" s="34"/>
      <c r="GS106" s="34"/>
      <c r="GT106" s="34"/>
      <c r="GU106" s="34"/>
      <c r="GV106" s="34"/>
      <c r="GW106" s="34"/>
      <c r="GX106" s="34"/>
      <c r="GY106" s="34"/>
      <c r="GZ106" s="34"/>
      <c r="HA106" s="34"/>
      <c r="HB106" s="34"/>
      <c r="HC106" s="34"/>
      <c r="HD106" s="34"/>
      <c r="HE106" s="34"/>
      <c r="HF106" s="34"/>
      <c r="HG106" s="34"/>
      <c r="HH106" s="34"/>
      <c r="HI106" s="34"/>
      <c r="HJ106" s="34"/>
      <c r="HK106" s="34"/>
      <c r="HL106" s="34"/>
      <c r="HM106" s="34"/>
      <c r="HN106" s="34"/>
      <c r="HO106" s="34"/>
      <c r="HP106" s="34"/>
      <c r="HQ106" s="34"/>
      <c r="HR106" s="34"/>
      <c r="HS106" s="34"/>
      <c r="HT106" s="34"/>
      <c r="HU106" s="34"/>
      <c r="HV106" s="34"/>
      <c r="HW106" s="34"/>
      <c r="HX106" s="34"/>
      <c r="HY106" s="34"/>
      <c r="HZ106" s="34"/>
      <c r="IA106" s="34"/>
      <c r="IB106" s="34"/>
      <c r="IC106" s="34"/>
      <c r="ID106" s="34"/>
      <c r="IE106" s="34"/>
      <c r="IF106" s="34"/>
      <c r="IG106" s="34"/>
      <c r="IH106" s="34"/>
      <c r="II106" s="34"/>
      <c r="IJ106" s="34"/>
      <c r="IK106" s="34"/>
      <c r="IL106" s="34"/>
      <c r="IM106" s="34"/>
      <c r="IN106" s="34"/>
      <c r="IO106" s="34"/>
      <c r="IP106" s="34"/>
      <c r="IQ106" s="34"/>
      <c r="IR106" s="34"/>
      <c r="IS106" s="34"/>
      <c r="IT106" s="34"/>
      <c r="IU106" s="34"/>
      <c r="IV106" s="34"/>
      <c r="IW106" s="34"/>
      <c r="IX106" s="34"/>
      <c r="IY106" s="34"/>
      <c r="IZ106" s="34"/>
      <c r="JA106" s="34"/>
      <c r="JB106" s="34"/>
      <c r="JC106" s="34"/>
      <c r="JD106" s="34"/>
      <c r="JE106" s="34"/>
      <c r="JF106" s="34"/>
      <c r="JG106" s="34"/>
      <c r="JH106" s="34"/>
      <c r="JI106" s="34"/>
      <c r="JJ106" s="34"/>
      <c r="JK106" s="34"/>
      <c r="JL106" s="34"/>
      <c r="JM106" s="34"/>
      <c r="JN106" s="34"/>
      <c r="JO106" s="34"/>
      <c r="JP106" s="34"/>
      <c r="JQ106" s="34"/>
      <c r="JR106" s="34"/>
      <c r="JS106" s="34"/>
      <c r="JT106" s="34"/>
      <c r="JU106" s="34"/>
      <c r="JV106" s="34"/>
      <c r="JW106" s="34"/>
      <c r="JX106" s="34"/>
      <c r="JY106" s="34"/>
      <c r="JZ106" s="34"/>
      <c r="KA106" s="34"/>
      <c r="KB106" s="34"/>
      <c r="KC106" s="34"/>
      <c r="KD106" s="34"/>
      <c r="KE106" s="34"/>
      <c r="KF106" s="34"/>
      <c r="KG106" s="34"/>
      <c r="KH106" s="34"/>
      <c r="KI106" s="34"/>
      <c r="KJ106" s="34"/>
      <c r="KK106" s="34"/>
      <c r="KL106" s="34"/>
      <c r="KM106" s="34"/>
      <c r="KN106" s="34"/>
      <c r="KO106" s="34"/>
      <c r="KP106" s="34"/>
      <c r="KQ106" s="34"/>
      <c r="KR106" s="34"/>
      <c r="KS106" s="34"/>
      <c r="KT106" s="34"/>
      <c r="KU106" s="34"/>
      <c r="KV106" s="34"/>
      <c r="KW106" s="34"/>
      <c r="KX106" s="34"/>
      <c r="KY106" s="34"/>
      <c r="KZ106" s="34"/>
      <c r="LA106" s="34"/>
      <c r="LB106" s="34"/>
      <c r="LC106" s="34"/>
      <c r="LD106" s="34"/>
      <c r="LE106" s="34"/>
      <c r="LF106" s="34"/>
      <c r="LG106" s="34"/>
      <c r="LH106" s="34"/>
      <c r="LI106" s="34"/>
      <c r="LJ106" s="34"/>
      <c r="LK106" s="34"/>
      <c r="LL106" s="34"/>
      <c r="LM106" s="34"/>
      <c r="LN106" s="34"/>
      <c r="LO106" s="34"/>
      <c r="LP106" s="34"/>
      <c r="LQ106" s="34"/>
      <c r="LR106" s="34"/>
      <c r="LS106" s="34"/>
      <c r="LT106" s="34"/>
      <c r="LU106" s="34"/>
      <c r="LV106" s="34"/>
      <c r="LW106" s="34"/>
      <c r="LX106" s="34"/>
      <c r="LY106" s="34"/>
      <c r="LZ106" s="34"/>
      <c r="MA106" s="34"/>
      <c r="MB106" s="34"/>
      <c r="MC106" s="34"/>
      <c r="MD106" s="34"/>
      <c r="ME106" s="34"/>
      <c r="MF106" s="34"/>
      <c r="MG106" s="34"/>
      <c r="MH106" s="34"/>
      <c r="MI106" s="34"/>
      <c r="MJ106" s="34"/>
      <c r="MK106" s="34"/>
      <c r="ML106" s="34"/>
      <c r="MM106" s="34"/>
      <c r="MN106" s="34"/>
      <c r="MO106" s="34"/>
      <c r="MP106" s="34"/>
      <c r="MQ106" s="34"/>
      <c r="MR106" s="34"/>
      <c r="MS106" s="34"/>
      <c r="MT106" s="34"/>
      <c r="MU106" s="34"/>
      <c r="MV106" s="34"/>
      <c r="MW106" s="34"/>
      <c r="MX106" s="34"/>
      <c r="MY106" s="34"/>
      <c r="MZ106" s="34"/>
      <c r="NA106" s="34"/>
      <c r="NB106" s="34"/>
      <c r="NC106" s="34"/>
      <c r="ND106" s="34"/>
      <c r="NE106" s="34"/>
      <c r="NF106" s="34"/>
      <c r="NG106" s="34"/>
      <c r="NH106" s="34"/>
      <c r="NI106" s="34"/>
      <c r="NJ106" s="34"/>
      <c r="NK106" s="34"/>
      <c r="NL106" s="34"/>
      <c r="NM106" s="34"/>
      <c r="NN106" s="34"/>
      <c r="NO106" s="34"/>
      <c r="NP106" s="34"/>
      <c r="NQ106" s="34"/>
      <c r="NR106" s="34"/>
      <c r="NS106" s="34"/>
      <c r="NT106" s="7">
        <f>COUNTIF(F106:NS106,"x")</f>
        <v>0</v>
      </c>
      <c r="NU106" s="81"/>
      <c r="NV106" s="32" t="str">
        <f>IF(NX106=0,"0",NX106/NX105)</f>
        <v>0</v>
      </c>
      <c r="NW106" s="37">
        <f t="shared" si="254"/>
        <v>0</v>
      </c>
      <c r="NX106" s="36">
        <f>COUNTIF(F106:AU106,"x")</f>
        <v>0</v>
      </c>
      <c r="NY106" s="81"/>
      <c r="NZ106" s="32" t="str">
        <f>IF(OB106=0,"0",OB106/OB105)</f>
        <v>0</v>
      </c>
      <c r="OA106" s="37">
        <f t="shared" si="255"/>
        <v>0</v>
      </c>
      <c r="OB106" s="36">
        <f>COUNTIF(AV106:CK106,"x")</f>
        <v>0</v>
      </c>
      <c r="OC106" s="81"/>
      <c r="OD106" s="32" t="str">
        <f>IF(OF106=0,"0",OF106/OF105)</f>
        <v>0</v>
      </c>
      <c r="OE106" s="37">
        <f t="shared" si="256"/>
        <v>0</v>
      </c>
      <c r="OF106" s="36">
        <f>COUNTIF(CL106:EA106,"x")</f>
        <v>0</v>
      </c>
      <c r="OG106" s="81"/>
      <c r="OH106" s="32" t="str">
        <f>IF(OJ106=0,"0",OJ106/OJ105)</f>
        <v>0</v>
      </c>
      <c r="OI106" s="37">
        <f t="shared" si="257"/>
        <v>0</v>
      </c>
      <c r="OJ106" s="36">
        <f>COUNTIF(EB106:FQ106,"x")</f>
        <v>0</v>
      </c>
      <c r="OK106" s="74"/>
      <c r="OL106" s="32" t="str">
        <f>IF(ON106=0,"0",ON106/ON105)</f>
        <v>0</v>
      </c>
      <c r="OM106" s="37">
        <f t="shared" si="258"/>
        <v>0</v>
      </c>
      <c r="ON106" s="36">
        <f>COUNTIF(FR106:HG106,"x")</f>
        <v>0</v>
      </c>
      <c r="OO106" s="74"/>
      <c r="OP106" s="32" t="str">
        <f>IF(OR106=0,"0",OR106/OR105)</f>
        <v>0</v>
      </c>
      <c r="OQ106" s="37">
        <f t="shared" si="259"/>
        <v>0</v>
      </c>
      <c r="OR106" s="36">
        <f>COUNTIF(HH106:IW106,"x")</f>
        <v>0</v>
      </c>
      <c r="OS106" s="74"/>
      <c r="OT106" s="32" t="str">
        <f>IF(OV106=0,"0",OV106/OV105)</f>
        <v>0</v>
      </c>
      <c r="OU106" s="37">
        <f t="shared" si="260"/>
        <v>0</v>
      </c>
      <c r="OV106" s="36">
        <f>COUNTIF(IX106:KM106,"x")</f>
        <v>0</v>
      </c>
      <c r="OW106" s="74"/>
      <c r="OX106" s="32" t="str">
        <f>IF(OZ106=0,"0",OZ106/OZ105)</f>
        <v>0</v>
      </c>
      <c r="OY106" s="37">
        <f t="shared" si="261"/>
        <v>0</v>
      </c>
      <c r="OZ106" s="36">
        <f>COUNTIF(KN106:MC106,"x")</f>
        <v>0</v>
      </c>
      <c r="PA106" s="74"/>
      <c r="PB106" s="32" t="str">
        <f>IF(PD106=0,"0",PD106/PD105)</f>
        <v>0</v>
      </c>
      <c r="PC106" s="37">
        <f t="shared" si="262"/>
        <v>0</v>
      </c>
      <c r="PD106" s="36">
        <f>COUNTIF(MD106:NS106,"x")</f>
        <v>0</v>
      </c>
      <c r="PE106" s="74"/>
    </row>
    <row r="107" spans="1:421" ht="15.75" customHeight="1" outlineLevel="1" x14ac:dyDescent="0.25">
      <c r="C107" s="82" t="s">
        <v>101</v>
      </c>
      <c r="D107" s="59"/>
      <c r="E107" s="53" t="s">
        <v>8</v>
      </c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69"/>
      <c r="Q107" s="33"/>
      <c r="R107" s="33"/>
      <c r="S107" s="33"/>
      <c r="T107" s="33"/>
      <c r="U107" s="33"/>
      <c r="V107" s="33"/>
      <c r="W107" s="69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  <c r="HI107" s="33"/>
      <c r="HJ107" s="33"/>
      <c r="HK107" s="33"/>
      <c r="HL107" s="33"/>
      <c r="HM107" s="33"/>
      <c r="HN107" s="33"/>
      <c r="HO107" s="33"/>
      <c r="HP107" s="33"/>
      <c r="HQ107" s="33"/>
      <c r="HR107" s="33"/>
      <c r="HS107" s="33"/>
      <c r="HT107" s="33"/>
      <c r="HU107" s="33"/>
      <c r="HV107" s="33"/>
      <c r="HW107" s="33"/>
      <c r="HX107" s="33"/>
      <c r="HY107" s="33"/>
      <c r="HZ107" s="33"/>
      <c r="IA107" s="33"/>
      <c r="IB107" s="33"/>
      <c r="IC107" s="33"/>
      <c r="ID107" s="33"/>
      <c r="IE107" s="33"/>
      <c r="IF107" s="33"/>
      <c r="IG107" s="33"/>
      <c r="IH107" s="33"/>
      <c r="II107" s="33"/>
      <c r="IJ107" s="33"/>
      <c r="IK107" s="33"/>
      <c r="IL107" s="33"/>
      <c r="IM107" s="33"/>
      <c r="IN107" s="33"/>
      <c r="IO107" s="33"/>
      <c r="IP107" s="33"/>
      <c r="IQ107" s="33"/>
      <c r="IR107" s="33"/>
      <c r="IS107" s="33"/>
      <c r="IT107" s="33"/>
      <c r="IU107" s="33"/>
      <c r="IV107" s="33"/>
      <c r="IW107" s="33"/>
      <c r="IX107" s="33"/>
      <c r="IY107" s="33"/>
      <c r="IZ107" s="33"/>
      <c r="JA107" s="33"/>
      <c r="JB107" s="33"/>
      <c r="JC107" s="33"/>
      <c r="JD107" s="33"/>
      <c r="JE107" s="33"/>
      <c r="JF107" s="33"/>
      <c r="JG107" s="33"/>
      <c r="JH107" s="33"/>
      <c r="JI107" s="33"/>
      <c r="JJ107" s="33"/>
      <c r="JK107" s="33"/>
      <c r="JL107" s="33"/>
      <c r="JM107" s="33"/>
      <c r="JN107" s="33"/>
      <c r="JO107" s="33"/>
      <c r="JP107" s="33"/>
      <c r="JQ107" s="33"/>
      <c r="JR107" s="33"/>
      <c r="JS107" s="33"/>
      <c r="JT107" s="33"/>
      <c r="JU107" s="33"/>
      <c r="JV107" s="33"/>
      <c r="JW107" s="33"/>
      <c r="JX107" s="33"/>
      <c r="JY107" s="33"/>
      <c r="JZ107" s="33"/>
      <c r="KA107" s="33"/>
      <c r="KB107" s="33"/>
      <c r="KC107" s="33"/>
      <c r="KD107" s="33"/>
      <c r="KE107" s="33"/>
      <c r="KF107" s="33"/>
      <c r="KG107" s="33"/>
      <c r="KH107" s="33"/>
      <c r="KI107" s="33"/>
      <c r="KJ107" s="33"/>
      <c r="KK107" s="33"/>
      <c r="KL107" s="33"/>
      <c r="KM107" s="33"/>
      <c r="KN107" s="33"/>
      <c r="KO107" s="33"/>
      <c r="KP107" s="33"/>
      <c r="KQ107" s="33"/>
      <c r="KR107" s="33"/>
      <c r="KS107" s="33"/>
      <c r="KT107" s="33"/>
      <c r="KU107" s="33"/>
      <c r="KV107" s="33"/>
      <c r="KW107" s="33"/>
      <c r="KX107" s="33"/>
      <c r="KY107" s="33"/>
      <c r="KZ107" s="33"/>
      <c r="LA107" s="33"/>
      <c r="LB107" s="33"/>
      <c r="LC107" s="33"/>
      <c r="LD107" s="33"/>
      <c r="LE107" s="33"/>
      <c r="LF107" s="33"/>
      <c r="LG107" s="33"/>
      <c r="LH107" s="33"/>
      <c r="LI107" s="33"/>
      <c r="LJ107" s="33"/>
      <c r="LK107" s="33"/>
      <c r="LL107" s="33"/>
      <c r="LM107" s="33"/>
      <c r="LN107" s="33"/>
      <c r="LO107" s="33"/>
      <c r="LP107" s="33"/>
      <c r="LQ107" s="33"/>
      <c r="LR107" s="33"/>
      <c r="LS107" s="33"/>
      <c r="LT107" s="33"/>
      <c r="LU107" s="33"/>
      <c r="LV107" s="33"/>
      <c r="LW107" s="33"/>
      <c r="LX107" s="33"/>
      <c r="LY107" s="33"/>
      <c r="LZ107" s="33"/>
      <c r="MA107" s="33"/>
      <c r="MB107" s="33"/>
      <c r="MC107" s="33"/>
      <c r="MD107" s="33"/>
      <c r="ME107" s="33"/>
      <c r="MF107" s="33"/>
      <c r="MG107" s="33"/>
      <c r="MH107" s="33"/>
      <c r="MI107" s="33"/>
      <c r="MJ107" s="33"/>
      <c r="MK107" s="33"/>
      <c r="ML107" s="33"/>
      <c r="MM107" s="33"/>
      <c r="MN107" s="33"/>
      <c r="MO107" s="33"/>
      <c r="MP107" s="33"/>
      <c r="MQ107" s="33"/>
      <c r="MR107" s="33"/>
      <c r="MS107" s="33"/>
      <c r="MT107" s="33"/>
      <c r="MU107" s="33"/>
      <c r="MV107" s="33"/>
      <c r="MW107" s="33"/>
      <c r="MX107" s="33"/>
      <c r="MY107" s="33"/>
      <c r="MZ107" s="33"/>
      <c r="NA107" s="33"/>
      <c r="NB107" s="33"/>
      <c r="NC107" s="33"/>
      <c r="ND107" s="33"/>
      <c r="NE107" s="33"/>
      <c r="NF107" s="33"/>
      <c r="NG107" s="33"/>
      <c r="NH107" s="33"/>
      <c r="NI107" s="33"/>
      <c r="NJ107" s="33"/>
      <c r="NK107" s="33"/>
      <c r="NL107" s="33"/>
      <c r="NM107" s="33"/>
      <c r="NN107" s="33"/>
      <c r="NO107" s="33"/>
      <c r="NP107" s="33"/>
      <c r="NQ107" s="33"/>
      <c r="NR107" s="33"/>
      <c r="NS107" s="33"/>
      <c r="NT107" s="31">
        <f>COUNTIF(F107:NS107,"1")</f>
        <v>0</v>
      </c>
      <c r="NU107" s="80" t="e">
        <f>NT108/NT107</f>
        <v>#DIV/0!</v>
      </c>
      <c r="NV107" s="29">
        <f>+IF(NX107&gt;=1,"1",0)</f>
        <v>0</v>
      </c>
      <c r="NW107" s="38">
        <f t="shared" si="254"/>
        <v>1</v>
      </c>
      <c r="NX107" s="35">
        <f>COUNTIF(F107:AU107,"1")</f>
        <v>0</v>
      </c>
      <c r="NY107" s="80" t="e">
        <f t="shared" ref="NY107" si="264">NX108/NX107</f>
        <v>#DIV/0!</v>
      </c>
      <c r="NZ107" s="29">
        <f>+IF(OB107&gt;=1,"1",0)</f>
        <v>0</v>
      </c>
      <c r="OA107" s="38">
        <f t="shared" si="255"/>
        <v>1</v>
      </c>
      <c r="OB107" s="35">
        <f>COUNTIF(AV107:CK107,"1")</f>
        <v>0</v>
      </c>
      <c r="OC107" s="80" t="e">
        <f>OB108/OB107</f>
        <v>#DIV/0!</v>
      </c>
      <c r="OD107" s="29">
        <f>+IF(OF107&gt;=1,"1",0)</f>
        <v>0</v>
      </c>
      <c r="OE107" s="38">
        <f t="shared" si="256"/>
        <v>1</v>
      </c>
      <c r="OF107" s="35">
        <f>COUNTIF(CL107:EA107,"1")</f>
        <v>0</v>
      </c>
      <c r="OG107" s="80" t="e">
        <f>OF108/OF107</f>
        <v>#DIV/0!</v>
      </c>
      <c r="OH107" s="29">
        <f>+IF(OJ107&gt;=1,"1",0)</f>
        <v>0</v>
      </c>
      <c r="OI107" s="38">
        <f t="shared" si="257"/>
        <v>1</v>
      </c>
      <c r="OJ107" s="35">
        <f>COUNTIF(EB107:FQ107,"1")</f>
        <v>0</v>
      </c>
      <c r="OK107" s="79" t="e">
        <f>OJ108/OJ107</f>
        <v>#DIV/0!</v>
      </c>
      <c r="OL107" s="29">
        <f>+IF(ON107&gt;=1,"1",0)</f>
        <v>0</v>
      </c>
      <c r="OM107" s="38">
        <f t="shared" si="258"/>
        <v>1</v>
      </c>
      <c r="ON107" s="35">
        <f>COUNTIF(FR107:HG107,"1")</f>
        <v>0</v>
      </c>
      <c r="OO107" s="79" t="e">
        <f>ON108/ON107</f>
        <v>#DIV/0!</v>
      </c>
      <c r="OP107" s="29">
        <f>+IF(OR107&gt;=1,"1",0)</f>
        <v>0</v>
      </c>
      <c r="OQ107" s="38">
        <f t="shared" si="259"/>
        <v>1</v>
      </c>
      <c r="OR107" s="35">
        <f>COUNTIF(HH107:IW107,"1")</f>
        <v>0</v>
      </c>
      <c r="OS107" s="79" t="e">
        <f>OR108/OR107</f>
        <v>#DIV/0!</v>
      </c>
      <c r="OT107" s="29">
        <f>+IF(OV107&gt;=1,"1",0)</f>
        <v>0</v>
      </c>
      <c r="OU107" s="38">
        <f t="shared" si="260"/>
        <v>1</v>
      </c>
      <c r="OV107" s="35">
        <f>COUNTIF(IX107:KM107,"1")</f>
        <v>0</v>
      </c>
      <c r="OW107" s="79" t="e">
        <f>OV108/OV107</f>
        <v>#DIV/0!</v>
      </c>
      <c r="OX107" s="29">
        <f>+IF(OZ107&gt;=1,"1",0)</f>
        <v>0</v>
      </c>
      <c r="OY107" s="38">
        <f t="shared" si="261"/>
        <v>1</v>
      </c>
      <c r="OZ107" s="35">
        <f>COUNTIF(KN107:MC107,"1")</f>
        <v>0</v>
      </c>
      <c r="PA107" s="79" t="e">
        <f>OZ108/OZ107</f>
        <v>#DIV/0!</v>
      </c>
      <c r="PB107" s="29">
        <f>+IF(PD107&gt;=1,"1",0)</f>
        <v>0</v>
      </c>
      <c r="PC107" s="38">
        <f t="shared" si="262"/>
        <v>1</v>
      </c>
      <c r="PD107" s="35">
        <f>COUNTIF(MD107:NS107,"1")</f>
        <v>0</v>
      </c>
      <c r="PE107" s="79" t="e">
        <f>PD108/PD107</f>
        <v>#DIV/0!</v>
      </c>
    </row>
    <row r="108" spans="1:421" ht="15.75" customHeight="1" outlineLevel="1" thickBot="1" x14ac:dyDescent="0.3">
      <c r="C108" s="83"/>
      <c r="D108" s="60"/>
      <c r="E108" s="54" t="s">
        <v>9</v>
      </c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70"/>
      <c r="Q108" s="34"/>
      <c r="R108" s="34"/>
      <c r="S108" s="34"/>
      <c r="T108" s="34"/>
      <c r="U108" s="34"/>
      <c r="V108" s="34"/>
      <c r="W108" s="70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  <c r="HB108" s="34"/>
      <c r="HC108" s="34"/>
      <c r="HD108" s="34"/>
      <c r="HE108" s="34"/>
      <c r="HF108" s="34"/>
      <c r="HG108" s="34"/>
      <c r="HH108" s="34"/>
      <c r="HI108" s="34"/>
      <c r="HJ108" s="34"/>
      <c r="HK108" s="34"/>
      <c r="HL108" s="34"/>
      <c r="HM108" s="34"/>
      <c r="HN108" s="34"/>
      <c r="HO108" s="34"/>
      <c r="HP108" s="34"/>
      <c r="HQ108" s="34"/>
      <c r="HR108" s="34"/>
      <c r="HS108" s="34"/>
      <c r="HT108" s="34"/>
      <c r="HU108" s="34"/>
      <c r="HV108" s="34"/>
      <c r="HW108" s="34"/>
      <c r="HX108" s="34"/>
      <c r="HY108" s="34"/>
      <c r="HZ108" s="34"/>
      <c r="IA108" s="34"/>
      <c r="IB108" s="34"/>
      <c r="IC108" s="34"/>
      <c r="ID108" s="34"/>
      <c r="IE108" s="34"/>
      <c r="IF108" s="34"/>
      <c r="IG108" s="34"/>
      <c r="IH108" s="34"/>
      <c r="II108" s="34"/>
      <c r="IJ108" s="34"/>
      <c r="IK108" s="34"/>
      <c r="IL108" s="34"/>
      <c r="IM108" s="34"/>
      <c r="IN108" s="34"/>
      <c r="IO108" s="34"/>
      <c r="IP108" s="34"/>
      <c r="IQ108" s="34"/>
      <c r="IR108" s="34"/>
      <c r="IS108" s="34"/>
      <c r="IT108" s="34"/>
      <c r="IU108" s="34"/>
      <c r="IV108" s="34"/>
      <c r="IW108" s="34"/>
      <c r="IX108" s="34"/>
      <c r="IY108" s="34"/>
      <c r="IZ108" s="34"/>
      <c r="JA108" s="34"/>
      <c r="JB108" s="34"/>
      <c r="JC108" s="34"/>
      <c r="JD108" s="34"/>
      <c r="JE108" s="34"/>
      <c r="JF108" s="34"/>
      <c r="JG108" s="34"/>
      <c r="JH108" s="34"/>
      <c r="JI108" s="34"/>
      <c r="JJ108" s="34"/>
      <c r="JK108" s="34"/>
      <c r="JL108" s="34"/>
      <c r="JM108" s="34"/>
      <c r="JN108" s="34"/>
      <c r="JO108" s="34"/>
      <c r="JP108" s="34"/>
      <c r="JQ108" s="34"/>
      <c r="JR108" s="34"/>
      <c r="JS108" s="34"/>
      <c r="JT108" s="34"/>
      <c r="JU108" s="34"/>
      <c r="JV108" s="34"/>
      <c r="JW108" s="34"/>
      <c r="JX108" s="34"/>
      <c r="JY108" s="34"/>
      <c r="JZ108" s="34"/>
      <c r="KA108" s="34"/>
      <c r="KB108" s="34"/>
      <c r="KC108" s="34"/>
      <c r="KD108" s="34"/>
      <c r="KE108" s="34"/>
      <c r="KF108" s="34"/>
      <c r="KG108" s="34"/>
      <c r="KH108" s="34"/>
      <c r="KI108" s="34"/>
      <c r="KJ108" s="34"/>
      <c r="KK108" s="34"/>
      <c r="KL108" s="34"/>
      <c r="KM108" s="34"/>
      <c r="KN108" s="34"/>
      <c r="KO108" s="34"/>
      <c r="KP108" s="34"/>
      <c r="KQ108" s="34"/>
      <c r="KR108" s="34"/>
      <c r="KS108" s="34"/>
      <c r="KT108" s="34"/>
      <c r="KU108" s="34"/>
      <c r="KV108" s="34"/>
      <c r="KW108" s="34"/>
      <c r="KX108" s="34"/>
      <c r="KY108" s="34"/>
      <c r="KZ108" s="34"/>
      <c r="LA108" s="34"/>
      <c r="LB108" s="34"/>
      <c r="LC108" s="34"/>
      <c r="LD108" s="34"/>
      <c r="LE108" s="34"/>
      <c r="LF108" s="34"/>
      <c r="LG108" s="34"/>
      <c r="LH108" s="34"/>
      <c r="LI108" s="34"/>
      <c r="LJ108" s="34"/>
      <c r="LK108" s="34"/>
      <c r="LL108" s="34"/>
      <c r="LM108" s="34"/>
      <c r="LN108" s="34"/>
      <c r="LO108" s="34"/>
      <c r="LP108" s="34"/>
      <c r="LQ108" s="34"/>
      <c r="LR108" s="34"/>
      <c r="LS108" s="34"/>
      <c r="LT108" s="34"/>
      <c r="LU108" s="34"/>
      <c r="LV108" s="34"/>
      <c r="LW108" s="34"/>
      <c r="LX108" s="34"/>
      <c r="LY108" s="34"/>
      <c r="LZ108" s="34"/>
      <c r="MA108" s="34"/>
      <c r="MB108" s="34"/>
      <c r="MC108" s="34"/>
      <c r="MD108" s="34"/>
      <c r="ME108" s="34"/>
      <c r="MF108" s="34"/>
      <c r="MG108" s="34"/>
      <c r="MH108" s="34"/>
      <c r="MI108" s="34"/>
      <c r="MJ108" s="34"/>
      <c r="MK108" s="34"/>
      <c r="ML108" s="34"/>
      <c r="MM108" s="34"/>
      <c r="MN108" s="34"/>
      <c r="MO108" s="34"/>
      <c r="MP108" s="34"/>
      <c r="MQ108" s="34"/>
      <c r="MR108" s="34"/>
      <c r="MS108" s="34"/>
      <c r="MT108" s="34"/>
      <c r="MU108" s="34"/>
      <c r="MV108" s="34"/>
      <c r="MW108" s="34"/>
      <c r="MX108" s="34"/>
      <c r="MY108" s="34"/>
      <c r="MZ108" s="34"/>
      <c r="NA108" s="34"/>
      <c r="NB108" s="34"/>
      <c r="NC108" s="34"/>
      <c r="ND108" s="34"/>
      <c r="NE108" s="34"/>
      <c r="NF108" s="34"/>
      <c r="NG108" s="34"/>
      <c r="NH108" s="34"/>
      <c r="NI108" s="34"/>
      <c r="NJ108" s="34"/>
      <c r="NK108" s="34"/>
      <c r="NL108" s="34"/>
      <c r="NM108" s="34"/>
      <c r="NN108" s="34"/>
      <c r="NO108" s="34"/>
      <c r="NP108" s="34"/>
      <c r="NQ108" s="34"/>
      <c r="NR108" s="34"/>
      <c r="NS108" s="34"/>
      <c r="NT108" s="7">
        <f>COUNTIF(F108:NS108,"x")</f>
        <v>0</v>
      </c>
      <c r="NU108" s="81"/>
      <c r="NV108" s="32" t="str">
        <f>IF(NX108=0,"0",NX108/NX107)</f>
        <v>0</v>
      </c>
      <c r="NW108" s="37">
        <f t="shared" si="254"/>
        <v>0</v>
      </c>
      <c r="NX108" s="36">
        <f>COUNTIF(F108:AU108,"x")</f>
        <v>0</v>
      </c>
      <c r="NY108" s="81"/>
      <c r="NZ108" s="32" t="str">
        <f>IF(OB108=0,"0",OB108/OB107)</f>
        <v>0</v>
      </c>
      <c r="OA108" s="37">
        <f t="shared" si="255"/>
        <v>0</v>
      </c>
      <c r="OB108" s="36">
        <f>COUNTIF(AV108:CK108,"x")</f>
        <v>0</v>
      </c>
      <c r="OC108" s="81"/>
      <c r="OD108" s="32" t="str">
        <f>IF(OF108=0,"0",OF108/OF107)</f>
        <v>0</v>
      </c>
      <c r="OE108" s="37">
        <f t="shared" si="256"/>
        <v>0</v>
      </c>
      <c r="OF108" s="36">
        <f>COUNTIF(CL108:EA108,"x")</f>
        <v>0</v>
      </c>
      <c r="OG108" s="81"/>
      <c r="OH108" s="32" t="str">
        <f>IF(OJ108=0,"0",OJ108/OJ107)</f>
        <v>0</v>
      </c>
      <c r="OI108" s="37">
        <f t="shared" si="257"/>
        <v>0</v>
      </c>
      <c r="OJ108" s="36">
        <f>COUNTIF(EB108:FQ108,"x")</f>
        <v>0</v>
      </c>
      <c r="OK108" s="74"/>
      <c r="OL108" s="32" t="str">
        <f>IF(ON108=0,"0",ON108/ON107)</f>
        <v>0</v>
      </c>
      <c r="OM108" s="37">
        <f t="shared" si="258"/>
        <v>0</v>
      </c>
      <c r="ON108" s="36">
        <f>COUNTIF(FR108:HG108,"x")</f>
        <v>0</v>
      </c>
      <c r="OO108" s="74"/>
      <c r="OP108" s="32" t="str">
        <f>IF(OR108=0,"0",OR108/OR107)</f>
        <v>0</v>
      </c>
      <c r="OQ108" s="37">
        <f t="shared" si="259"/>
        <v>0</v>
      </c>
      <c r="OR108" s="36">
        <f>COUNTIF(HH108:IW108,"x")</f>
        <v>0</v>
      </c>
      <c r="OS108" s="74"/>
      <c r="OT108" s="32" t="str">
        <f>IF(OV108=0,"0",OV108/OV107)</f>
        <v>0</v>
      </c>
      <c r="OU108" s="37">
        <f t="shared" si="260"/>
        <v>0</v>
      </c>
      <c r="OV108" s="36">
        <f>COUNTIF(IX108:KM108,"x")</f>
        <v>0</v>
      </c>
      <c r="OW108" s="74"/>
      <c r="OX108" s="32" t="str">
        <f>IF(OZ108=0,"0",OZ108/OZ107)</f>
        <v>0</v>
      </c>
      <c r="OY108" s="37">
        <f t="shared" si="261"/>
        <v>0</v>
      </c>
      <c r="OZ108" s="36">
        <f>COUNTIF(KN108:MC108,"x")</f>
        <v>0</v>
      </c>
      <c r="PA108" s="74"/>
      <c r="PB108" s="32" t="str">
        <f>IF(PD108=0,"0",PD108/PD107)</f>
        <v>0</v>
      </c>
      <c r="PC108" s="37">
        <f t="shared" si="262"/>
        <v>0</v>
      </c>
      <c r="PD108" s="36">
        <f>COUNTIF(MD108:NS108,"x")</f>
        <v>0</v>
      </c>
      <c r="PE108" s="74"/>
    </row>
    <row r="109" spans="1:421" ht="15.75" customHeight="1" outlineLevel="1" x14ac:dyDescent="0.25">
      <c r="C109" s="82" t="s">
        <v>55</v>
      </c>
      <c r="D109" s="59"/>
      <c r="E109" s="53" t="s">
        <v>8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69"/>
      <c r="Q109" s="33"/>
      <c r="R109" s="33"/>
      <c r="S109" s="33"/>
      <c r="T109" s="33"/>
      <c r="U109" s="33"/>
      <c r="V109" s="33"/>
      <c r="W109" s="69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  <c r="HI109" s="33"/>
      <c r="HJ109" s="33"/>
      <c r="HK109" s="33"/>
      <c r="HL109" s="33"/>
      <c r="HM109" s="33"/>
      <c r="HN109" s="33"/>
      <c r="HO109" s="33"/>
      <c r="HP109" s="33"/>
      <c r="HQ109" s="33"/>
      <c r="HR109" s="33"/>
      <c r="HS109" s="33"/>
      <c r="HT109" s="33"/>
      <c r="HU109" s="33"/>
      <c r="HV109" s="33"/>
      <c r="HW109" s="33"/>
      <c r="HX109" s="33"/>
      <c r="HY109" s="33"/>
      <c r="HZ109" s="33"/>
      <c r="IA109" s="33"/>
      <c r="IB109" s="33"/>
      <c r="IC109" s="33"/>
      <c r="ID109" s="33"/>
      <c r="IE109" s="33"/>
      <c r="IF109" s="33"/>
      <c r="IG109" s="33"/>
      <c r="IH109" s="33"/>
      <c r="II109" s="33"/>
      <c r="IJ109" s="33"/>
      <c r="IK109" s="33"/>
      <c r="IL109" s="33"/>
      <c r="IM109" s="33"/>
      <c r="IN109" s="33"/>
      <c r="IO109" s="33"/>
      <c r="IP109" s="33"/>
      <c r="IQ109" s="33"/>
      <c r="IR109" s="33"/>
      <c r="IS109" s="33"/>
      <c r="IT109" s="33"/>
      <c r="IU109" s="33"/>
      <c r="IV109" s="33"/>
      <c r="IW109" s="33"/>
      <c r="IX109" s="33"/>
      <c r="IY109" s="33"/>
      <c r="IZ109" s="33"/>
      <c r="JA109" s="33"/>
      <c r="JB109" s="33"/>
      <c r="JC109" s="33"/>
      <c r="JD109" s="33"/>
      <c r="JE109" s="33"/>
      <c r="JF109" s="33"/>
      <c r="JG109" s="33"/>
      <c r="JH109" s="33"/>
      <c r="JI109" s="33"/>
      <c r="JJ109" s="33"/>
      <c r="JK109" s="33"/>
      <c r="JL109" s="33"/>
      <c r="JM109" s="33"/>
      <c r="JN109" s="33"/>
      <c r="JO109" s="33"/>
      <c r="JP109" s="33"/>
      <c r="JQ109" s="33"/>
      <c r="JR109" s="33"/>
      <c r="JS109" s="33"/>
      <c r="JT109" s="33"/>
      <c r="JU109" s="33"/>
      <c r="JV109" s="33"/>
      <c r="JW109" s="33"/>
      <c r="JX109" s="33"/>
      <c r="JY109" s="33"/>
      <c r="JZ109" s="33"/>
      <c r="KA109" s="33"/>
      <c r="KB109" s="33"/>
      <c r="KC109" s="33"/>
      <c r="KD109" s="33"/>
      <c r="KE109" s="33"/>
      <c r="KF109" s="33"/>
      <c r="KG109" s="33"/>
      <c r="KH109" s="33"/>
      <c r="KI109" s="33"/>
      <c r="KJ109" s="33"/>
      <c r="KK109" s="33"/>
      <c r="KL109" s="33"/>
      <c r="KM109" s="33"/>
      <c r="KN109" s="33"/>
      <c r="KO109" s="33"/>
      <c r="KP109" s="33"/>
      <c r="KQ109" s="33"/>
      <c r="KR109" s="33"/>
      <c r="KS109" s="33"/>
      <c r="KT109" s="33"/>
      <c r="KU109" s="33"/>
      <c r="KV109" s="33"/>
      <c r="KW109" s="33"/>
      <c r="KX109" s="33"/>
      <c r="KY109" s="33"/>
      <c r="KZ109" s="33"/>
      <c r="LA109" s="33"/>
      <c r="LB109" s="33"/>
      <c r="LC109" s="33"/>
      <c r="LD109" s="33"/>
      <c r="LE109" s="33"/>
      <c r="LF109" s="33"/>
      <c r="LG109" s="33"/>
      <c r="LH109" s="33"/>
      <c r="LI109" s="33"/>
      <c r="LJ109" s="33"/>
      <c r="LK109" s="33"/>
      <c r="LL109" s="33"/>
      <c r="LM109" s="33"/>
      <c r="LN109" s="33"/>
      <c r="LO109" s="33"/>
      <c r="LP109" s="33"/>
      <c r="LQ109" s="33"/>
      <c r="LR109" s="33"/>
      <c r="LS109" s="33"/>
      <c r="LT109" s="33"/>
      <c r="LU109" s="33"/>
      <c r="LV109" s="33"/>
      <c r="LW109" s="33"/>
      <c r="LX109" s="33"/>
      <c r="LY109" s="33"/>
      <c r="LZ109" s="33"/>
      <c r="MA109" s="33"/>
      <c r="MB109" s="33"/>
      <c r="MC109" s="33"/>
      <c r="MD109" s="33"/>
      <c r="ME109" s="33"/>
      <c r="MF109" s="33"/>
      <c r="MG109" s="33"/>
      <c r="MH109" s="33"/>
      <c r="MI109" s="33"/>
      <c r="MJ109" s="33"/>
      <c r="MK109" s="33"/>
      <c r="ML109" s="33"/>
      <c r="MM109" s="33"/>
      <c r="MN109" s="33"/>
      <c r="MO109" s="33"/>
      <c r="MP109" s="33"/>
      <c r="MQ109" s="33"/>
      <c r="MR109" s="33"/>
      <c r="MS109" s="33"/>
      <c r="MT109" s="33"/>
      <c r="MU109" s="33"/>
      <c r="MV109" s="33"/>
      <c r="MW109" s="33"/>
      <c r="MX109" s="33"/>
      <c r="MY109" s="33"/>
      <c r="MZ109" s="33"/>
      <c r="NA109" s="33"/>
      <c r="NB109" s="33"/>
      <c r="NC109" s="33"/>
      <c r="ND109" s="33"/>
      <c r="NE109" s="33"/>
      <c r="NF109" s="33"/>
      <c r="NG109" s="33"/>
      <c r="NH109" s="33"/>
      <c r="NI109" s="33"/>
      <c r="NJ109" s="33"/>
      <c r="NK109" s="33"/>
      <c r="NL109" s="33"/>
      <c r="NM109" s="33"/>
      <c r="NN109" s="33"/>
      <c r="NO109" s="33"/>
      <c r="NP109" s="33"/>
      <c r="NQ109" s="33"/>
      <c r="NR109" s="33"/>
      <c r="NS109" s="33"/>
      <c r="NT109" s="31">
        <f>COUNTIF(F109:NS109,"1")</f>
        <v>0</v>
      </c>
      <c r="NU109" s="80" t="e">
        <f>NT110/NT109</f>
        <v>#DIV/0!</v>
      </c>
      <c r="NV109" s="29">
        <f>+IF(NX109&gt;=1,"1",0)</f>
        <v>0</v>
      </c>
      <c r="NW109" s="38">
        <f t="shared" si="254"/>
        <v>1</v>
      </c>
      <c r="NX109" s="35">
        <f>COUNTIF(F109:AU109,"1")</f>
        <v>0</v>
      </c>
      <c r="NY109" s="80" t="e">
        <f t="shared" ref="NY109" si="265">NX110/NX109</f>
        <v>#DIV/0!</v>
      </c>
      <c r="NZ109" s="29">
        <f>+IF(OB109&gt;=1,"1",0)</f>
        <v>0</v>
      </c>
      <c r="OA109" s="38">
        <f t="shared" si="255"/>
        <v>1</v>
      </c>
      <c r="OB109" s="35">
        <f>COUNTIF(AV109:CK109,"1")</f>
        <v>0</v>
      </c>
      <c r="OC109" s="80" t="e">
        <f>OB110/OB109</f>
        <v>#DIV/0!</v>
      </c>
      <c r="OD109" s="29">
        <f>+IF(OF109&gt;=1,"1",0)</f>
        <v>0</v>
      </c>
      <c r="OE109" s="38">
        <f t="shared" si="256"/>
        <v>1</v>
      </c>
      <c r="OF109" s="35">
        <f>COUNTIF(CL109:EA109,"1")</f>
        <v>0</v>
      </c>
      <c r="OG109" s="80" t="e">
        <f>OF110/OF109</f>
        <v>#DIV/0!</v>
      </c>
      <c r="OH109" s="29">
        <f>+IF(OJ109&gt;=1,"1",0)</f>
        <v>0</v>
      </c>
      <c r="OI109" s="38">
        <f t="shared" si="257"/>
        <v>1</v>
      </c>
      <c r="OJ109" s="35">
        <f>COUNTIF(EB109:FQ109,"1")</f>
        <v>0</v>
      </c>
      <c r="OK109" s="79" t="e">
        <f>OJ110/OJ109</f>
        <v>#DIV/0!</v>
      </c>
      <c r="OL109" s="29">
        <f>+IF(ON109&gt;=1,"1",0)</f>
        <v>0</v>
      </c>
      <c r="OM109" s="38">
        <f t="shared" si="258"/>
        <v>1</v>
      </c>
      <c r="ON109" s="35">
        <f>COUNTIF(FR109:HG109,"1")</f>
        <v>0</v>
      </c>
      <c r="OO109" s="79" t="e">
        <f>ON110/ON109</f>
        <v>#DIV/0!</v>
      </c>
      <c r="OP109" s="29">
        <f>+IF(OR109&gt;=1,"1",0)</f>
        <v>0</v>
      </c>
      <c r="OQ109" s="38">
        <f t="shared" si="259"/>
        <v>1</v>
      </c>
      <c r="OR109" s="35">
        <f>COUNTIF(HH109:IW109,"1")</f>
        <v>0</v>
      </c>
      <c r="OS109" s="79" t="e">
        <f>OR110/OR109</f>
        <v>#DIV/0!</v>
      </c>
      <c r="OT109" s="29">
        <f>+IF(OV109&gt;=1,"1",0)</f>
        <v>0</v>
      </c>
      <c r="OU109" s="38">
        <f t="shared" si="260"/>
        <v>1</v>
      </c>
      <c r="OV109" s="35">
        <f>COUNTIF(IX109:KM109,"1")</f>
        <v>0</v>
      </c>
      <c r="OW109" s="79" t="e">
        <f>OV110/OV109</f>
        <v>#DIV/0!</v>
      </c>
      <c r="OX109" s="29">
        <f>+IF(OZ109&gt;=1,"1",0)</f>
        <v>0</v>
      </c>
      <c r="OY109" s="38">
        <f t="shared" si="261"/>
        <v>1</v>
      </c>
      <c r="OZ109" s="35">
        <f>COUNTIF(KN109:MC109,"1")</f>
        <v>0</v>
      </c>
      <c r="PA109" s="79" t="e">
        <f>OZ110/OZ109</f>
        <v>#DIV/0!</v>
      </c>
      <c r="PB109" s="29">
        <f>+IF(PD109&gt;=1,"1",0)</f>
        <v>0</v>
      </c>
      <c r="PC109" s="38">
        <f t="shared" si="262"/>
        <v>1</v>
      </c>
      <c r="PD109" s="35">
        <f>COUNTIF(MD109:NS109,"1")</f>
        <v>0</v>
      </c>
      <c r="PE109" s="79" t="e">
        <f>PD110/PD109</f>
        <v>#DIV/0!</v>
      </c>
    </row>
    <row r="110" spans="1:421" ht="15.75" customHeight="1" outlineLevel="1" thickBot="1" x14ac:dyDescent="0.3">
      <c r="C110" s="83"/>
      <c r="D110" s="60"/>
      <c r="E110" s="54" t="s">
        <v>9</v>
      </c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70"/>
      <c r="Q110" s="34"/>
      <c r="R110" s="34"/>
      <c r="S110" s="34"/>
      <c r="T110" s="34"/>
      <c r="U110" s="34"/>
      <c r="V110" s="34"/>
      <c r="W110" s="70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  <c r="HB110" s="34"/>
      <c r="HC110" s="34"/>
      <c r="HD110" s="34"/>
      <c r="HE110" s="34"/>
      <c r="HF110" s="34"/>
      <c r="HG110" s="34"/>
      <c r="HH110" s="34"/>
      <c r="HI110" s="34"/>
      <c r="HJ110" s="34"/>
      <c r="HK110" s="34"/>
      <c r="HL110" s="34"/>
      <c r="HM110" s="34"/>
      <c r="HN110" s="34"/>
      <c r="HO110" s="34"/>
      <c r="HP110" s="34"/>
      <c r="HQ110" s="34"/>
      <c r="HR110" s="34"/>
      <c r="HS110" s="34"/>
      <c r="HT110" s="34"/>
      <c r="HU110" s="34"/>
      <c r="HV110" s="34"/>
      <c r="HW110" s="34"/>
      <c r="HX110" s="34"/>
      <c r="HY110" s="34"/>
      <c r="HZ110" s="34"/>
      <c r="IA110" s="34"/>
      <c r="IB110" s="34"/>
      <c r="IC110" s="34"/>
      <c r="ID110" s="34"/>
      <c r="IE110" s="34"/>
      <c r="IF110" s="34"/>
      <c r="IG110" s="34"/>
      <c r="IH110" s="34"/>
      <c r="II110" s="34"/>
      <c r="IJ110" s="34"/>
      <c r="IK110" s="34"/>
      <c r="IL110" s="34"/>
      <c r="IM110" s="34"/>
      <c r="IN110" s="34"/>
      <c r="IO110" s="34"/>
      <c r="IP110" s="34"/>
      <c r="IQ110" s="34"/>
      <c r="IR110" s="34"/>
      <c r="IS110" s="34"/>
      <c r="IT110" s="34"/>
      <c r="IU110" s="34"/>
      <c r="IV110" s="34"/>
      <c r="IW110" s="34"/>
      <c r="IX110" s="34"/>
      <c r="IY110" s="34"/>
      <c r="IZ110" s="34"/>
      <c r="JA110" s="34"/>
      <c r="JB110" s="34"/>
      <c r="JC110" s="34"/>
      <c r="JD110" s="34"/>
      <c r="JE110" s="34"/>
      <c r="JF110" s="34"/>
      <c r="JG110" s="34"/>
      <c r="JH110" s="34"/>
      <c r="JI110" s="34"/>
      <c r="JJ110" s="34"/>
      <c r="JK110" s="34"/>
      <c r="JL110" s="34"/>
      <c r="JM110" s="34"/>
      <c r="JN110" s="34"/>
      <c r="JO110" s="34"/>
      <c r="JP110" s="34"/>
      <c r="JQ110" s="34"/>
      <c r="JR110" s="34"/>
      <c r="JS110" s="34"/>
      <c r="JT110" s="34"/>
      <c r="JU110" s="34"/>
      <c r="JV110" s="34"/>
      <c r="JW110" s="34"/>
      <c r="JX110" s="34"/>
      <c r="JY110" s="34"/>
      <c r="JZ110" s="34"/>
      <c r="KA110" s="34"/>
      <c r="KB110" s="34"/>
      <c r="KC110" s="34"/>
      <c r="KD110" s="34"/>
      <c r="KE110" s="34"/>
      <c r="KF110" s="34"/>
      <c r="KG110" s="34"/>
      <c r="KH110" s="34"/>
      <c r="KI110" s="34"/>
      <c r="KJ110" s="34"/>
      <c r="KK110" s="34"/>
      <c r="KL110" s="34"/>
      <c r="KM110" s="34"/>
      <c r="KN110" s="34"/>
      <c r="KO110" s="34"/>
      <c r="KP110" s="34"/>
      <c r="KQ110" s="34"/>
      <c r="KR110" s="34"/>
      <c r="KS110" s="34"/>
      <c r="KT110" s="34"/>
      <c r="KU110" s="34"/>
      <c r="KV110" s="34"/>
      <c r="KW110" s="34"/>
      <c r="KX110" s="34"/>
      <c r="KY110" s="34"/>
      <c r="KZ110" s="34"/>
      <c r="LA110" s="34"/>
      <c r="LB110" s="34"/>
      <c r="LC110" s="34"/>
      <c r="LD110" s="34"/>
      <c r="LE110" s="34"/>
      <c r="LF110" s="34"/>
      <c r="LG110" s="34"/>
      <c r="LH110" s="34"/>
      <c r="LI110" s="34"/>
      <c r="LJ110" s="34"/>
      <c r="LK110" s="34"/>
      <c r="LL110" s="34"/>
      <c r="LM110" s="34"/>
      <c r="LN110" s="34"/>
      <c r="LO110" s="34"/>
      <c r="LP110" s="34"/>
      <c r="LQ110" s="34"/>
      <c r="LR110" s="34"/>
      <c r="LS110" s="34"/>
      <c r="LT110" s="34"/>
      <c r="LU110" s="34"/>
      <c r="LV110" s="34"/>
      <c r="LW110" s="34"/>
      <c r="LX110" s="34"/>
      <c r="LY110" s="34"/>
      <c r="LZ110" s="34"/>
      <c r="MA110" s="34"/>
      <c r="MB110" s="34"/>
      <c r="MC110" s="34"/>
      <c r="MD110" s="34"/>
      <c r="ME110" s="34"/>
      <c r="MF110" s="34"/>
      <c r="MG110" s="34"/>
      <c r="MH110" s="34"/>
      <c r="MI110" s="34"/>
      <c r="MJ110" s="34"/>
      <c r="MK110" s="34"/>
      <c r="ML110" s="34"/>
      <c r="MM110" s="34"/>
      <c r="MN110" s="34"/>
      <c r="MO110" s="34"/>
      <c r="MP110" s="34"/>
      <c r="MQ110" s="34"/>
      <c r="MR110" s="34"/>
      <c r="MS110" s="34"/>
      <c r="MT110" s="34"/>
      <c r="MU110" s="34"/>
      <c r="MV110" s="34"/>
      <c r="MW110" s="34"/>
      <c r="MX110" s="34"/>
      <c r="MY110" s="34"/>
      <c r="MZ110" s="34"/>
      <c r="NA110" s="34"/>
      <c r="NB110" s="34"/>
      <c r="NC110" s="34"/>
      <c r="ND110" s="34"/>
      <c r="NE110" s="34"/>
      <c r="NF110" s="34"/>
      <c r="NG110" s="34"/>
      <c r="NH110" s="34"/>
      <c r="NI110" s="34"/>
      <c r="NJ110" s="34"/>
      <c r="NK110" s="34"/>
      <c r="NL110" s="34"/>
      <c r="NM110" s="34"/>
      <c r="NN110" s="34"/>
      <c r="NO110" s="34"/>
      <c r="NP110" s="34"/>
      <c r="NQ110" s="34"/>
      <c r="NR110" s="34"/>
      <c r="NS110" s="34"/>
      <c r="NT110" s="7">
        <f>COUNTIF(F110:NS110,"x")</f>
        <v>0</v>
      </c>
      <c r="NU110" s="81"/>
      <c r="NV110" s="32" t="str">
        <f>IF(NX110=0,"0",NX110/NX109)</f>
        <v>0</v>
      </c>
      <c r="NW110" s="37">
        <f t="shared" si="254"/>
        <v>0</v>
      </c>
      <c r="NX110" s="36">
        <f>COUNTIF(F110:AU110,"x")</f>
        <v>0</v>
      </c>
      <c r="NY110" s="81"/>
      <c r="NZ110" s="32" t="str">
        <f>IF(OB110=0,"0",OB110/OB109)</f>
        <v>0</v>
      </c>
      <c r="OA110" s="37">
        <f t="shared" si="255"/>
        <v>0</v>
      </c>
      <c r="OB110" s="36">
        <f>COUNTIF(AV110:CK110,"x")</f>
        <v>0</v>
      </c>
      <c r="OC110" s="81"/>
      <c r="OD110" s="32" t="str">
        <f>IF(OF110=0,"0",OF110/OF109)</f>
        <v>0</v>
      </c>
      <c r="OE110" s="37">
        <f t="shared" si="256"/>
        <v>0</v>
      </c>
      <c r="OF110" s="36">
        <f>COUNTIF(CL110:EA110,"x")</f>
        <v>0</v>
      </c>
      <c r="OG110" s="81"/>
      <c r="OH110" s="32" t="str">
        <f>IF(OJ110=0,"0",OJ110/OJ109)</f>
        <v>0</v>
      </c>
      <c r="OI110" s="37">
        <f t="shared" si="257"/>
        <v>0</v>
      </c>
      <c r="OJ110" s="36">
        <f>COUNTIF(EB110:FQ110,"x")</f>
        <v>0</v>
      </c>
      <c r="OK110" s="74"/>
      <c r="OL110" s="32" t="str">
        <f>IF(ON110=0,"0",ON110/ON109)</f>
        <v>0</v>
      </c>
      <c r="OM110" s="37">
        <f t="shared" si="258"/>
        <v>0</v>
      </c>
      <c r="ON110" s="36">
        <f>COUNTIF(FR110:HG110,"x")</f>
        <v>0</v>
      </c>
      <c r="OO110" s="74"/>
      <c r="OP110" s="32" t="str">
        <f>IF(OR110=0,"0",OR110/OR109)</f>
        <v>0</v>
      </c>
      <c r="OQ110" s="37">
        <f t="shared" si="259"/>
        <v>0</v>
      </c>
      <c r="OR110" s="36">
        <f>COUNTIF(HH110:IW110,"x")</f>
        <v>0</v>
      </c>
      <c r="OS110" s="74"/>
      <c r="OT110" s="32" t="str">
        <f>IF(OV110=0,"0",OV110/OV109)</f>
        <v>0</v>
      </c>
      <c r="OU110" s="37">
        <f t="shared" si="260"/>
        <v>0</v>
      </c>
      <c r="OV110" s="36">
        <f>COUNTIF(IX110:KM110,"x")</f>
        <v>0</v>
      </c>
      <c r="OW110" s="74"/>
      <c r="OX110" s="32" t="str">
        <f>IF(OZ110=0,"0",OZ110/OZ109)</f>
        <v>0</v>
      </c>
      <c r="OY110" s="37">
        <f t="shared" si="261"/>
        <v>0</v>
      </c>
      <c r="OZ110" s="36">
        <f>COUNTIF(KN110:MC110,"x")</f>
        <v>0</v>
      </c>
      <c r="PA110" s="74"/>
      <c r="PB110" s="32" t="str">
        <f>IF(PD110=0,"0",PD110/PD109)</f>
        <v>0</v>
      </c>
      <c r="PC110" s="37">
        <f t="shared" si="262"/>
        <v>0</v>
      </c>
      <c r="PD110" s="36">
        <f>COUNTIF(MD110:NS110,"x")</f>
        <v>0</v>
      </c>
      <c r="PE110" s="74"/>
    </row>
    <row r="111" spans="1:421" ht="15.75" customHeight="1" outlineLevel="1" x14ac:dyDescent="0.25">
      <c r="C111" s="82" t="s">
        <v>102</v>
      </c>
      <c r="D111" s="59"/>
      <c r="E111" s="53" t="s">
        <v>8</v>
      </c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69"/>
      <c r="Q111" s="33"/>
      <c r="R111" s="33"/>
      <c r="S111" s="33"/>
      <c r="T111" s="33"/>
      <c r="U111" s="33"/>
      <c r="V111" s="33"/>
      <c r="W111" s="69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  <c r="HI111" s="33"/>
      <c r="HJ111" s="33"/>
      <c r="HK111" s="33"/>
      <c r="HL111" s="33"/>
      <c r="HM111" s="33"/>
      <c r="HN111" s="33"/>
      <c r="HO111" s="33"/>
      <c r="HP111" s="33"/>
      <c r="HQ111" s="33"/>
      <c r="HR111" s="33"/>
      <c r="HS111" s="33"/>
      <c r="HT111" s="33"/>
      <c r="HU111" s="33"/>
      <c r="HV111" s="33"/>
      <c r="HW111" s="33"/>
      <c r="HX111" s="33"/>
      <c r="HY111" s="33"/>
      <c r="HZ111" s="33"/>
      <c r="IA111" s="33"/>
      <c r="IB111" s="33"/>
      <c r="IC111" s="33"/>
      <c r="ID111" s="33"/>
      <c r="IE111" s="33"/>
      <c r="IF111" s="33"/>
      <c r="IG111" s="33"/>
      <c r="IH111" s="33"/>
      <c r="II111" s="33"/>
      <c r="IJ111" s="33"/>
      <c r="IK111" s="33"/>
      <c r="IL111" s="33"/>
      <c r="IM111" s="33"/>
      <c r="IN111" s="33"/>
      <c r="IO111" s="33"/>
      <c r="IP111" s="33"/>
      <c r="IQ111" s="33"/>
      <c r="IR111" s="33"/>
      <c r="IS111" s="33"/>
      <c r="IT111" s="33"/>
      <c r="IU111" s="33"/>
      <c r="IV111" s="33"/>
      <c r="IW111" s="33"/>
      <c r="IX111" s="33"/>
      <c r="IY111" s="33"/>
      <c r="IZ111" s="33"/>
      <c r="JA111" s="33"/>
      <c r="JB111" s="33"/>
      <c r="JC111" s="33"/>
      <c r="JD111" s="33"/>
      <c r="JE111" s="33"/>
      <c r="JF111" s="33"/>
      <c r="JG111" s="33"/>
      <c r="JH111" s="33"/>
      <c r="JI111" s="33"/>
      <c r="JJ111" s="33"/>
      <c r="JK111" s="33"/>
      <c r="JL111" s="33"/>
      <c r="JM111" s="33"/>
      <c r="JN111" s="33"/>
      <c r="JO111" s="33"/>
      <c r="JP111" s="33"/>
      <c r="JQ111" s="33"/>
      <c r="JR111" s="33"/>
      <c r="JS111" s="33"/>
      <c r="JT111" s="33"/>
      <c r="JU111" s="33"/>
      <c r="JV111" s="33"/>
      <c r="JW111" s="33"/>
      <c r="JX111" s="33"/>
      <c r="JY111" s="33"/>
      <c r="JZ111" s="33"/>
      <c r="KA111" s="33"/>
      <c r="KB111" s="33"/>
      <c r="KC111" s="33"/>
      <c r="KD111" s="33"/>
      <c r="KE111" s="33"/>
      <c r="KF111" s="33"/>
      <c r="KG111" s="33"/>
      <c r="KH111" s="33"/>
      <c r="KI111" s="33"/>
      <c r="KJ111" s="33"/>
      <c r="KK111" s="33"/>
      <c r="KL111" s="33"/>
      <c r="KM111" s="33"/>
      <c r="KN111" s="33"/>
      <c r="KO111" s="33"/>
      <c r="KP111" s="33"/>
      <c r="KQ111" s="33"/>
      <c r="KR111" s="33"/>
      <c r="KS111" s="33"/>
      <c r="KT111" s="33"/>
      <c r="KU111" s="33"/>
      <c r="KV111" s="33"/>
      <c r="KW111" s="33"/>
      <c r="KX111" s="33"/>
      <c r="KY111" s="33"/>
      <c r="KZ111" s="33"/>
      <c r="LA111" s="33"/>
      <c r="LB111" s="33"/>
      <c r="LC111" s="33"/>
      <c r="LD111" s="33"/>
      <c r="LE111" s="33"/>
      <c r="LF111" s="33"/>
      <c r="LG111" s="33"/>
      <c r="LH111" s="33"/>
      <c r="LI111" s="33"/>
      <c r="LJ111" s="33"/>
      <c r="LK111" s="33"/>
      <c r="LL111" s="33"/>
      <c r="LM111" s="33"/>
      <c r="LN111" s="33"/>
      <c r="LO111" s="33"/>
      <c r="LP111" s="33"/>
      <c r="LQ111" s="33"/>
      <c r="LR111" s="33"/>
      <c r="LS111" s="33"/>
      <c r="LT111" s="33"/>
      <c r="LU111" s="33"/>
      <c r="LV111" s="33"/>
      <c r="LW111" s="33"/>
      <c r="LX111" s="33"/>
      <c r="LY111" s="33"/>
      <c r="LZ111" s="33"/>
      <c r="MA111" s="33"/>
      <c r="MB111" s="33"/>
      <c r="MC111" s="33"/>
      <c r="MD111" s="33"/>
      <c r="ME111" s="33"/>
      <c r="MF111" s="33"/>
      <c r="MG111" s="33"/>
      <c r="MH111" s="33"/>
      <c r="MI111" s="33"/>
      <c r="MJ111" s="33"/>
      <c r="MK111" s="33"/>
      <c r="ML111" s="33"/>
      <c r="MM111" s="33"/>
      <c r="MN111" s="33"/>
      <c r="MO111" s="33"/>
      <c r="MP111" s="33"/>
      <c r="MQ111" s="33"/>
      <c r="MR111" s="33"/>
      <c r="MS111" s="33"/>
      <c r="MT111" s="33"/>
      <c r="MU111" s="33"/>
      <c r="MV111" s="33"/>
      <c r="MW111" s="33"/>
      <c r="MX111" s="33"/>
      <c r="MY111" s="33"/>
      <c r="MZ111" s="33"/>
      <c r="NA111" s="33"/>
      <c r="NB111" s="33"/>
      <c r="NC111" s="33"/>
      <c r="ND111" s="33"/>
      <c r="NE111" s="33"/>
      <c r="NF111" s="33"/>
      <c r="NG111" s="33"/>
      <c r="NH111" s="33"/>
      <c r="NI111" s="33"/>
      <c r="NJ111" s="33"/>
      <c r="NK111" s="33"/>
      <c r="NL111" s="33"/>
      <c r="NM111" s="33"/>
      <c r="NN111" s="33"/>
      <c r="NO111" s="33"/>
      <c r="NP111" s="33"/>
      <c r="NQ111" s="33"/>
      <c r="NR111" s="33"/>
      <c r="NS111" s="33"/>
      <c r="NT111" s="31">
        <f>COUNTIF(F111:NS111,"1")</f>
        <v>0</v>
      </c>
      <c r="NU111" s="80" t="e">
        <f>NT112/NT111</f>
        <v>#DIV/0!</v>
      </c>
      <c r="NV111" s="29">
        <f>+IF(NX111&gt;=1,"1",0)</f>
        <v>0</v>
      </c>
      <c r="NW111" s="38">
        <f t="shared" si="254"/>
        <v>1</v>
      </c>
      <c r="NX111" s="35">
        <f>COUNTIF(F111:AU111,"1")</f>
        <v>0</v>
      </c>
      <c r="NY111" s="80" t="e">
        <f t="shared" ref="NY111" si="266">NX112/NX111</f>
        <v>#DIV/0!</v>
      </c>
      <c r="NZ111" s="29">
        <f>+IF(OB111&gt;=1,"1",0)</f>
        <v>0</v>
      </c>
      <c r="OA111" s="38">
        <f t="shared" si="255"/>
        <v>1</v>
      </c>
      <c r="OB111" s="35">
        <f>COUNTIF(AV111:CK111,"1")</f>
        <v>0</v>
      </c>
      <c r="OC111" s="80" t="e">
        <f>OB112/OB111</f>
        <v>#DIV/0!</v>
      </c>
      <c r="OD111" s="29">
        <f>+IF(OF111&gt;=1,"1",0)</f>
        <v>0</v>
      </c>
      <c r="OE111" s="38">
        <f t="shared" si="256"/>
        <v>1</v>
      </c>
      <c r="OF111" s="35">
        <f>COUNTIF(CL111:EA111,"1")</f>
        <v>0</v>
      </c>
      <c r="OG111" s="80" t="e">
        <f>OF112/OF111</f>
        <v>#DIV/0!</v>
      </c>
      <c r="OH111" s="29">
        <f>+IF(OJ111&gt;=1,"1",0)</f>
        <v>0</v>
      </c>
      <c r="OI111" s="38">
        <f t="shared" si="257"/>
        <v>1</v>
      </c>
      <c r="OJ111" s="35">
        <f>COUNTIF(EB111:FQ111,"1")</f>
        <v>0</v>
      </c>
      <c r="OK111" s="79" t="e">
        <f>OJ112/OJ111</f>
        <v>#DIV/0!</v>
      </c>
      <c r="OL111" s="29">
        <f>+IF(ON111&gt;=1,"1",0)</f>
        <v>0</v>
      </c>
      <c r="OM111" s="38">
        <f t="shared" si="258"/>
        <v>1</v>
      </c>
      <c r="ON111" s="35">
        <f>COUNTIF(FR111:HG111,"1")</f>
        <v>0</v>
      </c>
      <c r="OO111" s="79" t="e">
        <f>ON112/ON111</f>
        <v>#DIV/0!</v>
      </c>
      <c r="OP111" s="29">
        <f>+IF(OR111&gt;=1,"1",0)</f>
        <v>0</v>
      </c>
      <c r="OQ111" s="38">
        <f t="shared" si="259"/>
        <v>1</v>
      </c>
      <c r="OR111" s="35">
        <f>COUNTIF(HH111:IW111,"1")</f>
        <v>0</v>
      </c>
      <c r="OS111" s="79" t="e">
        <f>OR112/OR111</f>
        <v>#DIV/0!</v>
      </c>
      <c r="OT111" s="29">
        <f>+IF(OV111&gt;=1,"1",0)</f>
        <v>0</v>
      </c>
      <c r="OU111" s="38">
        <f t="shared" si="260"/>
        <v>1</v>
      </c>
      <c r="OV111" s="35">
        <f>COUNTIF(IX111:KM111,"1")</f>
        <v>0</v>
      </c>
      <c r="OW111" s="79" t="e">
        <f>OV112/OV111</f>
        <v>#DIV/0!</v>
      </c>
      <c r="OX111" s="29">
        <f>+IF(OZ111&gt;=1,"1",0)</f>
        <v>0</v>
      </c>
      <c r="OY111" s="38">
        <f t="shared" si="261"/>
        <v>1</v>
      </c>
      <c r="OZ111" s="35">
        <f>COUNTIF(KN111:MC111,"1")</f>
        <v>0</v>
      </c>
      <c r="PA111" s="79" t="e">
        <f>OZ112/OZ111</f>
        <v>#DIV/0!</v>
      </c>
      <c r="PB111" s="29">
        <f>+IF(PD111&gt;=1,"1",0)</f>
        <v>0</v>
      </c>
      <c r="PC111" s="38">
        <f t="shared" si="262"/>
        <v>1</v>
      </c>
      <c r="PD111" s="35">
        <f>COUNTIF(MD111:NS111,"1")</f>
        <v>0</v>
      </c>
      <c r="PE111" s="79" t="e">
        <f>PD112/PD111</f>
        <v>#DIV/0!</v>
      </c>
    </row>
    <row r="112" spans="1:421" ht="15.75" customHeight="1" outlineLevel="1" thickBot="1" x14ac:dyDescent="0.3">
      <c r="C112" s="83"/>
      <c r="D112" s="60"/>
      <c r="E112" s="54" t="s">
        <v>9</v>
      </c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70"/>
      <c r="Q112" s="34"/>
      <c r="R112" s="34"/>
      <c r="S112" s="34"/>
      <c r="T112" s="34"/>
      <c r="U112" s="34"/>
      <c r="V112" s="34"/>
      <c r="W112" s="70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  <c r="FS112" s="34"/>
      <c r="FT112" s="34"/>
      <c r="FU112" s="34"/>
      <c r="FV112" s="34"/>
      <c r="FW112" s="34"/>
      <c r="FX112" s="34"/>
      <c r="FY112" s="34"/>
      <c r="FZ112" s="34"/>
      <c r="GA112" s="34"/>
      <c r="GB112" s="34"/>
      <c r="GC112" s="34"/>
      <c r="GD112" s="34"/>
      <c r="GE112" s="34"/>
      <c r="GF112" s="34"/>
      <c r="GG112" s="34"/>
      <c r="GH112" s="34"/>
      <c r="GI112" s="34"/>
      <c r="GJ112" s="34"/>
      <c r="GK112" s="34"/>
      <c r="GL112" s="34"/>
      <c r="GM112" s="34"/>
      <c r="GN112" s="34"/>
      <c r="GO112" s="34"/>
      <c r="GP112" s="34"/>
      <c r="GQ112" s="34"/>
      <c r="GR112" s="34"/>
      <c r="GS112" s="34"/>
      <c r="GT112" s="34"/>
      <c r="GU112" s="34"/>
      <c r="GV112" s="34"/>
      <c r="GW112" s="34"/>
      <c r="GX112" s="34"/>
      <c r="GY112" s="34"/>
      <c r="GZ112" s="34"/>
      <c r="HA112" s="34"/>
      <c r="HB112" s="34"/>
      <c r="HC112" s="34"/>
      <c r="HD112" s="34"/>
      <c r="HE112" s="34"/>
      <c r="HF112" s="34"/>
      <c r="HG112" s="34"/>
      <c r="HH112" s="34"/>
      <c r="HI112" s="34"/>
      <c r="HJ112" s="34"/>
      <c r="HK112" s="34"/>
      <c r="HL112" s="34"/>
      <c r="HM112" s="34"/>
      <c r="HN112" s="34"/>
      <c r="HO112" s="34"/>
      <c r="HP112" s="34"/>
      <c r="HQ112" s="34"/>
      <c r="HR112" s="34"/>
      <c r="HS112" s="34"/>
      <c r="HT112" s="34"/>
      <c r="HU112" s="34"/>
      <c r="HV112" s="34"/>
      <c r="HW112" s="34"/>
      <c r="HX112" s="34"/>
      <c r="HY112" s="34"/>
      <c r="HZ112" s="34"/>
      <c r="IA112" s="34"/>
      <c r="IB112" s="34"/>
      <c r="IC112" s="34"/>
      <c r="ID112" s="34"/>
      <c r="IE112" s="34"/>
      <c r="IF112" s="34"/>
      <c r="IG112" s="34"/>
      <c r="IH112" s="34"/>
      <c r="II112" s="34"/>
      <c r="IJ112" s="34"/>
      <c r="IK112" s="34"/>
      <c r="IL112" s="34"/>
      <c r="IM112" s="34"/>
      <c r="IN112" s="34"/>
      <c r="IO112" s="34"/>
      <c r="IP112" s="34"/>
      <c r="IQ112" s="34"/>
      <c r="IR112" s="34"/>
      <c r="IS112" s="34"/>
      <c r="IT112" s="34"/>
      <c r="IU112" s="34"/>
      <c r="IV112" s="34"/>
      <c r="IW112" s="34"/>
      <c r="IX112" s="34"/>
      <c r="IY112" s="34"/>
      <c r="IZ112" s="34"/>
      <c r="JA112" s="34"/>
      <c r="JB112" s="34"/>
      <c r="JC112" s="34"/>
      <c r="JD112" s="34"/>
      <c r="JE112" s="34"/>
      <c r="JF112" s="34"/>
      <c r="JG112" s="34"/>
      <c r="JH112" s="34"/>
      <c r="JI112" s="34"/>
      <c r="JJ112" s="34"/>
      <c r="JK112" s="34"/>
      <c r="JL112" s="34"/>
      <c r="JM112" s="34"/>
      <c r="JN112" s="34"/>
      <c r="JO112" s="34"/>
      <c r="JP112" s="34"/>
      <c r="JQ112" s="34"/>
      <c r="JR112" s="34"/>
      <c r="JS112" s="34"/>
      <c r="JT112" s="34"/>
      <c r="JU112" s="34"/>
      <c r="JV112" s="34"/>
      <c r="JW112" s="34"/>
      <c r="JX112" s="34"/>
      <c r="JY112" s="34"/>
      <c r="JZ112" s="34"/>
      <c r="KA112" s="34"/>
      <c r="KB112" s="34"/>
      <c r="KC112" s="34"/>
      <c r="KD112" s="34"/>
      <c r="KE112" s="34"/>
      <c r="KF112" s="34"/>
      <c r="KG112" s="34"/>
      <c r="KH112" s="34"/>
      <c r="KI112" s="34"/>
      <c r="KJ112" s="34"/>
      <c r="KK112" s="34"/>
      <c r="KL112" s="34"/>
      <c r="KM112" s="34"/>
      <c r="KN112" s="34"/>
      <c r="KO112" s="34"/>
      <c r="KP112" s="34"/>
      <c r="KQ112" s="34"/>
      <c r="KR112" s="34"/>
      <c r="KS112" s="34"/>
      <c r="KT112" s="34"/>
      <c r="KU112" s="34"/>
      <c r="KV112" s="34"/>
      <c r="KW112" s="34"/>
      <c r="KX112" s="34"/>
      <c r="KY112" s="34"/>
      <c r="KZ112" s="34"/>
      <c r="LA112" s="34"/>
      <c r="LB112" s="34"/>
      <c r="LC112" s="34"/>
      <c r="LD112" s="34"/>
      <c r="LE112" s="34"/>
      <c r="LF112" s="34"/>
      <c r="LG112" s="34"/>
      <c r="LH112" s="34"/>
      <c r="LI112" s="34"/>
      <c r="LJ112" s="34"/>
      <c r="LK112" s="34"/>
      <c r="LL112" s="34"/>
      <c r="LM112" s="34"/>
      <c r="LN112" s="34"/>
      <c r="LO112" s="34"/>
      <c r="LP112" s="34"/>
      <c r="LQ112" s="34"/>
      <c r="LR112" s="34"/>
      <c r="LS112" s="34"/>
      <c r="LT112" s="34"/>
      <c r="LU112" s="34"/>
      <c r="LV112" s="34"/>
      <c r="LW112" s="34"/>
      <c r="LX112" s="34"/>
      <c r="LY112" s="34"/>
      <c r="LZ112" s="34"/>
      <c r="MA112" s="34"/>
      <c r="MB112" s="34"/>
      <c r="MC112" s="34"/>
      <c r="MD112" s="34"/>
      <c r="ME112" s="34"/>
      <c r="MF112" s="34"/>
      <c r="MG112" s="34"/>
      <c r="MH112" s="34"/>
      <c r="MI112" s="34"/>
      <c r="MJ112" s="34"/>
      <c r="MK112" s="34"/>
      <c r="ML112" s="34"/>
      <c r="MM112" s="34"/>
      <c r="MN112" s="34"/>
      <c r="MO112" s="34"/>
      <c r="MP112" s="34"/>
      <c r="MQ112" s="34"/>
      <c r="MR112" s="34"/>
      <c r="MS112" s="34"/>
      <c r="MT112" s="34"/>
      <c r="MU112" s="34"/>
      <c r="MV112" s="34"/>
      <c r="MW112" s="34"/>
      <c r="MX112" s="34"/>
      <c r="MY112" s="34"/>
      <c r="MZ112" s="34"/>
      <c r="NA112" s="34"/>
      <c r="NB112" s="34"/>
      <c r="NC112" s="34"/>
      <c r="ND112" s="34"/>
      <c r="NE112" s="34"/>
      <c r="NF112" s="34"/>
      <c r="NG112" s="34"/>
      <c r="NH112" s="34"/>
      <c r="NI112" s="34"/>
      <c r="NJ112" s="34"/>
      <c r="NK112" s="34"/>
      <c r="NL112" s="34"/>
      <c r="NM112" s="34"/>
      <c r="NN112" s="34"/>
      <c r="NO112" s="34"/>
      <c r="NP112" s="34"/>
      <c r="NQ112" s="34"/>
      <c r="NR112" s="34"/>
      <c r="NS112" s="34"/>
      <c r="NT112" s="7">
        <f>COUNTIF(F112:NS112,"x")</f>
        <v>0</v>
      </c>
      <c r="NU112" s="81"/>
      <c r="NV112" s="32" t="str">
        <f>IF(NX112=0,"0",NX112/NX111)</f>
        <v>0</v>
      </c>
      <c r="NW112" s="37">
        <f t="shared" si="254"/>
        <v>0</v>
      </c>
      <c r="NX112" s="36">
        <f>COUNTIF(F112:AU112,"x")</f>
        <v>0</v>
      </c>
      <c r="NY112" s="81"/>
      <c r="NZ112" s="32" t="str">
        <f>IF(OB112=0,"0",OB112/OB111)</f>
        <v>0</v>
      </c>
      <c r="OA112" s="37">
        <f t="shared" si="255"/>
        <v>0</v>
      </c>
      <c r="OB112" s="36">
        <f>COUNTIF(AV112:CK112,"x")</f>
        <v>0</v>
      </c>
      <c r="OC112" s="81"/>
      <c r="OD112" s="32" t="str">
        <f>IF(OF112=0,"0",OF112/OF111)</f>
        <v>0</v>
      </c>
      <c r="OE112" s="37">
        <f t="shared" si="256"/>
        <v>0</v>
      </c>
      <c r="OF112" s="36">
        <f>COUNTIF(CL112:EA112,"x")</f>
        <v>0</v>
      </c>
      <c r="OG112" s="81"/>
      <c r="OH112" s="32" t="str">
        <f>IF(OJ112=0,"0",OJ112/OJ111)</f>
        <v>0</v>
      </c>
      <c r="OI112" s="37">
        <f t="shared" si="257"/>
        <v>0</v>
      </c>
      <c r="OJ112" s="36">
        <f>COUNTIF(EB112:FQ112,"x")</f>
        <v>0</v>
      </c>
      <c r="OK112" s="74"/>
      <c r="OL112" s="32" t="str">
        <f>IF(ON112=0,"0",ON112/ON111)</f>
        <v>0</v>
      </c>
      <c r="OM112" s="37">
        <f t="shared" si="258"/>
        <v>0</v>
      </c>
      <c r="ON112" s="36">
        <f>COUNTIF(FR112:HG112,"x")</f>
        <v>0</v>
      </c>
      <c r="OO112" s="74"/>
      <c r="OP112" s="32" t="str">
        <f>IF(OR112=0,"0",OR112/OR111)</f>
        <v>0</v>
      </c>
      <c r="OQ112" s="37">
        <f t="shared" si="259"/>
        <v>0</v>
      </c>
      <c r="OR112" s="36">
        <f>COUNTIF(HH112:IW112,"x")</f>
        <v>0</v>
      </c>
      <c r="OS112" s="74"/>
      <c r="OT112" s="32" t="str">
        <f>IF(OV112=0,"0",OV112/OV111)</f>
        <v>0</v>
      </c>
      <c r="OU112" s="37">
        <f t="shared" si="260"/>
        <v>0</v>
      </c>
      <c r="OV112" s="36">
        <f>COUNTIF(IX112:KM112,"x")</f>
        <v>0</v>
      </c>
      <c r="OW112" s="74"/>
      <c r="OX112" s="32" t="str">
        <f>IF(OZ112=0,"0",OZ112/OZ111)</f>
        <v>0</v>
      </c>
      <c r="OY112" s="37">
        <f t="shared" si="261"/>
        <v>0</v>
      </c>
      <c r="OZ112" s="36">
        <f>COUNTIF(KN112:MC112,"x")</f>
        <v>0</v>
      </c>
      <c r="PA112" s="74"/>
      <c r="PB112" s="32" t="str">
        <f>IF(PD112=0,"0",PD112/PD111)</f>
        <v>0</v>
      </c>
      <c r="PC112" s="37">
        <f t="shared" si="262"/>
        <v>0</v>
      </c>
      <c r="PD112" s="36">
        <f>COUNTIF(MD112:NS112,"x")</f>
        <v>0</v>
      </c>
      <c r="PE112" s="74"/>
    </row>
    <row r="113" spans="1:421" ht="15.75" customHeight="1" outlineLevel="1" x14ac:dyDescent="0.25">
      <c r="C113" s="82" t="s">
        <v>103</v>
      </c>
      <c r="D113" s="59"/>
      <c r="E113" s="53" t="s">
        <v>8</v>
      </c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69"/>
      <c r="Q113" s="33"/>
      <c r="R113" s="33"/>
      <c r="S113" s="33"/>
      <c r="T113" s="33"/>
      <c r="U113" s="33"/>
      <c r="V113" s="33"/>
      <c r="W113" s="69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  <c r="HI113" s="33"/>
      <c r="HJ113" s="33"/>
      <c r="HK113" s="33"/>
      <c r="HL113" s="33"/>
      <c r="HM113" s="33"/>
      <c r="HN113" s="33"/>
      <c r="HO113" s="33"/>
      <c r="HP113" s="33"/>
      <c r="HQ113" s="33"/>
      <c r="HR113" s="33"/>
      <c r="HS113" s="33"/>
      <c r="HT113" s="33"/>
      <c r="HU113" s="33"/>
      <c r="HV113" s="33"/>
      <c r="HW113" s="33"/>
      <c r="HX113" s="33"/>
      <c r="HY113" s="33"/>
      <c r="HZ113" s="33"/>
      <c r="IA113" s="33"/>
      <c r="IB113" s="33"/>
      <c r="IC113" s="33"/>
      <c r="ID113" s="33"/>
      <c r="IE113" s="33"/>
      <c r="IF113" s="33"/>
      <c r="IG113" s="33"/>
      <c r="IH113" s="33"/>
      <c r="II113" s="33"/>
      <c r="IJ113" s="33"/>
      <c r="IK113" s="33"/>
      <c r="IL113" s="33"/>
      <c r="IM113" s="33"/>
      <c r="IN113" s="33"/>
      <c r="IO113" s="33"/>
      <c r="IP113" s="33"/>
      <c r="IQ113" s="33"/>
      <c r="IR113" s="33"/>
      <c r="IS113" s="33"/>
      <c r="IT113" s="33"/>
      <c r="IU113" s="33"/>
      <c r="IV113" s="33"/>
      <c r="IW113" s="33"/>
      <c r="IX113" s="33"/>
      <c r="IY113" s="33"/>
      <c r="IZ113" s="33"/>
      <c r="JA113" s="33"/>
      <c r="JB113" s="33"/>
      <c r="JC113" s="33"/>
      <c r="JD113" s="33"/>
      <c r="JE113" s="33"/>
      <c r="JF113" s="33"/>
      <c r="JG113" s="33"/>
      <c r="JH113" s="33"/>
      <c r="JI113" s="33"/>
      <c r="JJ113" s="33"/>
      <c r="JK113" s="33"/>
      <c r="JL113" s="33"/>
      <c r="JM113" s="33"/>
      <c r="JN113" s="33"/>
      <c r="JO113" s="33"/>
      <c r="JP113" s="33"/>
      <c r="JQ113" s="33"/>
      <c r="JR113" s="33"/>
      <c r="JS113" s="33"/>
      <c r="JT113" s="33"/>
      <c r="JU113" s="33"/>
      <c r="JV113" s="33"/>
      <c r="JW113" s="33"/>
      <c r="JX113" s="33"/>
      <c r="JY113" s="33"/>
      <c r="JZ113" s="33"/>
      <c r="KA113" s="33"/>
      <c r="KB113" s="33"/>
      <c r="KC113" s="33"/>
      <c r="KD113" s="33"/>
      <c r="KE113" s="33"/>
      <c r="KF113" s="33"/>
      <c r="KG113" s="33"/>
      <c r="KH113" s="33"/>
      <c r="KI113" s="33"/>
      <c r="KJ113" s="33"/>
      <c r="KK113" s="33"/>
      <c r="KL113" s="33"/>
      <c r="KM113" s="33"/>
      <c r="KN113" s="33"/>
      <c r="KO113" s="33"/>
      <c r="KP113" s="33"/>
      <c r="KQ113" s="33"/>
      <c r="KR113" s="33"/>
      <c r="KS113" s="33"/>
      <c r="KT113" s="33"/>
      <c r="KU113" s="33"/>
      <c r="KV113" s="33"/>
      <c r="KW113" s="33"/>
      <c r="KX113" s="33"/>
      <c r="KY113" s="33"/>
      <c r="KZ113" s="33"/>
      <c r="LA113" s="33"/>
      <c r="LB113" s="33"/>
      <c r="LC113" s="33"/>
      <c r="LD113" s="33"/>
      <c r="LE113" s="33"/>
      <c r="LF113" s="33"/>
      <c r="LG113" s="33"/>
      <c r="LH113" s="33"/>
      <c r="LI113" s="33"/>
      <c r="LJ113" s="33"/>
      <c r="LK113" s="33"/>
      <c r="LL113" s="33"/>
      <c r="LM113" s="33"/>
      <c r="LN113" s="33"/>
      <c r="LO113" s="33"/>
      <c r="LP113" s="33"/>
      <c r="LQ113" s="33"/>
      <c r="LR113" s="33"/>
      <c r="LS113" s="33"/>
      <c r="LT113" s="33"/>
      <c r="LU113" s="33"/>
      <c r="LV113" s="33"/>
      <c r="LW113" s="33"/>
      <c r="LX113" s="33"/>
      <c r="LY113" s="33"/>
      <c r="LZ113" s="33"/>
      <c r="MA113" s="33"/>
      <c r="MB113" s="33"/>
      <c r="MC113" s="33"/>
      <c r="MD113" s="33"/>
      <c r="ME113" s="33"/>
      <c r="MF113" s="33"/>
      <c r="MG113" s="33"/>
      <c r="MH113" s="33"/>
      <c r="MI113" s="33"/>
      <c r="MJ113" s="33"/>
      <c r="MK113" s="33"/>
      <c r="ML113" s="33"/>
      <c r="MM113" s="33"/>
      <c r="MN113" s="33"/>
      <c r="MO113" s="33"/>
      <c r="MP113" s="33"/>
      <c r="MQ113" s="33"/>
      <c r="MR113" s="33"/>
      <c r="MS113" s="33"/>
      <c r="MT113" s="33"/>
      <c r="MU113" s="33"/>
      <c r="MV113" s="33"/>
      <c r="MW113" s="33"/>
      <c r="MX113" s="33"/>
      <c r="MY113" s="33"/>
      <c r="MZ113" s="33"/>
      <c r="NA113" s="33"/>
      <c r="NB113" s="33"/>
      <c r="NC113" s="33"/>
      <c r="ND113" s="33"/>
      <c r="NE113" s="33"/>
      <c r="NF113" s="33"/>
      <c r="NG113" s="33"/>
      <c r="NH113" s="33"/>
      <c r="NI113" s="33"/>
      <c r="NJ113" s="33"/>
      <c r="NK113" s="33"/>
      <c r="NL113" s="33"/>
      <c r="NM113" s="33"/>
      <c r="NN113" s="33"/>
      <c r="NO113" s="33"/>
      <c r="NP113" s="33"/>
      <c r="NQ113" s="33"/>
      <c r="NR113" s="33"/>
      <c r="NS113" s="33"/>
      <c r="NT113" s="31">
        <f>COUNTIF(F113:NS113,"1")</f>
        <v>0</v>
      </c>
      <c r="NU113" s="80" t="e">
        <f>NT114/NT113</f>
        <v>#DIV/0!</v>
      </c>
      <c r="NV113" s="29">
        <f>+IF(NX113&gt;=1,"1",0)</f>
        <v>0</v>
      </c>
      <c r="NW113" s="38">
        <f t="shared" si="254"/>
        <v>1</v>
      </c>
      <c r="NX113" s="35">
        <f>COUNTIF(F113:AU113,"1")</f>
        <v>0</v>
      </c>
      <c r="NY113" s="80" t="e">
        <f t="shared" ref="NY113" si="267">NX114/NX113</f>
        <v>#DIV/0!</v>
      </c>
      <c r="NZ113" s="29">
        <f>+IF(OB113&gt;=1,"1",0)</f>
        <v>0</v>
      </c>
      <c r="OA113" s="38">
        <f t="shared" si="255"/>
        <v>1</v>
      </c>
      <c r="OB113" s="35">
        <f>COUNTIF(AV113:CK113,"1")</f>
        <v>0</v>
      </c>
      <c r="OC113" s="80" t="e">
        <f>OB114/OB113</f>
        <v>#DIV/0!</v>
      </c>
      <c r="OD113" s="29">
        <f>+IF(OF113&gt;=1,"1",0)</f>
        <v>0</v>
      </c>
      <c r="OE113" s="38">
        <f t="shared" si="256"/>
        <v>1</v>
      </c>
      <c r="OF113" s="35">
        <f>COUNTIF(CL113:EA113,"1")</f>
        <v>0</v>
      </c>
      <c r="OG113" s="80" t="e">
        <f>OF114/OF113</f>
        <v>#DIV/0!</v>
      </c>
      <c r="OH113" s="29">
        <f>+IF(OJ113&gt;=1,"1",0)</f>
        <v>0</v>
      </c>
      <c r="OI113" s="38">
        <f t="shared" si="257"/>
        <v>1</v>
      </c>
      <c r="OJ113" s="35">
        <f>COUNTIF(EB113:FQ113,"1")</f>
        <v>0</v>
      </c>
      <c r="OK113" s="79" t="e">
        <f>OJ114/OJ113</f>
        <v>#DIV/0!</v>
      </c>
      <c r="OL113" s="29">
        <f>+IF(ON113&gt;=1,"1",0)</f>
        <v>0</v>
      </c>
      <c r="OM113" s="38">
        <f t="shared" si="258"/>
        <v>1</v>
      </c>
      <c r="ON113" s="35">
        <f>COUNTIF(FR113:HG113,"1")</f>
        <v>0</v>
      </c>
      <c r="OO113" s="79" t="e">
        <f>ON114/ON113</f>
        <v>#DIV/0!</v>
      </c>
      <c r="OP113" s="29">
        <f>+IF(OR113&gt;=1,"1",0)</f>
        <v>0</v>
      </c>
      <c r="OQ113" s="38">
        <f t="shared" si="259"/>
        <v>1</v>
      </c>
      <c r="OR113" s="35">
        <f>COUNTIF(HH113:IW113,"1")</f>
        <v>0</v>
      </c>
      <c r="OS113" s="79" t="e">
        <f>OR114/OR113</f>
        <v>#DIV/0!</v>
      </c>
      <c r="OT113" s="29">
        <f>+IF(OV113&gt;=1,"1",0)</f>
        <v>0</v>
      </c>
      <c r="OU113" s="38">
        <f t="shared" si="260"/>
        <v>1</v>
      </c>
      <c r="OV113" s="35">
        <f>COUNTIF(IX113:KM113,"1")</f>
        <v>0</v>
      </c>
      <c r="OW113" s="79" t="e">
        <f>OV114/OV113</f>
        <v>#DIV/0!</v>
      </c>
      <c r="OX113" s="29">
        <f>+IF(OZ113&gt;=1,"1",0)</f>
        <v>0</v>
      </c>
      <c r="OY113" s="38">
        <f t="shared" si="261"/>
        <v>1</v>
      </c>
      <c r="OZ113" s="35">
        <f>COUNTIF(KN113:MC113,"1")</f>
        <v>0</v>
      </c>
      <c r="PA113" s="79" t="e">
        <f>OZ114/OZ113</f>
        <v>#DIV/0!</v>
      </c>
      <c r="PB113" s="29">
        <f>+IF(PD113&gt;=1,"1",0)</f>
        <v>0</v>
      </c>
      <c r="PC113" s="38">
        <f t="shared" si="262"/>
        <v>1</v>
      </c>
      <c r="PD113" s="35">
        <f>COUNTIF(MD113:NS113,"1")</f>
        <v>0</v>
      </c>
      <c r="PE113" s="79" t="e">
        <f>PD114/PD113</f>
        <v>#DIV/0!</v>
      </c>
    </row>
    <row r="114" spans="1:421" ht="15.75" customHeight="1" outlineLevel="1" thickBot="1" x14ac:dyDescent="0.3">
      <c r="C114" s="83"/>
      <c r="D114" s="60"/>
      <c r="E114" s="54" t="s">
        <v>9</v>
      </c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70"/>
      <c r="Q114" s="34"/>
      <c r="R114" s="34"/>
      <c r="S114" s="34"/>
      <c r="T114" s="34"/>
      <c r="U114" s="34"/>
      <c r="V114" s="34"/>
      <c r="W114" s="70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  <c r="FS114" s="34"/>
      <c r="FT114" s="34"/>
      <c r="FU114" s="34"/>
      <c r="FV114" s="34"/>
      <c r="FW114" s="34"/>
      <c r="FX114" s="34"/>
      <c r="FY114" s="34"/>
      <c r="FZ114" s="34"/>
      <c r="GA114" s="34"/>
      <c r="GB114" s="34"/>
      <c r="GC114" s="34"/>
      <c r="GD114" s="34"/>
      <c r="GE114" s="34"/>
      <c r="GF114" s="34"/>
      <c r="GG114" s="34"/>
      <c r="GH114" s="34"/>
      <c r="GI114" s="34"/>
      <c r="GJ114" s="34"/>
      <c r="GK114" s="34"/>
      <c r="GL114" s="34"/>
      <c r="GM114" s="34"/>
      <c r="GN114" s="34"/>
      <c r="GO114" s="34"/>
      <c r="GP114" s="34"/>
      <c r="GQ114" s="34"/>
      <c r="GR114" s="34"/>
      <c r="GS114" s="34"/>
      <c r="GT114" s="34"/>
      <c r="GU114" s="34"/>
      <c r="GV114" s="34"/>
      <c r="GW114" s="34"/>
      <c r="GX114" s="34"/>
      <c r="GY114" s="34"/>
      <c r="GZ114" s="34"/>
      <c r="HA114" s="34"/>
      <c r="HB114" s="34"/>
      <c r="HC114" s="34"/>
      <c r="HD114" s="34"/>
      <c r="HE114" s="34"/>
      <c r="HF114" s="34"/>
      <c r="HG114" s="34"/>
      <c r="HH114" s="34"/>
      <c r="HI114" s="34"/>
      <c r="HJ114" s="34"/>
      <c r="HK114" s="34"/>
      <c r="HL114" s="34"/>
      <c r="HM114" s="34"/>
      <c r="HN114" s="34"/>
      <c r="HO114" s="34"/>
      <c r="HP114" s="34"/>
      <c r="HQ114" s="34"/>
      <c r="HR114" s="34"/>
      <c r="HS114" s="34"/>
      <c r="HT114" s="34"/>
      <c r="HU114" s="34"/>
      <c r="HV114" s="34"/>
      <c r="HW114" s="34"/>
      <c r="HX114" s="34"/>
      <c r="HY114" s="34"/>
      <c r="HZ114" s="34"/>
      <c r="IA114" s="34"/>
      <c r="IB114" s="34"/>
      <c r="IC114" s="34"/>
      <c r="ID114" s="34"/>
      <c r="IE114" s="34"/>
      <c r="IF114" s="34"/>
      <c r="IG114" s="34"/>
      <c r="IH114" s="34"/>
      <c r="II114" s="34"/>
      <c r="IJ114" s="34"/>
      <c r="IK114" s="34"/>
      <c r="IL114" s="34"/>
      <c r="IM114" s="34"/>
      <c r="IN114" s="34"/>
      <c r="IO114" s="34"/>
      <c r="IP114" s="34"/>
      <c r="IQ114" s="34"/>
      <c r="IR114" s="34"/>
      <c r="IS114" s="34"/>
      <c r="IT114" s="34"/>
      <c r="IU114" s="34"/>
      <c r="IV114" s="34"/>
      <c r="IW114" s="34"/>
      <c r="IX114" s="34"/>
      <c r="IY114" s="34"/>
      <c r="IZ114" s="34"/>
      <c r="JA114" s="34"/>
      <c r="JB114" s="34"/>
      <c r="JC114" s="34"/>
      <c r="JD114" s="34"/>
      <c r="JE114" s="34"/>
      <c r="JF114" s="34"/>
      <c r="JG114" s="34"/>
      <c r="JH114" s="34"/>
      <c r="JI114" s="34"/>
      <c r="JJ114" s="34"/>
      <c r="JK114" s="34"/>
      <c r="JL114" s="34"/>
      <c r="JM114" s="34"/>
      <c r="JN114" s="34"/>
      <c r="JO114" s="34"/>
      <c r="JP114" s="34"/>
      <c r="JQ114" s="34"/>
      <c r="JR114" s="34"/>
      <c r="JS114" s="34"/>
      <c r="JT114" s="34"/>
      <c r="JU114" s="34"/>
      <c r="JV114" s="34"/>
      <c r="JW114" s="34"/>
      <c r="JX114" s="34"/>
      <c r="JY114" s="34"/>
      <c r="JZ114" s="34"/>
      <c r="KA114" s="34"/>
      <c r="KB114" s="34"/>
      <c r="KC114" s="34"/>
      <c r="KD114" s="34"/>
      <c r="KE114" s="34"/>
      <c r="KF114" s="34"/>
      <c r="KG114" s="34"/>
      <c r="KH114" s="34"/>
      <c r="KI114" s="34"/>
      <c r="KJ114" s="34"/>
      <c r="KK114" s="34"/>
      <c r="KL114" s="34"/>
      <c r="KM114" s="34"/>
      <c r="KN114" s="34"/>
      <c r="KO114" s="34"/>
      <c r="KP114" s="34"/>
      <c r="KQ114" s="34"/>
      <c r="KR114" s="34"/>
      <c r="KS114" s="34"/>
      <c r="KT114" s="34"/>
      <c r="KU114" s="34"/>
      <c r="KV114" s="34"/>
      <c r="KW114" s="34"/>
      <c r="KX114" s="34"/>
      <c r="KY114" s="34"/>
      <c r="KZ114" s="34"/>
      <c r="LA114" s="34"/>
      <c r="LB114" s="34"/>
      <c r="LC114" s="34"/>
      <c r="LD114" s="34"/>
      <c r="LE114" s="34"/>
      <c r="LF114" s="34"/>
      <c r="LG114" s="34"/>
      <c r="LH114" s="34"/>
      <c r="LI114" s="34"/>
      <c r="LJ114" s="34"/>
      <c r="LK114" s="34"/>
      <c r="LL114" s="34"/>
      <c r="LM114" s="34"/>
      <c r="LN114" s="34"/>
      <c r="LO114" s="34"/>
      <c r="LP114" s="34"/>
      <c r="LQ114" s="34"/>
      <c r="LR114" s="34"/>
      <c r="LS114" s="34"/>
      <c r="LT114" s="34"/>
      <c r="LU114" s="34"/>
      <c r="LV114" s="34"/>
      <c r="LW114" s="34"/>
      <c r="LX114" s="34"/>
      <c r="LY114" s="34"/>
      <c r="LZ114" s="34"/>
      <c r="MA114" s="34"/>
      <c r="MB114" s="34"/>
      <c r="MC114" s="34"/>
      <c r="MD114" s="34"/>
      <c r="ME114" s="34"/>
      <c r="MF114" s="34"/>
      <c r="MG114" s="34"/>
      <c r="MH114" s="34"/>
      <c r="MI114" s="34"/>
      <c r="MJ114" s="34"/>
      <c r="MK114" s="34"/>
      <c r="ML114" s="34"/>
      <c r="MM114" s="34"/>
      <c r="MN114" s="34"/>
      <c r="MO114" s="34"/>
      <c r="MP114" s="34"/>
      <c r="MQ114" s="34"/>
      <c r="MR114" s="34"/>
      <c r="MS114" s="34"/>
      <c r="MT114" s="34"/>
      <c r="MU114" s="34"/>
      <c r="MV114" s="34"/>
      <c r="MW114" s="34"/>
      <c r="MX114" s="34"/>
      <c r="MY114" s="34"/>
      <c r="MZ114" s="34"/>
      <c r="NA114" s="34"/>
      <c r="NB114" s="34"/>
      <c r="NC114" s="34"/>
      <c r="ND114" s="34"/>
      <c r="NE114" s="34"/>
      <c r="NF114" s="34"/>
      <c r="NG114" s="34"/>
      <c r="NH114" s="34"/>
      <c r="NI114" s="34"/>
      <c r="NJ114" s="34"/>
      <c r="NK114" s="34"/>
      <c r="NL114" s="34"/>
      <c r="NM114" s="34"/>
      <c r="NN114" s="34"/>
      <c r="NO114" s="34"/>
      <c r="NP114" s="34"/>
      <c r="NQ114" s="34"/>
      <c r="NR114" s="34"/>
      <c r="NS114" s="34"/>
      <c r="NT114" s="7">
        <f>COUNTIF(F114:NS114,"x")</f>
        <v>0</v>
      </c>
      <c r="NU114" s="81"/>
      <c r="NV114" s="32" t="str">
        <f>IF(NX114=0,"0",NX114/NX113)</f>
        <v>0</v>
      </c>
      <c r="NW114" s="37">
        <f t="shared" si="254"/>
        <v>0</v>
      </c>
      <c r="NX114" s="36">
        <f>COUNTIF(F114:AU114,"x")</f>
        <v>0</v>
      </c>
      <c r="NY114" s="81"/>
      <c r="NZ114" s="32" t="str">
        <f>IF(OB114=0,"0",OB114/OB113)</f>
        <v>0</v>
      </c>
      <c r="OA114" s="37">
        <f t="shared" si="255"/>
        <v>0</v>
      </c>
      <c r="OB114" s="36">
        <f>COUNTIF(AV114:CK114,"x")</f>
        <v>0</v>
      </c>
      <c r="OC114" s="81"/>
      <c r="OD114" s="32" t="str">
        <f>IF(OF114=0,"0",OF114/OF113)</f>
        <v>0</v>
      </c>
      <c r="OE114" s="37">
        <f t="shared" si="256"/>
        <v>0</v>
      </c>
      <c r="OF114" s="36">
        <f>COUNTIF(CL114:EA114,"x")</f>
        <v>0</v>
      </c>
      <c r="OG114" s="81"/>
      <c r="OH114" s="32" t="str">
        <f>IF(OJ114=0,"0",OJ114/OJ113)</f>
        <v>0</v>
      </c>
      <c r="OI114" s="37">
        <f t="shared" si="257"/>
        <v>0</v>
      </c>
      <c r="OJ114" s="36">
        <f>COUNTIF(EB114:FQ114,"x")</f>
        <v>0</v>
      </c>
      <c r="OK114" s="74"/>
      <c r="OL114" s="32" t="str">
        <f>IF(ON114=0,"0",ON114/ON113)</f>
        <v>0</v>
      </c>
      <c r="OM114" s="37">
        <f t="shared" si="258"/>
        <v>0</v>
      </c>
      <c r="ON114" s="36">
        <f>COUNTIF(FR114:HG114,"x")</f>
        <v>0</v>
      </c>
      <c r="OO114" s="74"/>
      <c r="OP114" s="32" t="str">
        <f>IF(OR114=0,"0",OR114/OR113)</f>
        <v>0</v>
      </c>
      <c r="OQ114" s="37">
        <f t="shared" si="259"/>
        <v>0</v>
      </c>
      <c r="OR114" s="36">
        <f>COUNTIF(HH114:IW114,"x")</f>
        <v>0</v>
      </c>
      <c r="OS114" s="74"/>
      <c r="OT114" s="32" t="str">
        <f>IF(OV114=0,"0",OV114/OV113)</f>
        <v>0</v>
      </c>
      <c r="OU114" s="37">
        <f t="shared" si="260"/>
        <v>0</v>
      </c>
      <c r="OV114" s="36">
        <f>COUNTIF(IX114:KM114,"x")</f>
        <v>0</v>
      </c>
      <c r="OW114" s="74"/>
      <c r="OX114" s="32" t="str">
        <f>IF(OZ114=0,"0",OZ114/OZ113)</f>
        <v>0</v>
      </c>
      <c r="OY114" s="37">
        <f t="shared" si="261"/>
        <v>0</v>
      </c>
      <c r="OZ114" s="36">
        <f>COUNTIF(KN114:MC114,"x")</f>
        <v>0</v>
      </c>
      <c r="PA114" s="74"/>
      <c r="PB114" s="32" t="str">
        <f>IF(PD114=0,"0",PD114/PD113)</f>
        <v>0</v>
      </c>
      <c r="PC114" s="37">
        <f t="shared" si="262"/>
        <v>0</v>
      </c>
      <c r="PD114" s="36">
        <f>COUNTIF(MD114:NS114,"x")</f>
        <v>0</v>
      </c>
      <c r="PE114" s="74"/>
    </row>
    <row r="115" spans="1:421" ht="15.75" customHeight="1" outlineLevel="1" x14ac:dyDescent="0.25">
      <c r="C115" s="82" t="s">
        <v>104</v>
      </c>
      <c r="D115" s="59"/>
      <c r="E115" s="53" t="s">
        <v>8</v>
      </c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69"/>
      <c r="Q115" s="33"/>
      <c r="R115" s="33"/>
      <c r="S115" s="33"/>
      <c r="T115" s="33"/>
      <c r="U115" s="33"/>
      <c r="V115" s="33"/>
      <c r="W115" s="69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  <c r="HI115" s="33"/>
      <c r="HJ115" s="33"/>
      <c r="HK115" s="33"/>
      <c r="HL115" s="33"/>
      <c r="HM115" s="33"/>
      <c r="HN115" s="33"/>
      <c r="HO115" s="33"/>
      <c r="HP115" s="33"/>
      <c r="HQ115" s="33"/>
      <c r="HR115" s="33"/>
      <c r="HS115" s="33"/>
      <c r="HT115" s="33"/>
      <c r="HU115" s="33"/>
      <c r="HV115" s="33"/>
      <c r="HW115" s="33"/>
      <c r="HX115" s="33"/>
      <c r="HY115" s="33"/>
      <c r="HZ115" s="33"/>
      <c r="IA115" s="33"/>
      <c r="IB115" s="33"/>
      <c r="IC115" s="33"/>
      <c r="ID115" s="33"/>
      <c r="IE115" s="33"/>
      <c r="IF115" s="33"/>
      <c r="IG115" s="33"/>
      <c r="IH115" s="33"/>
      <c r="II115" s="33"/>
      <c r="IJ115" s="33"/>
      <c r="IK115" s="33"/>
      <c r="IL115" s="33"/>
      <c r="IM115" s="33"/>
      <c r="IN115" s="33"/>
      <c r="IO115" s="33"/>
      <c r="IP115" s="33"/>
      <c r="IQ115" s="33"/>
      <c r="IR115" s="33"/>
      <c r="IS115" s="33"/>
      <c r="IT115" s="33"/>
      <c r="IU115" s="33"/>
      <c r="IV115" s="33"/>
      <c r="IW115" s="33"/>
      <c r="IX115" s="33"/>
      <c r="IY115" s="33"/>
      <c r="IZ115" s="33"/>
      <c r="JA115" s="33"/>
      <c r="JB115" s="33"/>
      <c r="JC115" s="33"/>
      <c r="JD115" s="33"/>
      <c r="JE115" s="33"/>
      <c r="JF115" s="33"/>
      <c r="JG115" s="33"/>
      <c r="JH115" s="33"/>
      <c r="JI115" s="33"/>
      <c r="JJ115" s="33"/>
      <c r="JK115" s="33"/>
      <c r="JL115" s="33"/>
      <c r="JM115" s="33"/>
      <c r="JN115" s="33"/>
      <c r="JO115" s="33"/>
      <c r="JP115" s="33"/>
      <c r="JQ115" s="33"/>
      <c r="JR115" s="33"/>
      <c r="JS115" s="33"/>
      <c r="JT115" s="33"/>
      <c r="JU115" s="33"/>
      <c r="JV115" s="33"/>
      <c r="JW115" s="33"/>
      <c r="JX115" s="33"/>
      <c r="JY115" s="33"/>
      <c r="JZ115" s="33"/>
      <c r="KA115" s="33"/>
      <c r="KB115" s="33"/>
      <c r="KC115" s="33"/>
      <c r="KD115" s="33"/>
      <c r="KE115" s="33"/>
      <c r="KF115" s="33"/>
      <c r="KG115" s="33"/>
      <c r="KH115" s="33"/>
      <c r="KI115" s="33"/>
      <c r="KJ115" s="33"/>
      <c r="KK115" s="33"/>
      <c r="KL115" s="33"/>
      <c r="KM115" s="33"/>
      <c r="KN115" s="33"/>
      <c r="KO115" s="33"/>
      <c r="KP115" s="33"/>
      <c r="KQ115" s="33"/>
      <c r="KR115" s="33"/>
      <c r="KS115" s="33"/>
      <c r="KT115" s="33"/>
      <c r="KU115" s="33"/>
      <c r="KV115" s="33"/>
      <c r="KW115" s="33"/>
      <c r="KX115" s="33"/>
      <c r="KY115" s="33"/>
      <c r="KZ115" s="33"/>
      <c r="LA115" s="33"/>
      <c r="LB115" s="33"/>
      <c r="LC115" s="33"/>
      <c r="LD115" s="33"/>
      <c r="LE115" s="33"/>
      <c r="LF115" s="33"/>
      <c r="LG115" s="33"/>
      <c r="LH115" s="33"/>
      <c r="LI115" s="33"/>
      <c r="LJ115" s="33"/>
      <c r="LK115" s="33"/>
      <c r="LL115" s="33"/>
      <c r="LM115" s="33"/>
      <c r="LN115" s="33"/>
      <c r="LO115" s="33"/>
      <c r="LP115" s="33"/>
      <c r="LQ115" s="33"/>
      <c r="LR115" s="33"/>
      <c r="LS115" s="33"/>
      <c r="LT115" s="33"/>
      <c r="LU115" s="33"/>
      <c r="LV115" s="33"/>
      <c r="LW115" s="33"/>
      <c r="LX115" s="33"/>
      <c r="LY115" s="33"/>
      <c r="LZ115" s="33"/>
      <c r="MA115" s="33"/>
      <c r="MB115" s="33"/>
      <c r="MC115" s="33"/>
      <c r="MD115" s="33"/>
      <c r="ME115" s="33"/>
      <c r="MF115" s="33"/>
      <c r="MG115" s="33"/>
      <c r="MH115" s="33"/>
      <c r="MI115" s="33"/>
      <c r="MJ115" s="33"/>
      <c r="MK115" s="33"/>
      <c r="ML115" s="33"/>
      <c r="MM115" s="33"/>
      <c r="MN115" s="33"/>
      <c r="MO115" s="33"/>
      <c r="MP115" s="33"/>
      <c r="MQ115" s="33"/>
      <c r="MR115" s="33"/>
      <c r="MS115" s="33"/>
      <c r="MT115" s="33"/>
      <c r="MU115" s="33"/>
      <c r="MV115" s="33"/>
      <c r="MW115" s="33"/>
      <c r="MX115" s="33"/>
      <c r="MY115" s="33"/>
      <c r="MZ115" s="33"/>
      <c r="NA115" s="33"/>
      <c r="NB115" s="33"/>
      <c r="NC115" s="33"/>
      <c r="ND115" s="33"/>
      <c r="NE115" s="33"/>
      <c r="NF115" s="33"/>
      <c r="NG115" s="33"/>
      <c r="NH115" s="33"/>
      <c r="NI115" s="33"/>
      <c r="NJ115" s="33"/>
      <c r="NK115" s="33"/>
      <c r="NL115" s="33"/>
      <c r="NM115" s="33"/>
      <c r="NN115" s="33"/>
      <c r="NO115" s="33"/>
      <c r="NP115" s="33"/>
      <c r="NQ115" s="33"/>
      <c r="NR115" s="33"/>
      <c r="NS115" s="33"/>
      <c r="NT115" s="31">
        <f>COUNTIF(F115:NS115,"1")</f>
        <v>0</v>
      </c>
      <c r="NU115" s="80" t="e">
        <f>NT116/NT115</f>
        <v>#DIV/0!</v>
      </c>
      <c r="NV115" s="29">
        <f>+IF(NX115&gt;=1,"1",0)</f>
        <v>0</v>
      </c>
      <c r="NW115" s="38">
        <f t="shared" si="254"/>
        <v>1</v>
      </c>
      <c r="NX115" s="35">
        <f>COUNTIF(F115:AU115,"1")</f>
        <v>0</v>
      </c>
      <c r="NY115" s="80" t="e">
        <f t="shared" ref="NY115" si="268">NX116/NX115</f>
        <v>#DIV/0!</v>
      </c>
      <c r="NZ115" s="29">
        <f>+IF(OB115&gt;=1,"1",0)</f>
        <v>0</v>
      </c>
      <c r="OA115" s="38">
        <f t="shared" si="255"/>
        <v>1</v>
      </c>
      <c r="OB115" s="35">
        <f>COUNTIF(AV115:CK115,"1")</f>
        <v>0</v>
      </c>
      <c r="OC115" s="80" t="e">
        <f>OB116/OB115</f>
        <v>#DIV/0!</v>
      </c>
      <c r="OD115" s="29">
        <f>+IF(OF115&gt;=1,"1",0)</f>
        <v>0</v>
      </c>
      <c r="OE115" s="38">
        <f t="shared" si="256"/>
        <v>1</v>
      </c>
      <c r="OF115" s="35">
        <f>COUNTIF(CL115:EA115,"1")</f>
        <v>0</v>
      </c>
      <c r="OG115" s="80" t="e">
        <f>OF116/OF115</f>
        <v>#DIV/0!</v>
      </c>
      <c r="OH115" s="29">
        <f>+IF(OJ115&gt;=1,"1",0)</f>
        <v>0</v>
      </c>
      <c r="OI115" s="38">
        <f t="shared" si="257"/>
        <v>1</v>
      </c>
      <c r="OJ115" s="35">
        <f>COUNTIF(EB115:FQ115,"1")</f>
        <v>0</v>
      </c>
      <c r="OK115" s="79" t="e">
        <f>OJ116/OJ115</f>
        <v>#DIV/0!</v>
      </c>
      <c r="OL115" s="29">
        <f>+IF(ON115&gt;=1,"1",0)</f>
        <v>0</v>
      </c>
      <c r="OM115" s="38">
        <f t="shared" si="258"/>
        <v>1</v>
      </c>
      <c r="ON115" s="35">
        <f>COUNTIF(FR115:HG115,"1")</f>
        <v>0</v>
      </c>
      <c r="OO115" s="79" t="e">
        <f>ON116/ON115</f>
        <v>#DIV/0!</v>
      </c>
      <c r="OP115" s="29">
        <f>+IF(OR115&gt;=1,"1",0)</f>
        <v>0</v>
      </c>
      <c r="OQ115" s="38">
        <f t="shared" si="259"/>
        <v>1</v>
      </c>
      <c r="OR115" s="35">
        <f>COUNTIF(HH115:IW115,"1")</f>
        <v>0</v>
      </c>
      <c r="OS115" s="79" t="e">
        <f>OR116/OR115</f>
        <v>#DIV/0!</v>
      </c>
      <c r="OT115" s="29">
        <f>+IF(OV115&gt;=1,"1",0)</f>
        <v>0</v>
      </c>
      <c r="OU115" s="38">
        <f t="shared" si="260"/>
        <v>1</v>
      </c>
      <c r="OV115" s="35">
        <f>COUNTIF(IX115:KM115,"1")</f>
        <v>0</v>
      </c>
      <c r="OW115" s="79" t="e">
        <f>OV116/OV115</f>
        <v>#DIV/0!</v>
      </c>
      <c r="OX115" s="29">
        <f>+IF(OZ115&gt;=1,"1",0)</f>
        <v>0</v>
      </c>
      <c r="OY115" s="38">
        <f t="shared" si="261"/>
        <v>1</v>
      </c>
      <c r="OZ115" s="35">
        <f>COUNTIF(KN115:MC115,"1")</f>
        <v>0</v>
      </c>
      <c r="PA115" s="79" t="e">
        <f>OZ116/OZ115</f>
        <v>#DIV/0!</v>
      </c>
      <c r="PB115" s="29">
        <f>+IF(PD115&gt;=1,"1",0)</f>
        <v>0</v>
      </c>
      <c r="PC115" s="38">
        <f t="shared" si="262"/>
        <v>1</v>
      </c>
      <c r="PD115" s="35">
        <f>COUNTIF(MD115:NS115,"1")</f>
        <v>0</v>
      </c>
      <c r="PE115" s="79" t="e">
        <f>PD116/PD115</f>
        <v>#DIV/0!</v>
      </c>
    </row>
    <row r="116" spans="1:421" ht="15.75" customHeight="1" outlineLevel="1" thickBot="1" x14ac:dyDescent="0.3">
      <c r="C116" s="83"/>
      <c r="D116" s="60"/>
      <c r="E116" s="54" t="s">
        <v>9</v>
      </c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70"/>
      <c r="Q116" s="34"/>
      <c r="R116" s="34"/>
      <c r="S116" s="34"/>
      <c r="T116" s="34"/>
      <c r="U116" s="34"/>
      <c r="V116" s="34"/>
      <c r="W116" s="70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  <c r="HB116" s="34"/>
      <c r="HC116" s="34"/>
      <c r="HD116" s="34"/>
      <c r="HE116" s="34"/>
      <c r="HF116" s="34"/>
      <c r="HG116" s="34"/>
      <c r="HH116" s="34"/>
      <c r="HI116" s="34"/>
      <c r="HJ116" s="34"/>
      <c r="HK116" s="34"/>
      <c r="HL116" s="34"/>
      <c r="HM116" s="34"/>
      <c r="HN116" s="34"/>
      <c r="HO116" s="34"/>
      <c r="HP116" s="34"/>
      <c r="HQ116" s="34"/>
      <c r="HR116" s="34"/>
      <c r="HS116" s="34"/>
      <c r="HT116" s="34"/>
      <c r="HU116" s="34"/>
      <c r="HV116" s="34"/>
      <c r="HW116" s="34"/>
      <c r="HX116" s="34"/>
      <c r="HY116" s="34"/>
      <c r="HZ116" s="34"/>
      <c r="IA116" s="34"/>
      <c r="IB116" s="34"/>
      <c r="IC116" s="34"/>
      <c r="ID116" s="34"/>
      <c r="IE116" s="34"/>
      <c r="IF116" s="34"/>
      <c r="IG116" s="34"/>
      <c r="IH116" s="34"/>
      <c r="II116" s="34"/>
      <c r="IJ116" s="34"/>
      <c r="IK116" s="34"/>
      <c r="IL116" s="34"/>
      <c r="IM116" s="34"/>
      <c r="IN116" s="34"/>
      <c r="IO116" s="34"/>
      <c r="IP116" s="34"/>
      <c r="IQ116" s="34"/>
      <c r="IR116" s="34"/>
      <c r="IS116" s="34"/>
      <c r="IT116" s="34"/>
      <c r="IU116" s="34"/>
      <c r="IV116" s="34"/>
      <c r="IW116" s="34"/>
      <c r="IX116" s="34"/>
      <c r="IY116" s="34"/>
      <c r="IZ116" s="34"/>
      <c r="JA116" s="34"/>
      <c r="JB116" s="34"/>
      <c r="JC116" s="34"/>
      <c r="JD116" s="34"/>
      <c r="JE116" s="34"/>
      <c r="JF116" s="34"/>
      <c r="JG116" s="34"/>
      <c r="JH116" s="34"/>
      <c r="JI116" s="34"/>
      <c r="JJ116" s="34"/>
      <c r="JK116" s="34"/>
      <c r="JL116" s="34"/>
      <c r="JM116" s="34"/>
      <c r="JN116" s="34"/>
      <c r="JO116" s="34"/>
      <c r="JP116" s="34"/>
      <c r="JQ116" s="34"/>
      <c r="JR116" s="34"/>
      <c r="JS116" s="34"/>
      <c r="JT116" s="34"/>
      <c r="JU116" s="34"/>
      <c r="JV116" s="34"/>
      <c r="JW116" s="34"/>
      <c r="JX116" s="34"/>
      <c r="JY116" s="34"/>
      <c r="JZ116" s="34"/>
      <c r="KA116" s="34"/>
      <c r="KB116" s="34"/>
      <c r="KC116" s="34"/>
      <c r="KD116" s="34"/>
      <c r="KE116" s="34"/>
      <c r="KF116" s="34"/>
      <c r="KG116" s="34"/>
      <c r="KH116" s="34"/>
      <c r="KI116" s="34"/>
      <c r="KJ116" s="34"/>
      <c r="KK116" s="34"/>
      <c r="KL116" s="34"/>
      <c r="KM116" s="34"/>
      <c r="KN116" s="34"/>
      <c r="KO116" s="34"/>
      <c r="KP116" s="34"/>
      <c r="KQ116" s="34"/>
      <c r="KR116" s="34"/>
      <c r="KS116" s="34"/>
      <c r="KT116" s="34"/>
      <c r="KU116" s="34"/>
      <c r="KV116" s="34"/>
      <c r="KW116" s="34"/>
      <c r="KX116" s="34"/>
      <c r="KY116" s="34"/>
      <c r="KZ116" s="34"/>
      <c r="LA116" s="34"/>
      <c r="LB116" s="34"/>
      <c r="LC116" s="34"/>
      <c r="LD116" s="34"/>
      <c r="LE116" s="34"/>
      <c r="LF116" s="34"/>
      <c r="LG116" s="34"/>
      <c r="LH116" s="34"/>
      <c r="LI116" s="34"/>
      <c r="LJ116" s="34"/>
      <c r="LK116" s="34"/>
      <c r="LL116" s="34"/>
      <c r="LM116" s="34"/>
      <c r="LN116" s="34"/>
      <c r="LO116" s="34"/>
      <c r="LP116" s="34"/>
      <c r="LQ116" s="34"/>
      <c r="LR116" s="34"/>
      <c r="LS116" s="34"/>
      <c r="LT116" s="34"/>
      <c r="LU116" s="34"/>
      <c r="LV116" s="34"/>
      <c r="LW116" s="34"/>
      <c r="LX116" s="34"/>
      <c r="LY116" s="34"/>
      <c r="LZ116" s="34"/>
      <c r="MA116" s="34"/>
      <c r="MB116" s="34"/>
      <c r="MC116" s="34"/>
      <c r="MD116" s="34"/>
      <c r="ME116" s="34"/>
      <c r="MF116" s="34"/>
      <c r="MG116" s="34"/>
      <c r="MH116" s="34"/>
      <c r="MI116" s="34"/>
      <c r="MJ116" s="34"/>
      <c r="MK116" s="34"/>
      <c r="ML116" s="34"/>
      <c r="MM116" s="34"/>
      <c r="MN116" s="34"/>
      <c r="MO116" s="34"/>
      <c r="MP116" s="34"/>
      <c r="MQ116" s="34"/>
      <c r="MR116" s="34"/>
      <c r="MS116" s="34"/>
      <c r="MT116" s="34"/>
      <c r="MU116" s="34"/>
      <c r="MV116" s="34"/>
      <c r="MW116" s="34"/>
      <c r="MX116" s="34"/>
      <c r="MY116" s="34"/>
      <c r="MZ116" s="34"/>
      <c r="NA116" s="34"/>
      <c r="NB116" s="34"/>
      <c r="NC116" s="34"/>
      <c r="ND116" s="34"/>
      <c r="NE116" s="34"/>
      <c r="NF116" s="34"/>
      <c r="NG116" s="34"/>
      <c r="NH116" s="34"/>
      <c r="NI116" s="34"/>
      <c r="NJ116" s="34"/>
      <c r="NK116" s="34"/>
      <c r="NL116" s="34"/>
      <c r="NM116" s="34"/>
      <c r="NN116" s="34"/>
      <c r="NO116" s="34"/>
      <c r="NP116" s="34"/>
      <c r="NQ116" s="34"/>
      <c r="NR116" s="34"/>
      <c r="NS116" s="34"/>
      <c r="NT116" s="7">
        <f>COUNTIF(F116:NS116,"x")</f>
        <v>0</v>
      </c>
      <c r="NU116" s="81"/>
      <c r="NV116" s="32" t="str">
        <f>IF(NX116=0,"0",NX116/NX115)</f>
        <v>0</v>
      </c>
      <c r="NW116" s="37">
        <f t="shared" si="254"/>
        <v>0</v>
      </c>
      <c r="NX116" s="36">
        <f>COUNTIF(F116:AU116,"x")</f>
        <v>0</v>
      </c>
      <c r="NY116" s="81"/>
      <c r="NZ116" s="32" t="str">
        <f>IF(OB116=0,"0",OB116/OB115)</f>
        <v>0</v>
      </c>
      <c r="OA116" s="37">
        <f t="shared" si="255"/>
        <v>0</v>
      </c>
      <c r="OB116" s="36">
        <f>COUNTIF(AV116:CK116,"x")</f>
        <v>0</v>
      </c>
      <c r="OC116" s="81"/>
      <c r="OD116" s="32" t="str">
        <f>IF(OF116=0,"0",OF116/OF115)</f>
        <v>0</v>
      </c>
      <c r="OE116" s="37">
        <f t="shared" si="256"/>
        <v>0</v>
      </c>
      <c r="OF116" s="36">
        <f>COUNTIF(CL116:EA116,"x")</f>
        <v>0</v>
      </c>
      <c r="OG116" s="81"/>
      <c r="OH116" s="32" t="str">
        <f>IF(OJ116=0,"0",OJ116/OJ115)</f>
        <v>0</v>
      </c>
      <c r="OI116" s="37">
        <f t="shared" si="257"/>
        <v>0</v>
      </c>
      <c r="OJ116" s="36">
        <f>COUNTIF(EB116:FQ116,"x")</f>
        <v>0</v>
      </c>
      <c r="OK116" s="74"/>
      <c r="OL116" s="32" t="str">
        <f>IF(ON116=0,"0",ON116/ON115)</f>
        <v>0</v>
      </c>
      <c r="OM116" s="37">
        <f t="shared" si="258"/>
        <v>0</v>
      </c>
      <c r="ON116" s="36">
        <f>COUNTIF(FR116:HG116,"x")</f>
        <v>0</v>
      </c>
      <c r="OO116" s="74"/>
      <c r="OP116" s="32" t="str">
        <f>IF(OR116=0,"0",OR116/OR115)</f>
        <v>0</v>
      </c>
      <c r="OQ116" s="37">
        <f t="shared" si="259"/>
        <v>0</v>
      </c>
      <c r="OR116" s="36">
        <f>COUNTIF(HH116:IW116,"x")</f>
        <v>0</v>
      </c>
      <c r="OS116" s="74"/>
      <c r="OT116" s="32" t="str">
        <f>IF(OV116=0,"0",OV116/OV115)</f>
        <v>0</v>
      </c>
      <c r="OU116" s="37">
        <f t="shared" si="260"/>
        <v>0</v>
      </c>
      <c r="OV116" s="36">
        <f>COUNTIF(IX116:KM116,"x")</f>
        <v>0</v>
      </c>
      <c r="OW116" s="74"/>
      <c r="OX116" s="32" t="str">
        <f>IF(OZ116=0,"0",OZ116/OZ115)</f>
        <v>0</v>
      </c>
      <c r="OY116" s="37">
        <f t="shared" si="261"/>
        <v>0</v>
      </c>
      <c r="OZ116" s="36">
        <f>COUNTIF(KN116:MC116,"x")</f>
        <v>0</v>
      </c>
      <c r="PA116" s="74"/>
      <c r="PB116" s="32" t="str">
        <f>IF(PD116=0,"0",PD116/PD115)</f>
        <v>0</v>
      </c>
      <c r="PC116" s="37">
        <f t="shared" si="262"/>
        <v>0</v>
      </c>
      <c r="PD116" s="36">
        <f>COUNTIF(MD116:NS116,"x")</f>
        <v>0</v>
      </c>
      <c r="PE116" s="74"/>
    </row>
    <row r="117" spans="1:421" ht="15.75" customHeight="1" outlineLevel="1" x14ac:dyDescent="0.25">
      <c r="C117" s="82"/>
      <c r="D117" s="59"/>
      <c r="E117" s="53" t="s">
        <v>8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69"/>
      <c r="Q117" s="33"/>
      <c r="R117" s="33"/>
      <c r="S117" s="33"/>
      <c r="T117" s="33"/>
      <c r="U117" s="33"/>
      <c r="V117" s="33"/>
      <c r="W117" s="69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  <c r="HI117" s="33"/>
      <c r="HJ117" s="33"/>
      <c r="HK117" s="33"/>
      <c r="HL117" s="33"/>
      <c r="HM117" s="33"/>
      <c r="HN117" s="33"/>
      <c r="HO117" s="33"/>
      <c r="HP117" s="33"/>
      <c r="HQ117" s="33"/>
      <c r="HR117" s="33"/>
      <c r="HS117" s="33"/>
      <c r="HT117" s="33"/>
      <c r="HU117" s="33"/>
      <c r="HV117" s="33"/>
      <c r="HW117" s="33"/>
      <c r="HX117" s="33"/>
      <c r="HY117" s="33"/>
      <c r="HZ117" s="33"/>
      <c r="IA117" s="33"/>
      <c r="IB117" s="33"/>
      <c r="IC117" s="33"/>
      <c r="ID117" s="33"/>
      <c r="IE117" s="33"/>
      <c r="IF117" s="33"/>
      <c r="IG117" s="33"/>
      <c r="IH117" s="33"/>
      <c r="II117" s="33"/>
      <c r="IJ117" s="33"/>
      <c r="IK117" s="33"/>
      <c r="IL117" s="33"/>
      <c r="IM117" s="33"/>
      <c r="IN117" s="33"/>
      <c r="IO117" s="33"/>
      <c r="IP117" s="33"/>
      <c r="IQ117" s="33"/>
      <c r="IR117" s="33"/>
      <c r="IS117" s="33"/>
      <c r="IT117" s="33"/>
      <c r="IU117" s="33"/>
      <c r="IV117" s="33"/>
      <c r="IW117" s="33"/>
      <c r="IX117" s="33"/>
      <c r="IY117" s="33"/>
      <c r="IZ117" s="33"/>
      <c r="JA117" s="33"/>
      <c r="JB117" s="33"/>
      <c r="JC117" s="33"/>
      <c r="JD117" s="33"/>
      <c r="JE117" s="33"/>
      <c r="JF117" s="33"/>
      <c r="JG117" s="33"/>
      <c r="JH117" s="33"/>
      <c r="JI117" s="33"/>
      <c r="JJ117" s="33"/>
      <c r="JK117" s="33"/>
      <c r="JL117" s="33"/>
      <c r="JM117" s="33"/>
      <c r="JN117" s="33"/>
      <c r="JO117" s="33"/>
      <c r="JP117" s="33"/>
      <c r="JQ117" s="33"/>
      <c r="JR117" s="33"/>
      <c r="JS117" s="33"/>
      <c r="JT117" s="33"/>
      <c r="JU117" s="33"/>
      <c r="JV117" s="33"/>
      <c r="JW117" s="33"/>
      <c r="JX117" s="33"/>
      <c r="JY117" s="33"/>
      <c r="JZ117" s="33"/>
      <c r="KA117" s="33"/>
      <c r="KB117" s="33"/>
      <c r="KC117" s="33"/>
      <c r="KD117" s="33"/>
      <c r="KE117" s="33"/>
      <c r="KF117" s="33"/>
      <c r="KG117" s="33"/>
      <c r="KH117" s="33"/>
      <c r="KI117" s="33"/>
      <c r="KJ117" s="33"/>
      <c r="KK117" s="33"/>
      <c r="KL117" s="33"/>
      <c r="KM117" s="33"/>
      <c r="KN117" s="33"/>
      <c r="KO117" s="33"/>
      <c r="KP117" s="33"/>
      <c r="KQ117" s="33"/>
      <c r="KR117" s="33"/>
      <c r="KS117" s="33"/>
      <c r="KT117" s="33"/>
      <c r="KU117" s="33"/>
      <c r="KV117" s="33"/>
      <c r="KW117" s="33"/>
      <c r="KX117" s="33"/>
      <c r="KY117" s="33"/>
      <c r="KZ117" s="33"/>
      <c r="LA117" s="33"/>
      <c r="LB117" s="33"/>
      <c r="LC117" s="33"/>
      <c r="LD117" s="33"/>
      <c r="LE117" s="33"/>
      <c r="LF117" s="33"/>
      <c r="LG117" s="33"/>
      <c r="LH117" s="33"/>
      <c r="LI117" s="33"/>
      <c r="LJ117" s="33"/>
      <c r="LK117" s="33"/>
      <c r="LL117" s="33"/>
      <c r="LM117" s="33"/>
      <c r="LN117" s="33"/>
      <c r="LO117" s="33"/>
      <c r="LP117" s="33"/>
      <c r="LQ117" s="33"/>
      <c r="LR117" s="33"/>
      <c r="LS117" s="33"/>
      <c r="LT117" s="33"/>
      <c r="LU117" s="33"/>
      <c r="LV117" s="33"/>
      <c r="LW117" s="33"/>
      <c r="LX117" s="33"/>
      <c r="LY117" s="33"/>
      <c r="LZ117" s="33"/>
      <c r="MA117" s="33"/>
      <c r="MB117" s="33"/>
      <c r="MC117" s="33"/>
      <c r="MD117" s="33"/>
      <c r="ME117" s="33"/>
      <c r="MF117" s="33"/>
      <c r="MG117" s="33"/>
      <c r="MH117" s="33"/>
      <c r="MI117" s="33"/>
      <c r="MJ117" s="33"/>
      <c r="MK117" s="33"/>
      <c r="ML117" s="33"/>
      <c r="MM117" s="33"/>
      <c r="MN117" s="33"/>
      <c r="MO117" s="33"/>
      <c r="MP117" s="33"/>
      <c r="MQ117" s="33"/>
      <c r="MR117" s="33"/>
      <c r="MS117" s="33"/>
      <c r="MT117" s="33"/>
      <c r="MU117" s="33"/>
      <c r="MV117" s="33"/>
      <c r="MW117" s="33"/>
      <c r="MX117" s="33"/>
      <c r="MY117" s="33"/>
      <c r="MZ117" s="33"/>
      <c r="NA117" s="33"/>
      <c r="NB117" s="33"/>
      <c r="NC117" s="33"/>
      <c r="ND117" s="33"/>
      <c r="NE117" s="33"/>
      <c r="NF117" s="33"/>
      <c r="NG117" s="33"/>
      <c r="NH117" s="33"/>
      <c r="NI117" s="33"/>
      <c r="NJ117" s="33"/>
      <c r="NK117" s="33"/>
      <c r="NL117" s="33"/>
      <c r="NM117" s="33"/>
      <c r="NN117" s="33"/>
      <c r="NO117" s="33"/>
      <c r="NP117" s="33"/>
      <c r="NQ117" s="33"/>
      <c r="NR117" s="33"/>
      <c r="NS117" s="33"/>
      <c r="NT117" s="31">
        <f>COUNTIF(F117:NS117,"1")</f>
        <v>0</v>
      </c>
      <c r="NU117" s="80" t="e">
        <f>NT118/NT117</f>
        <v>#DIV/0!</v>
      </c>
      <c r="NV117" s="29">
        <f>+IF(NX117&gt;=1,"1",0)</f>
        <v>0</v>
      </c>
      <c r="NW117" s="38">
        <f t="shared" si="254"/>
        <v>1</v>
      </c>
      <c r="NX117" s="35">
        <f>COUNTIF(F117:AU117,"1")</f>
        <v>0</v>
      </c>
      <c r="NY117" s="80" t="e">
        <f t="shared" ref="NY117" si="269">NX118/NX117</f>
        <v>#DIV/0!</v>
      </c>
      <c r="NZ117" s="29">
        <f>+IF(OB117&gt;=1,"1",0)</f>
        <v>0</v>
      </c>
      <c r="OA117" s="38">
        <f t="shared" si="255"/>
        <v>1</v>
      </c>
      <c r="OB117" s="35">
        <f>COUNTIF(AV117:CK117,"1")</f>
        <v>0</v>
      </c>
      <c r="OC117" s="80" t="e">
        <f>OB118/OB117</f>
        <v>#DIV/0!</v>
      </c>
      <c r="OD117" s="29">
        <f>+IF(OF117&gt;=1,"1",0)</f>
        <v>0</v>
      </c>
      <c r="OE117" s="38">
        <f t="shared" si="256"/>
        <v>1</v>
      </c>
      <c r="OF117" s="35">
        <f>COUNTIF(CL117:EA117,"1")</f>
        <v>0</v>
      </c>
      <c r="OG117" s="80" t="e">
        <f>OF118/OF117</f>
        <v>#DIV/0!</v>
      </c>
      <c r="OH117" s="29">
        <f>+IF(OJ117&gt;=1,"1",0)</f>
        <v>0</v>
      </c>
      <c r="OI117" s="38">
        <f t="shared" si="257"/>
        <v>1</v>
      </c>
      <c r="OJ117" s="35">
        <f>COUNTIF(EB117:FQ117,"1")</f>
        <v>0</v>
      </c>
      <c r="OK117" s="79" t="e">
        <f>OJ118/OJ117</f>
        <v>#DIV/0!</v>
      </c>
      <c r="OL117" s="29">
        <f>+IF(ON117&gt;=1,"1",0)</f>
        <v>0</v>
      </c>
      <c r="OM117" s="38">
        <f t="shared" si="258"/>
        <v>1</v>
      </c>
      <c r="ON117" s="35">
        <f>COUNTIF(FR117:HG117,"1")</f>
        <v>0</v>
      </c>
      <c r="OO117" s="79" t="e">
        <f>ON118/ON117</f>
        <v>#DIV/0!</v>
      </c>
      <c r="OP117" s="29">
        <f>+IF(OR117&gt;=1,"1",0)</f>
        <v>0</v>
      </c>
      <c r="OQ117" s="38">
        <f t="shared" si="259"/>
        <v>1</v>
      </c>
      <c r="OR117" s="35">
        <f>COUNTIF(HH117:IW117,"1")</f>
        <v>0</v>
      </c>
      <c r="OS117" s="79" t="e">
        <f>OR118/OR117</f>
        <v>#DIV/0!</v>
      </c>
      <c r="OT117" s="29">
        <f>+IF(OV117&gt;=1,"1",0)</f>
        <v>0</v>
      </c>
      <c r="OU117" s="38">
        <f t="shared" si="260"/>
        <v>1</v>
      </c>
      <c r="OV117" s="35">
        <f>COUNTIF(IX117:KM117,"1")</f>
        <v>0</v>
      </c>
      <c r="OW117" s="79" t="e">
        <f>OV118/OV117</f>
        <v>#DIV/0!</v>
      </c>
      <c r="OX117" s="29">
        <f>+IF(OZ117&gt;=1,"1",0)</f>
        <v>0</v>
      </c>
      <c r="OY117" s="38">
        <f t="shared" si="261"/>
        <v>1</v>
      </c>
      <c r="OZ117" s="35">
        <f>COUNTIF(KN117:MC117,"1")</f>
        <v>0</v>
      </c>
      <c r="PA117" s="79" t="e">
        <f>OZ118/OZ117</f>
        <v>#DIV/0!</v>
      </c>
      <c r="PB117" s="29">
        <f>+IF(PD117&gt;=1,"1",0)</f>
        <v>0</v>
      </c>
      <c r="PC117" s="38">
        <f t="shared" si="262"/>
        <v>1</v>
      </c>
      <c r="PD117" s="35">
        <f>COUNTIF(MD117:NS117,"1")</f>
        <v>0</v>
      </c>
      <c r="PE117" s="79" t="e">
        <f>PD118/PD117</f>
        <v>#DIV/0!</v>
      </c>
    </row>
    <row r="118" spans="1:421" ht="15.75" customHeight="1" outlineLevel="1" thickBot="1" x14ac:dyDescent="0.3">
      <c r="C118" s="83"/>
      <c r="D118" s="60"/>
      <c r="E118" s="54" t="s">
        <v>9</v>
      </c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70"/>
      <c r="Q118" s="34"/>
      <c r="R118" s="34"/>
      <c r="S118" s="34"/>
      <c r="T118" s="34"/>
      <c r="U118" s="34"/>
      <c r="V118" s="34"/>
      <c r="W118" s="70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  <c r="HI118" s="34"/>
      <c r="HJ118" s="34"/>
      <c r="HK118" s="34"/>
      <c r="HL118" s="34"/>
      <c r="HM118" s="34"/>
      <c r="HN118" s="34"/>
      <c r="HO118" s="34"/>
      <c r="HP118" s="34"/>
      <c r="HQ118" s="34"/>
      <c r="HR118" s="34"/>
      <c r="HS118" s="34"/>
      <c r="HT118" s="34"/>
      <c r="HU118" s="34"/>
      <c r="HV118" s="34"/>
      <c r="HW118" s="34"/>
      <c r="HX118" s="34"/>
      <c r="HY118" s="34"/>
      <c r="HZ118" s="34"/>
      <c r="IA118" s="34"/>
      <c r="IB118" s="34"/>
      <c r="IC118" s="34"/>
      <c r="ID118" s="34"/>
      <c r="IE118" s="34"/>
      <c r="IF118" s="34"/>
      <c r="IG118" s="34"/>
      <c r="IH118" s="34"/>
      <c r="II118" s="34"/>
      <c r="IJ118" s="34"/>
      <c r="IK118" s="34"/>
      <c r="IL118" s="34"/>
      <c r="IM118" s="34"/>
      <c r="IN118" s="34"/>
      <c r="IO118" s="34"/>
      <c r="IP118" s="34"/>
      <c r="IQ118" s="34"/>
      <c r="IR118" s="34"/>
      <c r="IS118" s="34"/>
      <c r="IT118" s="34"/>
      <c r="IU118" s="34"/>
      <c r="IV118" s="34"/>
      <c r="IW118" s="34"/>
      <c r="IX118" s="34"/>
      <c r="IY118" s="34"/>
      <c r="IZ118" s="34"/>
      <c r="JA118" s="34"/>
      <c r="JB118" s="34"/>
      <c r="JC118" s="34"/>
      <c r="JD118" s="34"/>
      <c r="JE118" s="34"/>
      <c r="JF118" s="34"/>
      <c r="JG118" s="34"/>
      <c r="JH118" s="34"/>
      <c r="JI118" s="34"/>
      <c r="JJ118" s="34"/>
      <c r="JK118" s="34"/>
      <c r="JL118" s="34"/>
      <c r="JM118" s="34"/>
      <c r="JN118" s="34"/>
      <c r="JO118" s="34"/>
      <c r="JP118" s="34"/>
      <c r="JQ118" s="34"/>
      <c r="JR118" s="34"/>
      <c r="JS118" s="34"/>
      <c r="JT118" s="34"/>
      <c r="JU118" s="34"/>
      <c r="JV118" s="34"/>
      <c r="JW118" s="34"/>
      <c r="JX118" s="34"/>
      <c r="JY118" s="34"/>
      <c r="JZ118" s="34"/>
      <c r="KA118" s="34"/>
      <c r="KB118" s="34"/>
      <c r="KC118" s="34"/>
      <c r="KD118" s="34"/>
      <c r="KE118" s="34"/>
      <c r="KF118" s="34"/>
      <c r="KG118" s="34"/>
      <c r="KH118" s="34"/>
      <c r="KI118" s="34"/>
      <c r="KJ118" s="34"/>
      <c r="KK118" s="34"/>
      <c r="KL118" s="34"/>
      <c r="KM118" s="34"/>
      <c r="KN118" s="34"/>
      <c r="KO118" s="34"/>
      <c r="KP118" s="34"/>
      <c r="KQ118" s="34"/>
      <c r="KR118" s="34"/>
      <c r="KS118" s="34"/>
      <c r="KT118" s="34"/>
      <c r="KU118" s="34"/>
      <c r="KV118" s="34"/>
      <c r="KW118" s="34"/>
      <c r="KX118" s="34"/>
      <c r="KY118" s="34"/>
      <c r="KZ118" s="34"/>
      <c r="LA118" s="34"/>
      <c r="LB118" s="34"/>
      <c r="LC118" s="34"/>
      <c r="LD118" s="34"/>
      <c r="LE118" s="34"/>
      <c r="LF118" s="34"/>
      <c r="LG118" s="34"/>
      <c r="LH118" s="34"/>
      <c r="LI118" s="34"/>
      <c r="LJ118" s="34"/>
      <c r="LK118" s="34"/>
      <c r="LL118" s="34"/>
      <c r="LM118" s="34"/>
      <c r="LN118" s="34"/>
      <c r="LO118" s="34"/>
      <c r="LP118" s="34"/>
      <c r="LQ118" s="34"/>
      <c r="LR118" s="34"/>
      <c r="LS118" s="34"/>
      <c r="LT118" s="34"/>
      <c r="LU118" s="34"/>
      <c r="LV118" s="34"/>
      <c r="LW118" s="34"/>
      <c r="LX118" s="34"/>
      <c r="LY118" s="34"/>
      <c r="LZ118" s="34"/>
      <c r="MA118" s="34"/>
      <c r="MB118" s="34"/>
      <c r="MC118" s="34"/>
      <c r="MD118" s="34"/>
      <c r="ME118" s="34"/>
      <c r="MF118" s="34"/>
      <c r="MG118" s="34"/>
      <c r="MH118" s="34"/>
      <c r="MI118" s="34"/>
      <c r="MJ118" s="34"/>
      <c r="MK118" s="34"/>
      <c r="ML118" s="34"/>
      <c r="MM118" s="34"/>
      <c r="MN118" s="34"/>
      <c r="MO118" s="34"/>
      <c r="MP118" s="34"/>
      <c r="MQ118" s="34"/>
      <c r="MR118" s="34"/>
      <c r="MS118" s="34"/>
      <c r="MT118" s="34"/>
      <c r="MU118" s="34"/>
      <c r="MV118" s="34"/>
      <c r="MW118" s="34"/>
      <c r="MX118" s="34"/>
      <c r="MY118" s="34"/>
      <c r="MZ118" s="34"/>
      <c r="NA118" s="34"/>
      <c r="NB118" s="34"/>
      <c r="NC118" s="34"/>
      <c r="ND118" s="34"/>
      <c r="NE118" s="34"/>
      <c r="NF118" s="34"/>
      <c r="NG118" s="34"/>
      <c r="NH118" s="34"/>
      <c r="NI118" s="34"/>
      <c r="NJ118" s="34"/>
      <c r="NK118" s="34"/>
      <c r="NL118" s="34"/>
      <c r="NM118" s="34"/>
      <c r="NN118" s="34"/>
      <c r="NO118" s="34"/>
      <c r="NP118" s="34"/>
      <c r="NQ118" s="34"/>
      <c r="NR118" s="34"/>
      <c r="NS118" s="34"/>
      <c r="NT118" s="7">
        <f>COUNTIF(F118:NS118,"x")</f>
        <v>0</v>
      </c>
      <c r="NU118" s="81"/>
      <c r="NV118" s="32" t="str">
        <f>IF(NX118=0,"0",NX118/NX117)</f>
        <v>0</v>
      </c>
      <c r="NW118" s="37">
        <f t="shared" si="254"/>
        <v>0</v>
      </c>
      <c r="NX118" s="36">
        <f>COUNTIF(F118:AU118,"x")</f>
        <v>0</v>
      </c>
      <c r="NY118" s="81"/>
      <c r="NZ118" s="32" t="str">
        <f>IF(OB118=0,"0",OB118/OB117)</f>
        <v>0</v>
      </c>
      <c r="OA118" s="37">
        <f t="shared" si="255"/>
        <v>0</v>
      </c>
      <c r="OB118" s="36">
        <f>COUNTIF(AV118:CK118,"x")</f>
        <v>0</v>
      </c>
      <c r="OC118" s="81"/>
      <c r="OD118" s="32" t="str">
        <f>IF(OF118=0,"0",OF118/OF117)</f>
        <v>0</v>
      </c>
      <c r="OE118" s="37">
        <f t="shared" si="256"/>
        <v>0</v>
      </c>
      <c r="OF118" s="36">
        <f>COUNTIF(CL118:EA118,"x")</f>
        <v>0</v>
      </c>
      <c r="OG118" s="81"/>
      <c r="OH118" s="32" t="str">
        <f>IF(OJ118=0,"0",OJ118/OJ117)</f>
        <v>0</v>
      </c>
      <c r="OI118" s="37">
        <f t="shared" si="257"/>
        <v>0</v>
      </c>
      <c r="OJ118" s="36">
        <f>COUNTIF(EB118:FQ118,"x")</f>
        <v>0</v>
      </c>
      <c r="OK118" s="74"/>
      <c r="OL118" s="32" t="str">
        <f>IF(ON118=0,"0",ON118/ON117)</f>
        <v>0</v>
      </c>
      <c r="OM118" s="37">
        <f t="shared" si="258"/>
        <v>0</v>
      </c>
      <c r="ON118" s="36">
        <f>COUNTIF(FR118:HG118,"x")</f>
        <v>0</v>
      </c>
      <c r="OO118" s="74"/>
      <c r="OP118" s="32" t="str">
        <f>IF(OR118=0,"0",OR118/OR117)</f>
        <v>0</v>
      </c>
      <c r="OQ118" s="37">
        <f t="shared" si="259"/>
        <v>0</v>
      </c>
      <c r="OR118" s="36">
        <f>COUNTIF(HH118:IW118,"x")</f>
        <v>0</v>
      </c>
      <c r="OS118" s="74"/>
      <c r="OT118" s="32" t="str">
        <f>IF(OV118=0,"0",OV118/OV117)</f>
        <v>0</v>
      </c>
      <c r="OU118" s="37">
        <f t="shared" si="260"/>
        <v>0</v>
      </c>
      <c r="OV118" s="36">
        <f>COUNTIF(IX118:KM118,"x")</f>
        <v>0</v>
      </c>
      <c r="OW118" s="74"/>
      <c r="OX118" s="32" t="str">
        <f>IF(OZ118=0,"0",OZ118/OZ117)</f>
        <v>0</v>
      </c>
      <c r="OY118" s="37">
        <f t="shared" si="261"/>
        <v>0</v>
      </c>
      <c r="OZ118" s="36">
        <f>COUNTIF(KN118:MC118,"x")</f>
        <v>0</v>
      </c>
      <c r="PA118" s="74"/>
      <c r="PB118" s="32" t="str">
        <f>IF(PD118=0,"0",PD118/PD117)</f>
        <v>0</v>
      </c>
      <c r="PC118" s="37">
        <f t="shared" si="262"/>
        <v>0</v>
      </c>
      <c r="PD118" s="36">
        <f>COUNTIF(MD118:NS118,"x")</f>
        <v>0</v>
      </c>
      <c r="PE118" s="74"/>
    </row>
    <row r="119" spans="1:421" ht="15.75" customHeight="1" outlineLevel="1" x14ac:dyDescent="0.25">
      <c r="C119" s="82"/>
      <c r="D119" s="59"/>
      <c r="E119" s="53" t="s">
        <v>8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69"/>
      <c r="Q119" s="33"/>
      <c r="R119" s="33"/>
      <c r="S119" s="33"/>
      <c r="T119" s="33"/>
      <c r="U119" s="33"/>
      <c r="V119" s="33"/>
      <c r="W119" s="69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  <c r="HI119" s="33"/>
      <c r="HJ119" s="33"/>
      <c r="HK119" s="33"/>
      <c r="HL119" s="33"/>
      <c r="HM119" s="33"/>
      <c r="HN119" s="33"/>
      <c r="HO119" s="33"/>
      <c r="HP119" s="33"/>
      <c r="HQ119" s="33"/>
      <c r="HR119" s="33"/>
      <c r="HS119" s="33"/>
      <c r="HT119" s="33"/>
      <c r="HU119" s="33"/>
      <c r="HV119" s="33"/>
      <c r="HW119" s="33"/>
      <c r="HX119" s="33"/>
      <c r="HY119" s="33"/>
      <c r="HZ119" s="33"/>
      <c r="IA119" s="33"/>
      <c r="IB119" s="33"/>
      <c r="IC119" s="33"/>
      <c r="ID119" s="33"/>
      <c r="IE119" s="33"/>
      <c r="IF119" s="33"/>
      <c r="IG119" s="33"/>
      <c r="IH119" s="33"/>
      <c r="II119" s="33"/>
      <c r="IJ119" s="33"/>
      <c r="IK119" s="33"/>
      <c r="IL119" s="33"/>
      <c r="IM119" s="33"/>
      <c r="IN119" s="33"/>
      <c r="IO119" s="33"/>
      <c r="IP119" s="33"/>
      <c r="IQ119" s="33"/>
      <c r="IR119" s="33"/>
      <c r="IS119" s="33"/>
      <c r="IT119" s="33"/>
      <c r="IU119" s="33"/>
      <c r="IV119" s="33"/>
      <c r="IW119" s="33"/>
      <c r="IX119" s="33"/>
      <c r="IY119" s="33"/>
      <c r="IZ119" s="33"/>
      <c r="JA119" s="33"/>
      <c r="JB119" s="33"/>
      <c r="JC119" s="33"/>
      <c r="JD119" s="33"/>
      <c r="JE119" s="33"/>
      <c r="JF119" s="33"/>
      <c r="JG119" s="33"/>
      <c r="JH119" s="33"/>
      <c r="JI119" s="33"/>
      <c r="JJ119" s="33"/>
      <c r="JK119" s="33"/>
      <c r="JL119" s="33"/>
      <c r="JM119" s="33"/>
      <c r="JN119" s="33"/>
      <c r="JO119" s="33"/>
      <c r="JP119" s="33"/>
      <c r="JQ119" s="33"/>
      <c r="JR119" s="33"/>
      <c r="JS119" s="33"/>
      <c r="JT119" s="33"/>
      <c r="JU119" s="33"/>
      <c r="JV119" s="33"/>
      <c r="JW119" s="33"/>
      <c r="JX119" s="33"/>
      <c r="JY119" s="33"/>
      <c r="JZ119" s="33"/>
      <c r="KA119" s="33"/>
      <c r="KB119" s="33"/>
      <c r="KC119" s="33"/>
      <c r="KD119" s="33"/>
      <c r="KE119" s="33"/>
      <c r="KF119" s="33"/>
      <c r="KG119" s="33"/>
      <c r="KH119" s="33"/>
      <c r="KI119" s="33"/>
      <c r="KJ119" s="33"/>
      <c r="KK119" s="33"/>
      <c r="KL119" s="33"/>
      <c r="KM119" s="33"/>
      <c r="KN119" s="33"/>
      <c r="KO119" s="33"/>
      <c r="KP119" s="33"/>
      <c r="KQ119" s="33"/>
      <c r="KR119" s="33"/>
      <c r="KS119" s="33"/>
      <c r="KT119" s="33"/>
      <c r="KU119" s="33"/>
      <c r="KV119" s="33"/>
      <c r="KW119" s="33"/>
      <c r="KX119" s="33"/>
      <c r="KY119" s="33"/>
      <c r="KZ119" s="33"/>
      <c r="LA119" s="33"/>
      <c r="LB119" s="33"/>
      <c r="LC119" s="33"/>
      <c r="LD119" s="33"/>
      <c r="LE119" s="33"/>
      <c r="LF119" s="33"/>
      <c r="LG119" s="33"/>
      <c r="LH119" s="33"/>
      <c r="LI119" s="33"/>
      <c r="LJ119" s="33"/>
      <c r="LK119" s="33"/>
      <c r="LL119" s="33"/>
      <c r="LM119" s="33"/>
      <c r="LN119" s="33"/>
      <c r="LO119" s="33"/>
      <c r="LP119" s="33"/>
      <c r="LQ119" s="33"/>
      <c r="LR119" s="33"/>
      <c r="LS119" s="33"/>
      <c r="LT119" s="33"/>
      <c r="LU119" s="33"/>
      <c r="LV119" s="33"/>
      <c r="LW119" s="33"/>
      <c r="LX119" s="33"/>
      <c r="LY119" s="33"/>
      <c r="LZ119" s="33"/>
      <c r="MA119" s="33"/>
      <c r="MB119" s="33"/>
      <c r="MC119" s="33"/>
      <c r="MD119" s="33"/>
      <c r="ME119" s="33"/>
      <c r="MF119" s="33"/>
      <c r="MG119" s="33"/>
      <c r="MH119" s="33"/>
      <c r="MI119" s="33"/>
      <c r="MJ119" s="33"/>
      <c r="MK119" s="33"/>
      <c r="ML119" s="33"/>
      <c r="MM119" s="33"/>
      <c r="MN119" s="33"/>
      <c r="MO119" s="33"/>
      <c r="MP119" s="33"/>
      <c r="MQ119" s="33"/>
      <c r="MR119" s="33"/>
      <c r="MS119" s="33"/>
      <c r="MT119" s="33"/>
      <c r="MU119" s="33"/>
      <c r="MV119" s="33"/>
      <c r="MW119" s="33"/>
      <c r="MX119" s="33"/>
      <c r="MY119" s="33"/>
      <c r="MZ119" s="33"/>
      <c r="NA119" s="33"/>
      <c r="NB119" s="33"/>
      <c r="NC119" s="33"/>
      <c r="ND119" s="33"/>
      <c r="NE119" s="33"/>
      <c r="NF119" s="33"/>
      <c r="NG119" s="33"/>
      <c r="NH119" s="33"/>
      <c r="NI119" s="33"/>
      <c r="NJ119" s="33"/>
      <c r="NK119" s="33"/>
      <c r="NL119" s="33"/>
      <c r="NM119" s="33"/>
      <c r="NN119" s="33"/>
      <c r="NO119" s="33"/>
      <c r="NP119" s="33"/>
      <c r="NQ119" s="33"/>
      <c r="NR119" s="33"/>
      <c r="NS119" s="33"/>
      <c r="NT119" s="31">
        <f>COUNTIF(F119:NS119,"1")</f>
        <v>0</v>
      </c>
      <c r="NU119" s="80" t="e">
        <f>NT120/NT119</f>
        <v>#DIV/0!</v>
      </c>
      <c r="NV119" s="29">
        <f>+IF(NX119&gt;=1,"1",0)</f>
        <v>0</v>
      </c>
      <c r="NW119" s="38">
        <f t="shared" si="254"/>
        <v>1</v>
      </c>
      <c r="NX119" s="35">
        <f>COUNTIF(F119:AU119,"1")</f>
        <v>0</v>
      </c>
      <c r="NY119" s="80" t="e">
        <f t="shared" ref="NY119:NY163" si="270">NX120/NX119</f>
        <v>#DIV/0!</v>
      </c>
      <c r="NZ119" s="29">
        <f>+IF(OB119&gt;=1,"1",0)</f>
        <v>0</v>
      </c>
      <c r="OA119" s="38">
        <f t="shared" si="255"/>
        <v>1</v>
      </c>
      <c r="OB119" s="35">
        <f>COUNTIF(AV119:CK119,"1")</f>
        <v>0</v>
      </c>
      <c r="OC119" s="80" t="e">
        <f>OB120/OB119</f>
        <v>#DIV/0!</v>
      </c>
      <c r="OD119" s="29">
        <f>+IF(OF119&gt;=1,"1",0)</f>
        <v>0</v>
      </c>
      <c r="OE119" s="38">
        <f t="shared" si="256"/>
        <v>1</v>
      </c>
      <c r="OF119" s="35">
        <f>COUNTIF(CL119:EA119,"1")</f>
        <v>0</v>
      </c>
      <c r="OG119" s="80" t="e">
        <f>OF120/OF119</f>
        <v>#DIV/0!</v>
      </c>
      <c r="OH119" s="29">
        <f>+IF(OJ119&gt;=1,"1",0)</f>
        <v>0</v>
      </c>
      <c r="OI119" s="38">
        <f t="shared" si="257"/>
        <v>1</v>
      </c>
      <c r="OJ119" s="35">
        <f>COUNTIF(EB119:FQ119,"1")</f>
        <v>0</v>
      </c>
      <c r="OK119" s="79" t="e">
        <f>OJ120/OJ119</f>
        <v>#DIV/0!</v>
      </c>
      <c r="OL119" s="29">
        <f>+IF(ON119&gt;=1,"1",0)</f>
        <v>0</v>
      </c>
      <c r="OM119" s="38">
        <f t="shared" si="258"/>
        <v>1</v>
      </c>
      <c r="ON119" s="35">
        <f>COUNTIF(FR119:HG119,"1")</f>
        <v>0</v>
      </c>
      <c r="OO119" s="79" t="e">
        <f>ON120/ON119</f>
        <v>#DIV/0!</v>
      </c>
      <c r="OP119" s="29">
        <f>+IF(OR119&gt;=1,"1",0)</f>
        <v>0</v>
      </c>
      <c r="OQ119" s="38">
        <f t="shared" si="259"/>
        <v>1</v>
      </c>
      <c r="OR119" s="35">
        <f>COUNTIF(HH119:IW119,"1")</f>
        <v>0</v>
      </c>
      <c r="OS119" s="79" t="e">
        <f>OR120/OR119</f>
        <v>#DIV/0!</v>
      </c>
      <c r="OT119" s="29">
        <f>+IF(OV119&gt;=1,"1",0)</f>
        <v>0</v>
      </c>
      <c r="OU119" s="38">
        <f t="shared" si="260"/>
        <v>1</v>
      </c>
      <c r="OV119" s="35">
        <f>COUNTIF(IX119:KM119,"1")</f>
        <v>0</v>
      </c>
      <c r="OW119" s="79" t="e">
        <f>OV120/OV119</f>
        <v>#DIV/0!</v>
      </c>
      <c r="OX119" s="29">
        <f>+IF(OZ119&gt;=1,"1",0)</f>
        <v>0</v>
      </c>
      <c r="OY119" s="38">
        <f t="shared" si="261"/>
        <v>1</v>
      </c>
      <c r="OZ119" s="35">
        <f>COUNTIF(KN119:MC119,"1")</f>
        <v>0</v>
      </c>
      <c r="PA119" s="79" t="e">
        <f>OZ120/OZ119</f>
        <v>#DIV/0!</v>
      </c>
      <c r="PB119" s="29">
        <f>+IF(PD119&gt;=1,"1",0)</f>
        <v>0</v>
      </c>
      <c r="PC119" s="38">
        <f t="shared" si="262"/>
        <v>1</v>
      </c>
      <c r="PD119" s="35">
        <f>COUNTIF(MD119:NS119,"1")</f>
        <v>0</v>
      </c>
      <c r="PE119" s="79" t="e">
        <f>PD120/PD119</f>
        <v>#DIV/0!</v>
      </c>
    </row>
    <row r="120" spans="1:421" ht="15.75" customHeight="1" outlineLevel="1" thickBot="1" x14ac:dyDescent="0.3">
      <c r="C120" s="83"/>
      <c r="D120" s="60"/>
      <c r="E120" s="54" t="s">
        <v>9</v>
      </c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70"/>
      <c r="Q120" s="34"/>
      <c r="R120" s="34"/>
      <c r="S120" s="34"/>
      <c r="T120" s="34"/>
      <c r="U120" s="34"/>
      <c r="V120" s="34"/>
      <c r="W120" s="70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  <c r="HI120" s="34"/>
      <c r="HJ120" s="34"/>
      <c r="HK120" s="34"/>
      <c r="HL120" s="34"/>
      <c r="HM120" s="34"/>
      <c r="HN120" s="34"/>
      <c r="HO120" s="34"/>
      <c r="HP120" s="34"/>
      <c r="HQ120" s="34"/>
      <c r="HR120" s="34"/>
      <c r="HS120" s="34"/>
      <c r="HT120" s="34"/>
      <c r="HU120" s="34"/>
      <c r="HV120" s="34"/>
      <c r="HW120" s="34"/>
      <c r="HX120" s="34"/>
      <c r="HY120" s="34"/>
      <c r="HZ120" s="34"/>
      <c r="IA120" s="34"/>
      <c r="IB120" s="34"/>
      <c r="IC120" s="34"/>
      <c r="ID120" s="34"/>
      <c r="IE120" s="34"/>
      <c r="IF120" s="34"/>
      <c r="IG120" s="34"/>
      <c r="IH120" s="34"/>
      <c r="II120" s="34"/>
      <c r="IJ120" s="34"/>
      <c r="IK120" s="34"/>
      <c r="IL120" s="34"/>
      <c r="IM120" s="34"/>
      <c r="IN120" s="34"/>
      <c r="IO120" s="34"/>
      <c r="IP120" s="34"/>
      <c r="IQ120" s="34"/>
      <c r="IR120" s="34"/>
      <c r="IS120" s="34"/>
      <c r="IT120" s="34"/>
      <c r="IU120" s="34"/>
      <c r="IV120" s="34"/>
      <c r="IW120" s="34"/>
      <c r="IX120" s="34"/>
      <c r="IY120" s="34"/>
      <c r="IZ120" s="34"/>
      <c r="JA120" s="34"/>
      <c r="JB120" s="34"/>
      <c r="JC120" s="34"/>
      <c r="JD120" s="34"/>
      <c r="JE120" s="34"/>
      <c r="JF120" s="34"/>
      <c r="JG120" s="34"/>
      <c r="JH120" s="34"/>
      <c r="JI120" s="34"/>
      <c r="JJ120" s="34"/>
      <c r="JK120" s="34"/>
      <c r="JL120" s="34"/>
      <c r="JM120" s="34"/>
      <c r="JN120" s="34"/>
      <c r="JO120" s="34"/>
      <c r="JP120" s="34"/>
      <c r="JQ120" s="34"/>
      <c r="JR120" s="34"/>
      <c r="JS120" s="34"/>
      <c r="JT120" s="34"/>
      <c r="JU120" s="34"/>
      <c r="JV120" s="34"/>
      <c r="JW120" s="34"/>
      <c r="JX120" s="34"/>
      <c r="JY120" s="34"/>
      <c r="JZ120" s="34"/>
      <c r="KA120" s="34"/>
      <c r="KB120" s="34"/>
      <c r="KC120" s="34"/>
      <c r="KD120" s="34"/>
      <c r="KE120" s="34"/>
      <c r="KF120" s="34"/>
      <c r="KG120" s="34"/>
      <c r="KH120" s="34"/>
      <c r="KI120" s="34"/>
      <c r="KJ120" s="34"/>
      <c r="KK120" s="34"/>
      <c r="KL120" s="34"/>
      <c r="KM120" s="34"/>
      <c r="KN120" s="34"/>
      <c r="KO120" s="34"/>
      <c r="KP120" s="34"/>
      <c r="KQ120" s="34"/>
      <c r="KR120" s="34"/>
      <c r="KS120" s="34"/>
      <c r="KT120" s="34"/>
      <c r="KU120" s="34"/>
      <c r="KV120" s="34"/>
      <c r="KW120" s="34"/>
      <c r="KX120" s="34"/>
      <c r="KY120" s="34"/>
      <c r="KZ120" s="34"/>
      <c r="LA120" s="34"/>
      <c r="LB120" s="34"/>
      <c r="LC120" s="34"/>
      <c r="LD120" s="34"/>
      <c r="LE120" s="34"/>
      <c r="LF120" s="34"/>
      <c r="LG120" s="34"/>
      <c r="LH120" s="34"/>
      <c r="LI120" s="34"/>
      <c r="LJ120" s="34"/>
      <c r="LK120" s="34"/>
      <c r="LL120" s="34"/>
      <c r="LM120" s="34"/>
      <c r="LN120" s="34"/>
      <c r="LO120" s="34"/>
      <c r="LP120" s="34"/>
      <c r="LQ120" s="34"/>
      <c r="LR120" s="34"/>
      <c r="LS120" s="34"/>
      <c r="LT120" s="34"/>
      <c r="LU120" s="34"/>
      <c r="LV120" s="34"/>
      <c r="LW120" s="34"/>
      <c r="LX120" s="34"/>
      <c r="LY120" s="34"/>
      <c r="LZ120" s="34"/>
      <c r="MA120" s="34"/>
      <c r="MB120" s="34"/>
      <c r="MC120" s="34"/>
      <c r="MD120" s="34"/>
      <c r="ME120" s="34"/>
      <c r="MF120" s="34"/>
      <c r="MG120" s="34"/>
      <c r="MH120" s="34"/>
      <c r="MI120" s="34"/>
      <c r="MJ120" s="34"/>
      <c r="MK120" s="34"/>
      <c r="ML120" s="34"/>
      <c r="MM120" s="34"/>
      <c r="MN120" s="34"/>
      <c r="MO120" s="34"/>
      <c r="MP120" s="34"/>
      <c r="MQ120" s="34"/>
      <c r="MR120" s="34"/>
      <c r="MS120" s="34"/>
      <c r="MT120" s="34"/>
      <c r="MU120" s="34"/>
      <c r="MV120" s="34"/>
      <c r="MW120" s="34"/>
      <c r="MX120" s="34"/>
      <c r="MY120" s="34"/>
      <c r="MZ120" s="34"/>
      <c r="NA120" s="34"/>
      <c r="NB120" s="34"/>
      <c r="NC120" s="34"/>
      <c r="ND120" s="34"/>
      <c r="NE120" s="34"/>
      <c r="NF120" s="34"/>
      <c r="NG120" s="34"/>
      <c r="NH120" s="34"/>
      <c r="NI120" s="34"/>
      <c r="NJ120" s="34"/>
      <c r="NK120" s="34"/>
      <c r="NL120" s="34"/>
      <c r="NM120" s="34"/>
      <c r="NN120" s="34"/>
      <c r="NO120" s="34"/>
      <c r="NP120" s="34"/>
      <c r="NQ120" s="34"/>
      <c r="NR120" s="34"/>
      <c r="NS120" s="34"/>
      <c r="NT120" s="7">
        <f>COUNTIF(F120:NS120,"x")</f>
        <v>0</v>
      </c>
      <c r="NU120" s="81"/>
      <c r="NV120" s="32" t="str">
        <f>IF(NX120=0,"0",NX120/NX119)</f>
        <v>0</v>
      </c>
      <c r="NW120" s="37">
        <f t="shared" si="254"/>
        <v>0</v>
      </c>
      <c r="NX120" s="36">
        <f>COUNTIF(F120:AU120,"x")</f>
        <v>0</v>
      </c>
      <c r="NY120" s="81"/>
      <c r="NZ120" s="32" t="str">
        <f>IF(OB120=0,"0",OB120/OB119)</f>
        <v>0</v>
      </c>
      <c r="OA120" s="37">
        <f t="shared" si="255"/>
        <v>0</v>
      </c>
      <c r="OB120" s="36">
        <f>COUNTIF(AV120:CK120,"x")</f>
        <v>0</v>
      </c>
      <c r="OC120" s="81"/>
      <c r="OD120" s="32" t="str">
        <f>IF(OF120=0,"0",OF120/OF119)</f>
        <v>0</v>
      </c>
      <c r="OE120" s="37">
        <f t="shared" si="256"/>
        <v>0</v>
      </c>
      <c r="OF120" s="36">
        <f>COUNTIF(CL120:EA120,"x")</f>
        <v>0</v>
      </c>
      <c r="OG120" s="81"/>
      <c r="OH120" s="32" t="str">
        <f>IF(OJ120=0,"0",OJ120/OJ119)</f>
        <v>0</v>
      </c>
      <c r="OI120" s="37">
        <f t="shared" si="257"/>
        <v>0</v>
      </c>
      <c r="OJ120" s="36">
        <f>COUNTIF(EB120:FQ120,"x")</f>
        <v>0</v>
      </c>
      <c r="OK120" s="74"/>
      <c r="OL120" s="32" t="str">
        <f>IF(ON120=0,"0",ON120/ON119)</f>
        <v>0</v>
      </c>
      <c r="OM120" s="37">
        <f t="shared" si="258"/>
        <v>0</v>
      </c>
      <c r="ON120" s="36">
        <f>COUNTIF(FR120:HG120,"x")</f>
        <v>0</v>
      </c>
      <c r="OO120" s="74"/>
      <c r="OP120" s="32" t="str">
        <f>IF(OR120=0,"0",OR120/OR119)</f>
        <v>0</v>
      </c>
      <c r="OQ120" s="37">
        <f t="shared" si="259"/>
        <v>0</v>
      </c>
      <c r="OR120" s="36">
        <f>COUNTIF(HH120:IW120,"x")</f>
        <v>0</v>
      </c>
      <c r="OS120" s="74"/>
      <c r="OT120" s="32" t="str">
        <f>IF(OV120=0,"0",OV120/OV119)</f>
        <v>0</v>
      </c>
      <c r="OU120" s="37">
        <f t="shared" si="260"/>
        <v>0</v>
      </c>
      <c r="OV120" s="36">
        <f>COUNTIF(IX120:KM120,"x")</f>
        <v>0</v>
      </c>
      <c r="OW120" s="74"/>
      <c r="OX120" s="32" t="str">
        <f>IF(OZ120=0,"0",OZ120/OZ119)</f>
        <v>0</v>
      </c>
      <c r="OY120" s="37">
        <f t="shared" si="261"/>
        <v>0</v>
      </c>
      <c r="OZ120" s="36">
        <f>COUNTIF(KN120:MC120,"x")</f>
        <v>0</v>
      </c>
      <c r="PA120" s="74"/>
      <c r="PB120" s="32" t="str">
        <f>IF(PD120=0,"0",PD120/PD119)</f>
        <v>0</v>
      </c>
      <c r="PC120" s="37">
        <f t="shared" si="262"/>
        <v>0</v>
      </c>
      <c r="PD120" s="36">
        <f>COUNTIF(MD120:NS120,"x")</f>
        <v>0</v>
      </c>
      <c r="PE120" s="74"/>
    </row>
    <row r="121" spans="1:421" ht="15.75" customHeight="1" x14ac:dyDescent="0.25">
      <c r="A121" s="18"/>
      <c r="B121" s="18"/>
      <c r="C121" s="94" t="s">
        <v>31</v>
      </c>
      <c r="D121" s="57"/>
      <c r="E121" s="51" t="s">
        <v>8</v>
      </c>
      <c r="F121" s="12">
        <f>COUNTIF(F123:F148,"1")</f>
        <v>0</v>
      </c>
      <c r="G121" s="12">
        <f>COUNTIF(G123:G148,"1")</f>
        <v>0</v>
      </c>
      <c r="H121" s="12">
        <f>COUNTIF(H123:H148,"1")</f>
        <v>0</v>
      </c>
      <c r="I121" s="12">
        <f>COUNTIF(I123:I148,"1")</f>
        <v>0</v>
      </c>
      <c r="J121" s="12">
        <f>COUNTIF(J123:J148,"1")</f>
        <v>0</v>
      </c>
      <c r="K121" s="12">
        <f>COUNTIF(K123:K148,"1")</f>
        <v>0</v>
      </c>
      <c r="L121" s="12">
        <f>COUNTIF(L123:L148,"1")</f>
        <v>0</v>
      </c>
      <c r="M121" s="12">
        <f>COUNTIF(M123:M148,"1")</f>
        <v>0</v>
      </c>
      <c r="N121" s="12">
        <f>COUNTIF(N123:N148,"1")</f>
        <v>0</v>
      </c>
      <c r="O121" s="12">
        <f>COUNTIF(O123:O148,"1")</f>
        <v>0</v>
      </c>
      <c r="P121" s="69">
        <f>COUNTIF(P123:P148,"1")</f>
        <v>0</v>
      </c>
      <c r="Q121" s="12">
        <f>COUNTIF(Q123:Q148,"1")</f>
        <v>0</v>
      </c>
      <c r="R121" s="12">
        <f>COUNTIF(R123:R148,"1")</f>
        <v>0</v>
      </c>
      <c r="S121" s="12">
        <f>COUNTIF(S123:S148,"1")</f>
        <v>0</v>
      </c>
      <c r="T121" s="12">
        <f>COUNTIF(T123:T148,"1")</f>
        <v>0</v>
      </c>
      <c r="U121" s="12">
        <f>COUNTIF(U123:U148,"1")</f>
        <v>0</v>
      </c>
      <c r="V121" s="12">
        <f>COUNTIF(V123:V148,"1")</f>
        <v>0</v>
      </c>
      <c r="W121" s="69">
        <f>COUNTIF(W123:W148,"1")</f>
        <v>0</v>
      </c>
      <c r="X121" s="12">
        <f>COUNTIF(X123:X148,"1")</f>
        <v>1</v>
      </c>
      <c r="Y121" s="12">
        <f>COUNTIF(Y123:Y148,"1")</f>
        <v>1</v>
      </c>
      <c r="Z121" s="12">
        <f>COUNTIF(Z123:Z148,"1")</f>
        <v>1</v>
      </c>
      <c r="AA121" s="12">
        <f>COUNTIF(AA123:AA148,"1")</f>
        <v>1</v>
      </c>
      <c r="AB121" s="12">
        <f>COUNTIF(AB123:AB148,"1")</f>
        <v>0</v>
      </c>
      <c r="AC121" s="12">
        <f>COUNTIF(AC123:AC148,"1")</f>
        <v>0</v>
      </c>
      <c r="AD121" s="12">
        <f>COUNTIF(AD123:AD148,"1")</f>
        <v>1</v>
      </c>
      <c r="AE121" s="12">
        <f>COUNTIF(AE123:AE148,"1")</f>
        <v>1</v>
      </c>
      <c r="AF121" s="12">
        <f>COUNTIF(AF123:AF148,"1")</f>
        <v>1</v>
      </c>
      <c r="AG121" s="12">
        <f>COUNTIF(AG123:AG148,"1")</f>
        <v>1</v>
      </c>
      <c r="AH121" s="12">
        <f>COUNTIF(AH123:AH148,"1")</f>
        <v>1</v>
      </c>
      <c r="AI121" s="12">
        <f>COUNTIF(AI123:AI148,"1")</f>
        <v>0</v>
      </c>
      <c r="AJ121" s="12">
        <f>COUNTIF(AJ123:AJ148,"1")</f>
        <v>0</v>
      </c>
      <c r="AK121" s="12">
        <f>COUNTIF(AK123:AK148,"1")</f>
        <v>1</v>
      </c>
      <c r="AL121" s="12">
        <f>COUNTIF(AL123:AL148,"1")</f>
        <v>0</v>
      </c>
      <c r="AM121" s="12">
        <f>COUNTIF(AM123:AM148,"1")</f>
        <v>0</v>
      </c>
      <c r="AN121" s="12">
        <f>COUNTIF(AN123:AN148,"1")</f>
        <v>0</v>
      </c>
      <c r="AO121" s="12">
        <f>COUNTIF(AO123:AO148,"1")</f>
        <v>0</v>
      </c>
      <c r="AP121" s="12">
        <f>COUNTIF(AP123:AP148,"1")</f>
        <v>0</v>
      </c>
      <c r="AQ121" s="12">
        <f>COUNTIF(AQ123:AQ148,"1")</f>
        <v>0</v>
      </c>
      <c r="AR121" s="12">
        <f>COUNTIF(AR123:AR148,"1")</f>
        <v>2</v>
      </c>
      <c r="AS121" s="12">
        <f>COUNTIF(AS123:AS148,"1")</f>
        <v>1</v>
      </c>
      <c r="AT121" s="12">
        <f>COUNTIF(AT123:AT148,"1")</f>
        <v>1</v>
      </c>
      <c r="AU121" s="12">
        <f>COUNTIF(AU123:AU148,"1")</f>
        <v>1</v>
      </c>
      <c r="AV121" s="12">
        <f>COUNTIF(AV123:AV148,"1")</f>
        <v>1</v>
      </c>
      <c r="AW121" s="12">
        <f>COUNTIF(AW123:AW148,"1")</f>
        <v>0</v>
      </c>
      <c r="AX121" s="12">
        <f>COUNTIF(AX123:AX148,"1")</f>
        <v>0</v>
      </c>
      <c r="AY121" s="12">
        <f>COUNTIF(AY123:AY148,"1")</f>
        <v>1</v>
      </c>
      <c r="AZ121" s="12">
        <f>COUNTIF(AZ123:AZ148,"1")</f>
        <v>0</v>
      </c>
      <c r="BA121" s="12">
        <f>COUNTIF(BA123:BA148,"1")</f>
        <v>0</v>
      </c>
      <c r="BB121" s="12">
        <f>COUNTIF(BB123:BB148,"1")</f>
        <v>0</v>
      </c>
      <c r="BC121" s="12">
        <f>COUNTIF(BC123:BC148,"1")</f>
        <v>0</v>
      </c>
      <c r="BD121" s="12">
        <f>COUNTIF(BD123:BD148,"1")</f>
        <v>0</v>
      </c>
      <c r="BE121" s="12">
        <f>COUNTIF(BE123:BE148,"1")</f>
        <v>0</v>
      </c>
      <c r="BF121" s="12">
        <f>COUNTIF(BF123:BF148,"1")</f>
        <v>0</v>
      </c>
      <c r="BG121" s="12">
        <f>COUNTIF(BG123:BG148,"1")</f>
        <v>0</v>
      </c>
      <c r="BH121" s="12">
        <f>COUNTIF(BH123:BH148,"1")</f>
        <v>0</v>
      </c>
      <c r="BI121" s="12">
        <f>COUNTIF(BI123:BI148,"1")</f>
        <v>0</v>
      </c>
      <c r="BJ121" s="12">
        <f>COUNTIF(BJ123:BJ148,"1")</f>
        <v>0</v>
      </c>
      <c r="BK121" s="12">
        <f>COUNTIF(BK123:BK148,"1")</f>
        <v>0</v>
      </c>
      <c r="BL121" s="12">
        <f>COUNTIF(BL123:BL148,"1")</f>
        <v>0</v>
      </c>
      <c r="BM121" s="12">
        <f>COUNTIF(BM123:BM148,"1")</f>
        <v>0</v>
      </c>
      <c r="BN121" s="12">
        <f>COUNTIF(BN123:BN148,"1")</f>
        <v>0</v>
      </c>
      <c r="BO121" s="12">
        <f>COUNTIF(BO123:BO148,"1")</f>
        <v>0</v>
      </c>
      <c r="BP121" s="12">
        <f>COUNTIF(BP123:BP148,"1")</f>
        <v>0</v>
      </c>
      <c r="BQ121" s="12">
        <f>COUNTIF(BQ123:BQ148,"1")</f>
        <v>0</v>
      </c>
      <c r="BR121" s="12">
        <f>COUNTIF(BR123:BR148,"1")</f>
        <v>0</v>
      </c>
      <c r="BS121" s="12">
        <f>COUNTIF(BS123:BS148,"1")</f>
        <v>0</v>
      </c>
      <c r="BT121" s="12">
        <f>COUNTIF(BT123:BT148,"1")</f>
        <v>0</v>
      </c>
      <c r="BU121" s="12">
        <f>COUNTIF(BU123:BU148,"1")</f>
        <v>0</v>
      </c>
      <c r="BV121" s="12">
        <f>COUNTIF(BV123:BV148,"1")</f>
        <v>0</v>
      </c>
      <c r="BW121" s="12">
        <f>COUNTIF(BW123:BW148,"1")</f>
        <v>0</v>
      </c>
      <c r="BX121" s="12">
        <f>COUNTIF(BX123:BX148,"1")</f>
        <v>0</v>
      </c>
      <c r="BY121" s="12">
        <f>COUNTIF(BY123:BY148,"1")</f>
        <v>0</v>
      </c>
      <c r="BZ121" s="12">
        <f>COUNTIF(BZ123:BZ148,"1")</f>
        <v>0</v>
      </c>
      <c r="CA121" s="12">
        <f>COUNTIF(CA123:CA148,"1")</f>
        <v>0</v>
      </c>
      <c r="CB121" s="12">
        <f>COUNTIF(CB123:CB148,"1")</f>
        <v>0</v>
      </c>
      <c r="CC121" s="12">
        <f>COUNTIF(CC123:CC148,"1")</f>
        <v>0</v>
      </c>
      <c r="CD121" s="12">
        <f>COUNTIF(CD123:CD148,"1")</f>
        <v>0</v>
      </c>
      <c r="CE121" s="12">
        <f>COUNTIF(CE123:CE148,"1")</f>
        <v>0</v>
      </c>
      <c r="CF121" s="12">
        <f>COUNTIF(CF123:CF148,"1")</f>
        <v>0</v>
      </c>
      <c r="CG121" s="12">
        <f>COUNTIF(CG123:CG148,"1")</f>
        <v>0</v>
      </c>
      <c r="CH121" s="12">
        <f>COUNTIF(CH123:CH148,"1")</f>
        <v>0</v>
      </c>
      <c r="CI121" s="12">
        <f>COUNTIF(CI123:CI148,"1")</f>
        <v>0</v>
      </c>
      <c r="CJ121" s="12">
        <f>COUNTIF(CJ123:CJ148,"1")</f>
        <v>0</v>
      </c>
      <c r="CK121" s="12">
        <f>COUNTIF(CK123:CK148,"1")</f>
        <v>0</v>
      </c>
      <c r="CL121" s="12">
        <f>COUNTIF(CL123:CL148,"1")</f>
        <v>0</v>
      </c>
      <c r="CM121" s="12">
        <f>COUNTIF(CM123:CM148,"1")</f>
        <v>0</v>
      </c>
      <c r="CN121" s="12">
        <f>COUNTIF(CN123:CN148,"1")</f>
        <v>0</v>
      </c>
      <c r="CO121" s="12">
        <f>COUNTIF(CO123:CO148,"1")</f>
        <v>0</v>
      </c>
      <c r="CP121" s="12">
        <f>COUNTIF(CP123:CP148,"1")</f>
        <v>0</v>
      </c>
      <c r="CQ121" s="12">
        <f>COUNTIF(CQ123:CQ148,"1")</f>
        <v>0</v>
      </c>
      <c r="CR121" s="12">
        <f>COUNTIF(CR123:CR148,"1")</f>
        <v>0</v>
      </c>
      <c r="CS121" s="12">
        <f>COUNTIF(CS123:CS148,"1")</f>
        <v>0</v>
      </c>
      <c r="CT121" s="12">
        <f>COUNTIF(CT123:CT148,"1")</f>
        <v>0</v>
      </c>
      <c r="CU121" s="12">
        <f>COUNTIF(CU123:CU148,"1")</f>
        <v>0</v>
      </c>
      <c r="CV121" s="12">
        <f>COUNTIF(CV123:CV148,"1")</f>
        <v>0</v>
      </c>
      <c r="CW121" s="12">
        <f>COUNTIF(CW123:CW148,"1")</f>
        <v>0</v>
      </c>
      <c r="CX121" s="12">
        <f>COUNTIF(CX123:CX148,"1")</f>
        <v>0</v>
      </c>
      <c r="CY121" s="12">
        <f>COUNTIF(CY123:CY148,"1")</f>
        <v>0</v>
      </c>
      <c r="CZ121" s="12">
        <f>COUNTIF(CZ123:CZ148,"1")</f>
        <v>0</v>
      </c>
      <c r="DA121" s="12">
        <f>COUNTIF(DA123:DA148,"1")</f>
        <v>0</v>
      </c>
      <c r="DB121" s="12">
        <f>COUNTIF(DB123:DB148,"1")</f>
        <v>0</v>
      </c>
      <c r="DC121" s="12">
        <f>COUNTIF(DC123:DC148,"1")</f>
        <v>0</v>
      </c>
      <c r="DD121" s="12">
        <f>COUNTIF(DD123:DD148,"1")</f>
        <v>0</v>
      </c>
      <c r="DE121" s="12">
        <f>COUNTIF(DE123:DE148,"1")</f>
        <v>0</v>
      </c>
      <c r="DF121" s="12">
        <f>COUNTIF(DF123:DF148,"1")</f>
        <v>0</v>
      </c>
      <c r="DG121" s="12">
        <f>COUNTIF(DG123:DG148,"1")</f>
        <v>0</v>
      </c>
      <c r="DH121" s="12">
        <f>COUNTIF(DH123:DH148,"1")</f>
        <v>0</v>
      </c>
      <c r="DI121" s="12">
        <f>COUNTIF(DI123:DI148,"1")</f>
        <v>0</v>
      </c>
      <c r="DJ121" s="12">
        <f>COUNTIF(DJ123:DJ148,"1")</f>
        <v>0</v>
      </c>
      <c r="DK121" s="12">
        <f>COUNTIF(DK123:DK148,"1")</f>
        <v>0</v>
      </c>
      <c r="DL121" s="12">
        <f>COUNTIF(DL123:DL148,"1")</f>
        <v>0</v>
      </c>
      <c r="DM121" s="12">
        <f>COUNTIF(DM123:DM148,"1")</f>
        <v>0</v>
      </c>
      <c r="DN121" s="12">
        <f>COUNTIF(DN123:DN148,"1")</f>
        <v>0</v>
      </c>
      <c r="DO121" s="12">
        <f>COUNTIF(DO123:DO148,"1")</f>
        <v>0</v>
      </c>
      <c r="DP121" s="12">
        <f>COUNTIF(DP123:DP148,"1")</f>
        <v>0</v>
      </c>
      <c r="DQ121" s="12">
        <f>COUNTIF(DQ123:DQ148,"1")</f>
        <v>0</v>
      </c>
      <c r="DR121" s="12">
        <f>COUNTIF(DR123:DR148,"1")</f>
        <v>0</v>
      </c>
      <c r="DS121" s="12">
        <f>COUNTIF(DS123:DS148,"1")</f>
        <v>0</v>
      </c>
      <c r="DT121" s="12">
        <f>COUNTIF(DT123:DT148,"1")</f>
        <v>0</v>
      </c>
      <c r="DU121" s="12">
        <f>COUNTIF(DU123:DU148,"1")</f>
        <v>0</v>
      </c>
      <c r="DV121" s="12">
        <f>COUNTIF(DV123:DV148,"1")</f>
        <v>0</v>
      </c>
      <c r="DW121" s="12">
        <f>COUNTIF(DW123:DW148,"1")</f>
        <v>0</v>
      </c>
      <c r="DX121" s="12">
        <f>COUNTIF(DX123:DX148,"1")</f>
        <v>0</v>
      </c>
      <c r="DY121" s="12">
        <f>COUNTIF(DY123:DY148,"1")</f>
        <v>0</v>
      </c>
      <c r="DZ121" s="12">
        <f>COUNTIF(DZ123:DZ148,"1")</f>
        <v>0</v>
      </c>
      <c r="EA121" s="12">
        <f>COUNTIF(EA123:EA148,"1")</f>
        <v>0</v>
      </c>
      <c r="EB121" s="12">
        <f>COUNTIF(EB123:EB148,"1")</f>
        <v>0</v>
      </c>
      <c r="EC121" s="12">
        <f>COUNTIF(EC123:EC148,"1")</f>
        <v>0</v>
      </c>
      <c r="ED121" s="12">
        <f>COUNTIF(ED123:ED148,"1")</f>
        <v>0</v>
      </c>
      <c r="EE121" s="12">
        <f>COUNTIF(EE123:EE148,"1")</f>
        <v>0</v>
      </c>
      <c r="EF121" s="12">
        <f>COUNTIF(EF123:EF148,"1")</f>
        <v>0</v>
      </c>
      <c r="EG121" s="12">
        <f>COUNTIF(EG123:EG148,"1")</f>
        <v>0</v>
      </c>
      <c r="EH121" s="12">
        <f>COUNTIF(EH123:EH148,"1")</f>
        <v>0</v>
      </c>
      <c r="EI121" s="12">
        <f>COUNTIF(EI123:EI148,"1")</f>
        <v>0</v>
      </c>
      <c r="EJ121" s="12">
        <f>COUNTIF(EJ123:EJ148,"1")</f>
        <v>0</v>
      </c>
      <c r="EK121" s="12">
        <f>COUNTIF(EK123:EK148,"1")</f>
        <v>0</v>
      </c>
      <c r="EL121" s="12">
        <f>COUNTIF(EL123:EL148,"1")</f>
        <v>0</v>
      </c>
      <c r="EM121" s="12">
        <f>COUNTIF(EM123:EM148,"1")</f>
        <v>0</v>
      </c>
      <c r="EN121" s="12">
        <f>COUNTIF(EN123:EN148,"1")</f>
        <v>0</v>
      </c>
      <c r="EO121" s="12">
        <f>COUNTIF(EO123:EO148,"1")</f>
        <v>0</v>
      </c>
      <c r="EP121" s="12">
        <f>COUNTIF(EP123:EP148,"1")</f>
        <v>0</v>
      </c>
      <c r="EQ121" s="12">
        <f>COUNTIF(EQ123:EQ148,"1")</f>
        <v>0</v>
      </c>
      <c r="ER121" s="12">
        <f>COUNTIF(ER123:ER148,"1")</f>
        <v>0</v>
      </c>
      <c r="ES121" s="12">
        <f>COUNTIF(ES123:ES148,"1")</f>
        <v>0</v>
      </c>
      <c r="ET121" s="12">
        <f>COUNTIF(ET123:ET148,"1")</f>
        <v>0</v>
      </c>
      <c r="EU121" s="12">
        <f>COUNTIF(EU123:EU148,"1")</f>
        <v>0</v>
      </c>
      <c r="EV121" s="12">
        <f>COUNTIF(EV123:EV148,"1")</f>
        <v>0</v>
      </c>
      <c r="EW121" s="12">
        <f>COUNTIF(EW123:EW148,"1")</f>
        <v>0</v>
      </c>
      <c r="EX121" s="12">
        <f>COUNTIF(EX123:EX148,"1")</f>
        <v>0</v>
      </c>
      <c r="EY121" s="12">
        <f>COUNTIF(EY123:EY148,"1")</f>
        <v>0</v>
      </c>
      <c r="EZ121" s="12">
        <f>COUNTIF(EZ123:EZ148,"1")</f>
        <v>0</v>
      </c>
      <c r="FA121" s="12">
        <f>COUNTIF(FA123:FA148,"1")</f>
        <v>0</v>
      </c>
      <c r="FB121" s="12">
        <f>COUNTIF(FB123:FB148,"1")</f>
        <v>0</v>
      </c>
      <c r="FC121" s="12">
        <f>COUNTIF(FC123:FC148,"1")</f>
        <v>0</v>
      </c>
      <c r="FD121" s="12">
        <f>COUNTIF(FD123:FD148,"1")</f>
        <v>0</v>
      </c>
      <c r="FE121" s="12">
        <f>COUNTIF(FE123:FE148,"1")</f>
        <v>0</v>
      </c>
      <c r="FF121" s="12">
        <f>COUNTIF(FF123:FF148,"1")</f>
        <v>0</v>
      </c>
      <c r="FG121" s="12">
        <f>COUNTIF(FG123:FG148,"1")</f>
        <v>0</v>
      </c>
      <c r="FH121" s="12">
        <f>COUNTIF(FH123:FH148,"1")</f>
        <v>0</v>
      </c>
      <c r="FI121" s="12">
        <f>COUNTIF(FI123:FI148,"1")</f>
        <v>0</v>
      </c>
      <c r="FJ121" s="12">
        <f>COUNTIF(FJ123:FJ148,"1")</f>
        <v>0</v>
      </c>
      <c r="FK121" s="12">
        <f>COUNTIF(FK123:FK148,"1")</f>
        <v>0</v>
      </c>
      <c r="FL121" s="12">
        <f>COUNTIF(FL123:FL148,"1")</f>
        <v>0</v>
      </c>
      <c r="FM121" s="12">
        <f>COUNTIF(FM123:FM148,"1")</f>
        <v>0</v>
      </c>
      <c r="FN121" s="12">
        <f>COUNTIF(FN123:FN148,"1")</f>
        <v>0</v>
      </c>
      <c r="FO121" s="12">
        <f>COUNTIF(FO123:FO148,"1")</f>
        <v>0</v>
      </c>
      <c r="FP121" s="12">
        <f>COUNTIF(FP123:FP148,"1")</f>
        <v>0</v>
      </c>
      <c r="FQ121" s="12">
        <f>COUNTIF(FQ123:FQ148,"1")</f>
        <v>0</v>
      </c>
      <c r="FR121" s="12">
        <f>COUNTIF(FR123:FR148,"1")</f>
        <v>0</v>
      </c>
      <c r="FS121" s="12">
        <f>COUNTIF(FS123:FS148,"1")</f>
        <v>0</v>
      </c>
      <c r="FT121" s="12">
        <f>COUNTIF(FT123:FT148,"1")</f>
        <v>0</v>
      </c>
      <c r="FU121" s="12">
        <f>COUNTIF(FU123:FU148,"1")</f>
        <v>0</v>
      </c>
      <c r="FV121" s="12">
        <f>COUNTIF(FV123:FV148,"1")</f>
        <v>0</v>
      </c>
      <c r="FW121" s="12">
        <f>COUNTIF(FW123:FW148,"1")</f>
        <v>0</v>
      </c>
      <c r="FX121" s="12">
        <f>COUNTIF(FX123:FX148,"1")</f>
        <v>0</v>
      </c>
      <c r="FY121" s="12">
        <f>COUNTIF(FY123:FY148,"1")</f>
        <v>0</v>
      </c>
      <c r="FZ121" s="12">
        <f>COUNTIF(FZ123:FZ148,"1")</f>
        <v>0</v>
      </c>
      <c r="GA121" s="12">
        <f>COUNTIF(GA123:GA148,"1")</f>
        <v>0</v>
      </c>
      <c r="GB121" s="12">
        <f>COUNTIF(GB123:GB148,"1")</f>
        <v>0</v>
      </c>
      <c r="GC121" s="12">
        <f>COUNTIF(GC123:GC148,"1")</f>
        <v>0</v>
      </c>
      <c r="GD121" s="12">
        <f>COUNTIF(GD123:GD148,"1")</f>
        <v>0</v>
      </c>
      <c r="GE121" s="12">
        <f>COUNTIF(GE123:GE148,"1")</f>
        <v>0</v>
      </c>
      <c r="GF121" s="12">
        <f>COUNTIF(GF123:GF148,"1")</f>
        <v>0</v>
      </c>
      <c r="GG121" s="12">
        <f>COUNTIF(GG123:GG148,"1")</f>
        <v>0</v>
      </c>
      <c r="GH121" s="12">
        <f>COUNTIF(GH123:GH148,"1")</f>
        <v>0</v>
      </c>
      <c r="GI121" s="12">
        <f>COUNTIF(GI123:GI148,"1")</f>
        <v>0</v>
      </c>
      <c r="GJ121" s="12">
        <f>COUNTIF(GJ123:GJ148,"1")</f>
        <v>0</v>
      </c>
      <c r="GK121" s="12">
        <f>COUNTIF(GK123:GK148,"1")</f>
        <v>0</v>
      </c>
      <c r="GL121" s="12">
        <f>COUNTIF(GL123:GL148,"1")</f>
        <v>0</v>
      </c>
      <c r="GM121" s="12">
        <f>COUNTIF(GM123:GM148,"1")</f>
        <v>0</v>
      </c>
      <c r="GN121" s="12">
        <f>COUNTIF(GN123:GN148,"1")</f>
        <v>0</v>
      </c>
      <c r="GO121" s="12">
        <f>COUNTIF(GO123:GO148,"1")</f>
        <v>0</v>
      </c>
      <c r="GP121" s="12">
        <f>COUNTIF(GP123:GP148,"1")</f>
        <v>0</v>
      </c>
      <c r="GQ121" s="12">
        <f>COUNTIF(GQ123:GQ148,"1")</f>
        <v>0</v>
      </c>
      <c r="GR121" s="12">
        <f>COUNTIF(GR123:GR148,"1")</f>
        <v>0</v>
      </c>
      <c r="GS121" s="12">
        <f>COUNTIF(GS123:GS148,"1")</f>
        <v>0</v>
      </c>
      <c r="GT121" s="12">
        <f>COUNTIF(GT123:GT148,"1")</f>
        <v>0</v>
      </c>
      <c r="GU121" s="12">
        <f>COUNTIF(GU123:GU148,"1")</f>
        <v>0</v>
      </c>
      <c r="GV121" s="12">
        <f>COUNTIF(GV123:GV148,"1")</f>
        <v>0</v>
      </c>
      <c r="GW121" s="12">
        <f>COUNTIF(GW123:GW148,"1")</f>
        <v>0</v>
      </c>
      <c r="GX121" s="12">
        <f>COUNTIF(GX123:GX148,"1")</f>
        <v>0</v>
      </c>
      <c r="GY121" s="12">
        <f>COUNTIF(GY123:GY148,"1")</f>
        <v>0</v>
      </c>
      <c r="GZ121" s="12">
        <f>COUNTIF(GZ123:GZ148,"1")</f>
        <v>0</v>
      </c>
      <c r="HA121" s="12">
        <f>COUNTIF(HA123:HA148,"1")</f>
        <v>0</v>
      </c>
      <c r="HB121" s="12">
        <f>COUNTIF(HB123:HB148,"1")</f>
        <v>0</v>
      </c>
      <c r="HC121" s="12">
        <f>COUNTIF(HC123:HC148,"1")</f>
        <v>0</v>
      </c>
      <c r="HD121" s="12">
        <f>COUNTIF(HD123:HD148,"1")</f>
        <v>0</v>
      </c>
      <c r="HE121" s="12">
        <f>COUNTIF(HE123:HE148,"1")</f>
        <v>0</v>
      </c>
      <c r="HF121" s="12">
        <f>COUNTIF(HF123:HF148,"1")</f>
        <v>0</v>
      </c>
      <c r="HG121" s="12">
        <f>COUNTIF(HG123:HG148,"1")</f>
        <v>0</v>
      </c>
      <c r="HH121" s="12">
        <f>COUNTIF(HH123:HH148,"1")</f>
        <v>0</v>
      </c>
      <c r="HI121" s="12">
        <f>COUNTIF(HI123:HI148,"1")</f>
        <v>0</v>
      </c>
      <c r="HJ121" s="12">
        <f>COUNTIF(HJ123:HJ148,"1")</f>
        <v>0</v>
      </c>
      <c r="HK121" s="12">
        <f>COUNTIF(HK123:HK148,"1")</f>
        <v>0</v>
      </c>
      <c r="HL121" s="12">
        <f>COUNTIF(HL123:HL148,"1")</f>
        <v>0</v>
      </c>
      <c r="HM121" s="12">
        <f>COUNTIF(HM123:HM148,"1")</f>
        <v>0</v>
      </c>
      <c r="HN121" s="12">
        <f>COUNTIF(HN123:HN148,"1")</f>
        <v>0</v>
      </c>
      <c r="HO121" s="12">
        <f>COUNTIF(HO123:HO148,"1")</f>
        <v>0</v>
      </c>
      <c r="HP121" s="12">
        <f>COUNTIF(HP123:HP148,"1")</f>
        <v>0</v>
      </c>
      <c r="HQ121" s="12">
        <f>COUNTIF(HQ123:HQ148,"1")</f>
        <v>0</v>
      </c>
      <c r="HR121" s="12">
        <f>COUNTIF(HR123:HR148,"1")</f>
        <v>0</v>
      </c>
      <c r="HS121" s="12">
        <f>COUNTIF(HS123:HS148,"1")</f>
        <v>0</v>
      </c>
      <c r="HT121" s="12">
        <f>COUNTIF(HT123:HT148,"1")</f>
        <v>0</v>
      </c>
      <c r="HU121" s="12">
        <f>COUNTIF(HU123:HU148,"1")</f>
        <v>0</v>
      </c>
      <c r="HV121" s="12">
        <f>COUNTIF(HV123:HV148,"1")</f>
        <v>0</v>
      </c>
      <c r="HW121" s="12">
        <f>COUNTIF(HW123:HW148,"1")</f>
        <v>0</v>
      </c>
      <c r="HX121" s="12">
        <f>COUNTIF(HX123:HX148,"1")</f>
        <v>0</v>
      </c>
      <c r="HY121" s="12">
        <f>COUNTIF(HY123:HY148,"1")</f>
        <v>0</v>
      </c>
      <c r="HZ121" s="12">
        <f>COUNTIF(HZ123:HZ148,"1")</f>
        <v>0</v>
      </c>
      <c r="IA121" s="12">
        <f>COUNTIF(IA123:IA148,"1")</f>
        <v>0</v>
      </c>
      <c r="IB121" s="12">
        <f>COUNTIF(IB123:IB148,"1")</f>
        <v>0</v>
      </c>
      <c r="IC121" s="12">
        <f>COUNTIF(IC123:IC148,"1")</f>
        <v>0</v>
      </c>
      <c r="ID121" s="12">
        <f>COUNTIF(ID123:ID148,"1")</f>
        <v>0</v>
      </c>
      <c r="IE121" s="12">
        <f>COUNTIF(IE123:IE148,"1")</f>
        <v>0</v>
      </c>
      <c r="IF121" s="12">
        <f>COUNTIF(IF123:IF148,"1")</f>
        <v>0</v>
      </c>
      <c r="IG121" s="12">
        <f>COUNTIF(IG123:IG148,"1")</f>
        <v>0</v>
      </c>
      <c r="IH121" s="12">
        <f>COUNTIF(IH123:IH148,"1")</f>
        <v>0</v>
      </c>
      <c r="II121" s="12">
        <f>COUNTIF(II123:II148,"1")</f>
        <v>0</v>
      </c>
      <c r="IJ121" s="12">
        <f>COUNTIF(IJ123:IJ148,"1")</f>
        <v>0</v>
      </c>
      <c r="IK121" s="12">
        <f>COUNTIF(IK123:IK148,"1")</f>
        <v>0</v>
      </c>
      <c r="IL121" s="12">
        <f>COUNTIF(IL123:IL148,"1")</f>
        <v>0</v>
      </c>
      <c r="IM121" s="12">
        <f>COUNTIF(IM123:IM148,"1")</f>
        <v>0</v>
      </c>
      <c r="IN121" s="12">
        <f>COUNTIF(IN123:IN148,"1")</f>
        <v>0</v>
      </c>
      <c r="IO121" s="12">
        <f>COUNTIF(IO123:IO148,"1")</f>
        <v>0</v>
      </c>
      <c r="IP121" s="12">
        <f>COUNTIF(IP123:IP148,"1")</f>
        <v>0</v>
      </c>
      <c r="IQ121" s="12">
        <f>COUNTIF(IQ123:IQ148,"1")</f>
        <v>0</v>
      </c>
      <c r="IR121" s="12">
        <f>COUNTIF(IR123:IR148,"1")</f>
        <v>0</v>
      </c>
      <c r="IS121" s="12">
        <f>COUNTIF(IS123:IS148,"1")</f>
        <v>0</v>
      </c>
      <c r="IT121" s="12">
        <f>COUNTIF(IT123:IT148,"1")</f>
        <v>0</v>
      </c>
      <c r="IU121" s="12">
        <f>COUNTIF(IU123:IU148,"1")</f>
        <v>0</v>
      </c>
      <c r="IV121" s="12">
        <f>COUNTIF(IV123:IV148,"1")</f>
        <v>0</v>
      </c>
      <c r="IW121" s="12">
        <f>COUNTIF(IW123:IW148,"1")</f>
        <v>0</v>
      </c>
      <c r="IX121" s="12">
        <f>COUNTIF(IX123:IX148,"1")</f>
        <v>0</v>
      </c>
      <c r="IY121" s="12">
        <f>COUNTIF(IY123:IY148,"1")</f>
        <v>0</v>
      </c>
      <c r="IZ121" s="12">
        <f>COUNTIF(IZ123:IZ148,"1")</f>
        <v>0</v>
      </c>
      <c r="JA121" s="12">
        <f>COUNTIF(JA123:JA148,"1")</f>
        <v>0</v>
      </c>
      <c r="JB121" s="12">
        <f>COUNTIF(JB123:JB148,"1")</f>
        <v>0</v>
      </c>
      <c r="JC121" s="12">
        <f>COUNTIF(JC123:JC148,"1")</f>
        <v>0</v>
      </c>
      <c r="JD121" s="12">
        <f>COUNTIF(JD123:JD148,"1")</f>
        <v>0</v>
      </c>
      <c r="JE121" s="12">
        <f>COUNTIF(JE123:JE148,"1")</f>
        <v>0</v>
      </c>
      <c r="JF121" s="12">
        <f>COUNTIF(JF123:JF148,"1")</f>
        <v>0</v>
      </c>
      <c r="JG121" s="12">
        <f>COUNTIF(JG123:JG148,"1")</f>
        <v>0</v>
      </c>
      <c r="JH121" s="12">
        <f>COUNTIF(JH123:JH148,"1")</f>
        <v>0</v>
      </c>
      <c r="JI121" s="12">
        <f>COUNTIF(JI123:JI148,"1")</f>
        <v>0</v>
      </c>
      <c r="JJ121" s="12">
        <f>COUNTIF(JJ123:JJ148,"1")</f>
        <v>0</v>
      </c>
      <c r="JK121" s="12">
        <f>COUNTIF(JK123:JK148,"1")</f>
        <v>0</v>
      </c>
      <c r="JL121" s="12">
        <f>COUNTIF(JL123:JL148,"1")</f>
        <v>0</v>
      </c>
      <c r="JM121" s="12">
        <f>COUNTIF(JM123:JM148,"1")</f>
        <v>0</v>
      </c>
      <c r="JN121" s="12">
        <f>COUNTIF(JN123:JN148,"1")</f>
        <v>0</v>
      </c>
      <c r="JO121" s="12">
        <f>COUNTIF(JO123:JO148,"1")</f>
        <v>0</v>
      </c>
      <c r="JP121" s="12">
        <f>COUNTIF(JP123:JP148,"1")</f>
        <v>0</v>
      </c>
      <c r="JQ121" s="12">
        <f>COUNTIF(JQ123:JQ148,"1")</f>
        <v>0</v>
      </c>
      <c r="JR121" s="12">
        <f>COUNTIF(JR123:JR148,"1")</f>
        <v>0</v>
      </c>
      <c r="JS121" s="12">
        <f>COUNTIF(JS123:JS148,"1")</f>
        <v>0</v>
      </c>
      <c r="JT121" s="12">
        <f>COUNTIF(JT123:JT148,"1")</f>
        <v>0</v>
      </c>
      <c r="JU121" s="12">
        <f>COUNTIF(JU123:JU148,"1")</f>
        <v>0</v>
      </c>
      <c r="JV121" s="12">
        <f>COUNTIF(JV123:JV148,"1")</f>
        <v>0</v>
      </c>
      <c r="JW121" s="12">
        <f>COUNTIF(JW123:JW148,"1")</f>
        <v>0</v>
      </c>
      <c r="JX121" s="12">
        <f>COUNTIF(JX123:JX148,"1")</f>
        <v>0</v>
      </c>
      <c r="JY121" s="12">
        <f>COUNTIF(JY123:JY148,"1")</f>
        <v>0</v>
      </c>
      <c r="JZ121" s="12">
        <f>COUNTIF(JZ123:JZ148,"1")</f>
        <v>0</v>
      </c>
      <c r="KA121" s="12">
        <f>COUNTIF(KA123:KA148,"1")</f>
        <v>0</v>
      </c>
      <c r="KB121" s="12">
        <f>COUNTIF(KB123:KB148,"1")</f>
        <v>0</v>
      </c>
      <c r="KC121" s="12">
        <f>COUNTIF(KC123:KC148,"1")</f>
        <v>0</v>
      </c>
      <c r="KD121" s="12">
        <f>COUNTIF(KD123:KD148,"1")</f>
        <v>0</v>
      </c>
      <c r="KE121" s="12">
        <f>COUNTIF(KE123:KE148,"1")</f>
        <v>0</v>
      </c>
      <c r="KF121" s="12">
        <f>COUNTIF(KF123:KF148,"1")</f>
        <v>0</v>
      </c>
      <c r="KG121" s="12">
        <f>COUNTIF(KG123:KG148,"1")</f>
        <v>0</v>
      </c>
      <c r="KH121" s="12">
        <f>COUNTIF(KH123:KH148,"1")</f>
        <v>0</v>
      </c>
      <c r="KI121" s="12">
        <f>COUNTIF(KI123:KI148,"1")</f>
        <v>0</v>
      </c>
      <c r="KJ121" s="12">
        <f>COUNTIF(KJ123:KJ148,"1")</f>
        <v>0</v>
      </c>
      <c r="KK121" s="12">
        <f>COUNTIF(KK123:KK148,"1")</f>
        <v>0</v>
      </c>
      <c r="KL121" s="12">
        <f>COUNTIF(KL123:KL148,"1")</f>
        <v>0</v>
      </c>
      <c r="KM121" s="12">
        <f>COUNTIF(KM123:KM148,"1")</f>
        <v>0</v>
      </c>
      <c r="KN121" s="12">
        <f>COUNTIF(KN123:KN148,"1")</f>
        <v>0</v>
      </c>
      <c r="KO121" s="12">
        <f>COUNTIF(KO123:KO148,"1")</f>
        <v>0</v>
      </c>
      <c r="KP121" s="12">
        <f>COUNTIF(KP123:KP148,"1")</f>
        <v>0</v>
      </c>
      <c r="KQ121" s="12">
        <f>COUNTIF(KQ123:KQ148,"1")</f>
        <v>0</v>
      </c>
      <c r="KR121" s="12">
        <f>COUNTIF(KR123:KR148,"1")</f>
        <v>0</v>
      </c>
      <c r="KS121" s="12">
        <f>COUNTIF(KS123:KS148,"1")</f>
        <v>0</v>
      </c>
      <c r="KT121" s="12">
        <f>COUNTIF(KT123:KT148,"1")</f>
        <v>0</v>
      </c>
      <c r="KU121" s="12">
        <f>COUNTIF(KU123:KU148,"1")</f>
        <v>0</v>
      </c>
      <c r="KV121" s="12">
        <f>COUNTIF(KV123:KV148,"1")</f>
        <v>0</v>
      </c>
      <c r="KW121" s="12">
        <f>COUNTIF(KW123:KW148,"1")</f>
        <v>0</v>
      </c>
      <c r="KX121" s="12">
        <f>COUNTIF(KX123:KX148,"1")</f>
        <v>0</v>
      </c>
      <c r="KY121" s="12">
        <f>COUNTIF(KY123:KY148,"1")</f>
        <v>0</v>
      </c>
      <c r="KZ121" s="12">
        <f>COUNTIF(KZ123:KZ148,"1")</f>
        <v>0</v>
      </c>
      <c r="LA121" s="12">
        <f>COUNTIF(LA123:LA148,"1")</f>
        <v>0</v>
      </c>
      <c r="LB121" s="12">
        <f>COUNTIF(LB123:LB148,"1")</f>
        <v>0</v>
      </c>
      <c r="LC121" s="12">
        <f>COUNTIF(LC123:LC148,"1")</f>
        <v>0</v>
      </c>
      <c r="LD121" s="12">
        <f>COUNTIF(LD123:LD148,"1")</f>
        <v>0</v>
      </c>
      <c r="LE121" s="12">
        <f>COUNTIF(LE123:LE148,"1")</f>
        <v>0</v>
      </c>
      <c r="LF121" s="12">
        <f>COUNTIF(LF123:LF148,"1")</f>
        <v>0</v>
      </c>
      <c r="LG121" s="12">
        <f>COUNTIF(LG123:LG148,"1")</f>
        <v>0</v>
      </c>
      <c r="LH121" s="12">
        <f>COUNTIF(LH123:LH148,"1")</f>
        <v>0</v>
      </c>
      <c r="LI121" s="12">
        <f>COUNTIF(LI123:LI148,"1")</f>
        <v>0</v>
      </c>
      <c r="LJ121" s="12">
        <f>COUNTIF(LJ123:LJ148,"1")</f>
        <v>0</v>
      </c>
      <c r="LK121" s="12">
        <f>COUNTIF(LK123:LK148,"1")</f>
        <v>0</v>
      </c>
      <c r="LL121" s="12">
        <f>COUNTIF(LL123:LL148,"1")</f>
        <v>0</v>
      </c>
      <c r="LM121" s="12">
        <f>COUNTIF(LM123:LM148,"1")</f>
        <v>0</v>
      </c>
      <c r="LN121" s="12">
        <f>COUNTIF(LN123:LN148,"1")</f>
        <v>0</v>
      </c>
      <c r="LO121" s="12">
        <f>COUNTIF(LO123:LO148,"1")</f>
        <v>0</v>
      </c>
      <c r="LP121" s="12">
        <f>COUNTIF(LP123:LP148,"1")</f>
        <v>0</v>
      </c>
      <c r="LQ121" s="12">
        <f>COUNTIF(LQ123:LQ148,"1")</f>
        <v>0</v>
      </c>
      <c r="LR121" s="12">
        <f>COUNTIF(LR123:LR148,"1")</f>
        <v>0</v>
      </c>
      <c r="LS121" s="12">
        <f>COUNTIF(LS123:LS148,"1")</f>
        <v>0</v>
      </c>
      <c r="LT121" s="12">
        <f>COUNTIF(LT123:LT148,"1")</f>
        <v>0</v>
      </c>
      <c r="LU121" s="12">
        <f>COUNTIF(LU123:LU148,"1")</f>
        <v>0</v>
      </c>
      <c r="LV121" s="12">
        <f>COUNTIF(LV123:LV148,"1")</f>
        <v>0</v>
      </c>
      <c r="LW121" s="12">
        <f>COUNTIF(LW123:LW148,"1")</f>
        <v>0</v>
      </c>
      <c r="LX121" s="12">
        <f>COUNTIF(LX123:LX148,"1")</f>
        <v>0</v>
      </c>
      <c r="LY121" s="12">
        <f>COUNTIF(LY123:LY148,"1")</f>
        <v>0</v>
      </c>
      <c r="LZ121" s="12">
        <f>COUNTIF(LZ123:LZ148,"1")</f>
        <v>0</v>
      </c>
      <c r="MA121" s="12">
        <f>COUNTIF(MA123:MA148,"1")</f>
        <v>0</v>
      </c>
      <c r="MB121" s="12">
        <f>COUNTIF(MB123:MB148,"1")</f>
        <v>0</v>
      </c>
      <c r="MC121" s="12">
        <f>COUNTIF(MC123:MC148,"1")</f>
        <v>0</v>
      </c>
      <c r="MD121" s="12">
        <f>COUNTIF(MD123:MD148,"1")</f>
        <v>0</v>
      </c>
      <c r="ME121" s="12">
        <f>COUNTIF(ME123:ME148,"1")</f>
        <v>0</v>
      </c>
      <c r="MF121" s="12">
        <f>COUNTIF(MF123:MF148,"1")</f>
        <v>0</v>
      </c>
      <c r="MG121" s="12">
        <f>COUNTIF(MG123:MG148,"1")</f>
        <v>0</v>
      </c>
      <c r="MH121" s="12">
        <f>COUNTIF(MH123:MH148,"1")</f>
        <v>0</v>
      </c>
      <c r="MI121" s="12">
        <f>COUNTIF(MI123:MI148,"1")</f>
        <v>0</v>
      </c>
      <c r="MJ121" s="12">
        <f>COUNTIF(MJ123:MJ148,"1")</f>
        <v>0</v>
      </c>
      <c r="MK121" s="12">
        <f>COUNTIF(MK123:MK148,"1")</f>
        <v>0</v>
      </c>
      <c r="ML121" s="12">
        <f>COUNTIF(ML123:ML148,"1")</f>
        <v>0</v>
      </c>
      <c r="MM121" s="12">
        <f>COUNTIF(MM123:MM148,"1")</f>
        <v>0</v>
      </c>
      <c r="MN121" s="12">
        <f>COUNTIF(MN123:MN148,"1")</f>
        <v>0</v>
      </c>
      <c r="MO121" s="12">
        <f>COUNTIF(MO123:MO148,"1")</f>
        <v>0</v>
      </c>
      <c r="MP121" s="12">
        <f>COUNTIF(MP123:MP148,"1")</f>
        <v>0</v>
      </c>
      <c r="MQ121" s="12">
        <f>COUNTIF(MQ123:MQ148,"1")</f>
        <v>0</v>
      </c>
      <c r="MR121" s="12">
        <f>COUNTIF(MR123:MR148,"1")</f>
        <v>0</v>
      </c>
      <c r="MS121" s="12">
        <f>COUNTIF(MS123:MS148,"1")</f>
        <v>0</v>
      </c>
      <c r="MT121" s="12">
        <f>COUNTIF(MT123:MT148,"1")</f>
        <v>0</v>
      </c>
      <c r="MU121" s="12">
        <f>COUNTIF(MU123:MU148,"1")</f>
        <v>0</v>
      </c>
      <c r="MV121" s="12">
        <f>COUNTIF(MV123:MV148,"1")</f>
        <v>0</v>
      </c>
      <c r="MW121" s="12">
        <f>COUNTIF(MW123:MW148,"1")</f>
        <v>0</v>
      </c>
      <c r="MX121" s="12">
        <f>COUNTIF(MX123:MX148,"1")</f>
        <v>0</v>
      </c>
      <c r="MY121" s="12">
        <f>COUNTIF(MY123:MY148,"1")</f>
        <v>0</v>
      </c>
      <c r="MZ121" s="12">
        <f>COUNTIF(MZ123:MZ148,"1")</f>
        <v>0</v>
      </c>
      <c r="NA121" s="12">
        <f>COUNTIF(NA123:NA148,"1")</f>
        <v>0</v>
      </c>
      <c r="NB121" s="12">
        <f>COUNTIF(NB123:NB148,"1")</f>
        <v>0</v>
      </c>
      <c r="NC121" s="12">
        <f>COUNTIF(NC123:NC148,"1")</f>
        <v>0</v>
      </c>
      <c r="ND121" s="12">
        <f>COUNTIF(ND123:ND148,"1")</f>
        <v>0</v>
      </c>
      <c r="NE121" s="12">
        <f>COUNTIF(NE123:NE148,"1")</f>
        <v>0</v>
      </c>
      <c r="NF121" s="12">
        <f>COUNTIF(NF123:NF148,"1")</f>
        <v>0</v>
      </c>
      <c r="NG121" s="12">
        <f>COUNTIF(NG123:NG148,"1")</f>
        <v>0</v>
      </c>
      <c r="NH121" s="12">
        <f>COUNTIF(NH123:NH148,"1")</f>
        <v>0</v>
      </c>
      <c r="NI121" s="12">
        <f>COUNTIF(NI123:NI148,"1")</f>
        <v>0</v>
      </c>
      <c r="NJ121" s="12">
        <f>COUNTIF(NJ123:NJ148,"1")</f>
        <v>0</v>
      </c>
      <c r="NK121" s="12">
        <f>COUNTIF(NK123:NK148,"1")</f>
        <v>0</v>
      </c>
      <c r="NL121" s="12">
        <f>COUNTIF(NL123:NL148,"1")</f>
        <v>0</v>
      </c>
      <c r="NM121" s="12">
        <f>COUNTIF(NM123:NM148,"1")</f>
        <v>0</v>
      </c>
      <c r="NN121" s="12">
        <f>COUNTIF(NN123:NN148,"1")</f>
        <v>0</v>
      </c>
      <c r="NO121" s="12">
        <f>COUNTIF(NO123:NO148,"1")</f>
        <v>0</v>
      </c>
      <c r="NP121" s="12">
        <f>COUNTIF(NP123:NP148,"1")</f>
        <v>0</v>
      </c>
      <c r="NQ121" s="12">
        <f>COUNTIF(NQ123:NQ148,"1")</f>
        <v>0</v>
      </c>
      <c r="NR121" s="12">
        <f>COUNTIF(NR123:NR148,"1")</f>
        <v>0</v>
      </c>
      <c r="NS121" s="12">
        <f>COUNTIF(NS123:NS148,"1")</f>
        <v>0</v>
      </c>
      <c r="NT121" s="16">
        <f>SUM(F121:NS121)</f>
        <v>17</v>
      </c>
      <c r="NU121" s="92">
        <f>NT122/NT121</f>
        <v>0.88235294117647056</v>
      </c>
      <c r="NV121" s="22">
        <f>SUMIF(NV123:NV148,1,NW123:NW148)</f>
        <v>2</v>
      </c>
      <c r="NW121" s="22">
        <f>SUMIF(NV123:NV148,1,NW123:NW148)</f>
        <v>2</v>
      </c>
      <c r="NX121" s="16">
        <f>SUM(F121:AU121)</f>
        <v>15</v>
      </c>
      <c r="NY121" s="92">
        <f t="shared" si="270"/>
        <v>1</v>
      </c>
      <c r="NZ121" s="22">
        <f>SUMIF(NZ123:NZ148,1,OA123:OA148)</f>
        <v>2</v>
      </c>
      <c r="OA121" s="22">
        <f>SUMIF(NZ123:NZ148,1,OA123:OA148)</f>
        <v>2</v>
      </c>
      <c r="OB121" s="16">
        <f>SUM(AV121:CK121)</f>
        <v>2</v>
      </c>
      <c r="OC121" s="92">
        <f>OB122/OB121</f>
        <v>0</v>
      </c>
      <c r="OD121" s="22">
        <f>SUMIF(OD123:OD148,1,OE123:OE148)</f>
        <v>0</v>
      </c>
      <c r="OE121" s="22">
        <f>SUMIF(OD123:OD148,1,OE123:OE148)</f>
        <v>0</v>
      </c>
      <c r="OF121" s="16">
        <f>SUM(CL121:EA121)</f>
        <v>0</v>
      </c>
      <c r="OG121" s="84" t="e">
        <f>OF122/OF121</f>
        <v>#DIV/0!</v>
      </c>
      <c r="OH121" s="22">
        <f>SUMIF(OH123:OH148,1,OI123:OI148)</f>
        <v>0</v>
      </c>
      <c r="OI121" s="22">
        <f>SUMIF(OH123:OH148,1,OI123:OI148)</f>
        <v>0</v>
      </c>
      <c r="OJ121" s="16">
        <f>SUM(EB121:FQ121)</f>
        <v>0</v>
      </c>
      <c r="OK121" s="84" t="e">
        <f>OJ122/OJ121</f>
        <v>#DIV/0!</v>
      </c>
      <c r="OL121" s="22">
        <f>SUMIF(OL123:OL148,1,OM123:OM148)</f>
        <v>0</v>
      </c>
      <c r="OM121" s="22">
        <f>SUMIF(OL123:OL148,1,OM123:OM148)</f>
        <v>0</v>
      </c>
      <c r="ON121" s="16">
        <f>SUM(FR121:HG121)</f>
        <v>0</v>
      </c>
      <c r="OO121" s="84" t="e">
        <f>ON122/ON121</f>
        <v>#DIV/0!</v>
      </c>
      <c r="OP121" s="22">
        <f>SUMIF(OP123:OP148,1,OQ123:OQ148)</f>
        <v>0</v>
      </c>
      <c r="OQ121" s="84" t="e">
        <f>OP122/OP121</f>
        <v>#DIV/0!</v>
      </c>
      <c r="OR121" s="16">
        <f>SUM(HH121:IW121)</f>
        <v>0</v>
      </c>
      <c r="OS121" s="84" t="e">
        <f>OR122/OR121</f>
        <v>#DIV/0!</v>
      </c>
      <c r="OT121" s="22">
        <f>SUMIF(OT123:OT148,1,OU123:OU148)</f>
        <v>0</v>
      </c>
      <c r="OU121" s="22">
        <f>SUMIF(OT123:OT148,1,OU123:OU148)</f>
        <v>0</v>
      </c>
      <c r="OV121" s="16">
        <f>SUM(IX121:KM121)</f>
        <v>0</v>
      </c>
      <c r="OW121" s="84" t="e">
        <f>OV122/OV121</f>
        <v>#DIV/0!</v>
      </c>
      <c r="OX121" s="22">
        <f>SUMIF(OX123:OX148,1,OY123:OY148)</f>
        <v>0</v>
      </c>
      <c r="OY121" s="22">
        <f>SUMIF(OX123:OX148,1,OY123:OY148)</f>
        <v>0</v>
      </c>
      <c r="OZ121" s="16">
        <f>SUM(KN121:MC121)</f>
        <v>0</v>
      </c>
      <c r="PA121" s="84" t="e">
        <f>OZ122/OZ121</f>
        <v>#DIV/0!</v>
      </c>
      <c r="PB121" s="22">
        <f>SUMIF(PB123:PB148,1,PC123:PC148)</f>
        <v>0</v>
      </c>
      <c r="PC121" s="22">
        <f>SUMIF(PB123:PB148,1,PC123:PC148)</f>
        <v>0</v>
      </c>
      <c r="PD121" s="16">
        <f>SUM(MD121:NS121)</f>
        <v>0</v>
      </c>
      <c r="PE121" s="84" t="e">
        <f>PD122/PD121</f>
        <v>#DIV/0!</v>
      </c>
    </row>
    <row r="122" spans="1:421" ht="15.75" customHeight="1" thickBot="1" x14ac:dyDescent="0.3">
      <c r="A122" s="18"/>
      <c r="B122" s="18"/>
      <c r="C122" s="95"/>
      <c r="D122" s="58"/>
      <c r="E122" s="52" t="s">
        <v>9</v>
      </c>
      <c r="F122" s="13">
        <f>COUNTIF(F124:F148,"X")</f>
        <v>0</v>
      </c>
      <c r="G122" s="13">
        <f>COUNTIF(G124:G148,"X")</f>
        <v>0</v>
      </c>
      <c r="H122" s="13">
        <f>COUNTIF(H124:H148,"X")</f>
        <v>0</v>
      </c>
      <c r="I122" s="13">
        <f>COUNTIF(I124:I148,"X")</f>
        <v>0</v>
      </c>
      <c r="J122" s="13">
        <f>COUNTIF(J124:J148,"X")</f>
        <v>0</v>
      </c>
      <c r="K122" s="13">
        <f>COUNTIF(K124:K148,"X")</f>
        <v>0</v>
      </c>
      <c r="L122" s="13">
        <f>COUNTIF(L124:L148,"X")</f>
        <v>0</v>
      </c>
      <c r="M122" s="13">
        <f>COUNTIF(M124:M148,"X")</f>
        <v>0</v>
      </c>
      <c r="N122" s="13">
        <f>COUNTIF(N124:N148,"X")</f>
        <v>0</v>
      </c>
      <c r="O122" s="13">
        <f>COUNTIF(O124:O148,"X")</f>
        <v>0</v>
      </c>
      <c r="P122" s="70">
        <f>COUNTIF(P124:P148,"X")</f>
        <v>0</v>
      </c>
      <c r="Q122" s="13">
        <f>COUNTIF(Q124:Q148,"X")</f>
        <v>0</v>
      </c>
      <c r="R122" s="13">
        <f>COUNTIF(R124:R148,"X")</f>
        <v>0</v>
      </c>
      <c r="S122" s="13">
        <f>COUNTIF(S124:S148,"X")</f>
        <v>0</v>
      </c>
      <c r="T122" s="13">
        <f>COUNTIF(T124:T148,"X")</f>
        <v>0</v>
      </c>
      <c r="U122" s="13">
        <f>COUNTIF(U124:U148,"X")</f>
        <v>0</v>
      </c>
      <c r="V122" s="13">
        <f>COUNTIF(V124:V148,"X")</f>
        <v>0</v>
      </c>
      <c r="W122" s="70">
        <f>COUNTIF(W124:W148,"X")</f>
        <v>0</v>
      </c>
      <c r="X122" s="13">
        <f>COUNTIF(X124:X148,"X")</f>
        <v>1</v>
      </c>
      <c r="Y122" s="13">
        <f>COUNTIF(Y124:Y148,"X")</f>
        <v>1</v>
      </c>
      <c r="Z122" s="13">
        <f>COUNTIF(Z124:Z148,"X")</f>
        <v>1</v>
      </c>
      <c r="AA122" s="13">
        <f>COUNTIF(AA124:AA148,"X")</f>
        <v>1</v>
      </c>
      <c r="AB122" s="13">
        <f>COUNTIF(AB124:AB148,"X")</f>
        <v>0</v>
      </c>
      <c r="AC122" s="13">
        <f>COUNTIF(AC124:AC148,"X")</f>
        <v>0</v>
      </c>
      <c r="AD122" s="13">
        <f>COUNTIF(AD124:AD148,"X")</f>
        <v>1</v>
      </c>
      <c r="AE122" s="13">
        <f>COUNTIF(AE124:AE148,"X")</f>
        <v>1</v>
      </c>
      <c r="AF122" s="13">
        <f>COUNTIF(AF124:AF148,"X")</f>
        <v>1</v>
      </c>
      <c r="AG122" s="13">
        <f>COUNTIF(AG124:AG148,"X")</f>
        <v>1</v>
      </c>
      <c r="AH122" s="13">
        <f>COUNTIF(AH124:AH148,"X")</f>
        <v>1</v>
      </c>
      <c r="AI122" s="13">
        <f>COUNTIF(AI124:AI148,"X")</f>
        <v>0</v>
      </c>
      <c r="AJ122" s="13">
        <f>COUNTIF(AJ124:AJ148,"X")</f>
        <v>0</v>
      </c>
      <c r="AK122" s="13">
        <f>COUNTIF(AK124:AK148,"X")</f>
        <v>1</v>
      </c>
      <c r="AL122" s="13">
        <f>COUNTIF(AL124:AL148,"X")</f>
        <v>0</v>
      </c>
      <c r="AM122" s="13">
        <f>COUNTIF(AM124:AM148,"X")</f>
        <v>0</v>
      </c>
      <c r="AN122" s="13">
        <f>COUNTIF(AN124:AN148,"X")</f>
        <v>0</v>
      </c>
      <c r="AO122" s="13">
        <f>COUNTIF(AO124:AO148,"X")</f>
        <v>0</v>
      </c>
      <c r="AP122" s="13">
        <f>COUNTIF(AP124:AP148,"X")</f>
        <v>0</v>
      </c>
      <c r="AQ122" s="13">
        <f>COUNTIF(AQ124:AQ148,"X")</f>
        <v>0</v>
      </c>
      <c r="AR122" s="13">
        <f>COUNTIF(AR124:AR148,"X")</f>
        <v>2</v>
      </c>
      <c r="AS122" s="13">
        <f>COUNTIF(AS124:AS148,"X")</f>
        <v>1</v>
      </c>
      <c r="AT122" s="13">
        <f>COUNTIF(AT124:AT148,"X")</f>
        <v>1</v>
      </c>
      <c r="AU122" s="13">
        <f>COUNTIF(AU124:AU148,"X")</f>
        <v>1</v>
      </c>
      <c r="AV122" s="13">
        <f>COUNTIF(AV124:AV148,"X")</f>
        <v>0</v>
      </c>
      <c r="AW122" s="13">
        <f>COUNTIF(AW124:AW148,"X")</f>
        <v>0</v>
      </c>
      <c r="AX122" s="13">
        <f>COUNTIF(AX124:AX148,"X")</f>
        <v>0</v>
      </c>
      <c r="AY122" s="13">
        <f>COUNTIF(AY124:AY148,"X")</f>
        <v>0</v>
      </c>
      <c r="AZ122" s="13">
        <f>COUNTIF(AZ124:AZ148,"X")</f>
        <v>0</v>
      </c>
      <c r="BA122" s="13">
        <f>COUNTIF(BA124:BA148,"X")</f>
        <v>0</v>
      </c>
      <c r="BB122" s="13">
        <f>COUNTIF(BB124:BB148,"X")</f>
        <v>0</v>
      </c>
      <c r="BC122" s="13">
        <f>COUNTIF(BC124:BC148,"X")</f>
        <v>0</v>
      </c>
      <c r="BD122" s="13">
        <f>COUNTIF(BD124:BD148,"X")</f>
        <v>0</v>
      </c>
      <c r="BE122" s="13">
        <f>COUNTIF(BE124:BE148,"X")</f>
        <v>0</v>
      </c>
      <c r="BF122" s="13">
        <f>COUNTIF(BF124:BF148,"X")</f>
        <v>0</v>
      </c>
      <c r="BG122" s="13">
        <f>COUNTIF(BG124:BG148,"X")</f>
        <v>0</v>
      </c>
      <c r="BH122" s="13">
        <f>COUNTIF(BH124:BH148,"X")</f>
        <v>0</v>
      </c>
      <c r="BI122" s="13">
        <f>COUNTIF(BI124:BI148,"X")</f>
        <v>0</v>
      </c>
      <c r="BJ122" s="13">
        <f>COUNTIF(BJ124:BJ148,"X")</f>
        <v>0</v>
      </c>
      <c r="BK122" s="13">
        <f>COUNTIF(BK124:BK148,"X")</f>
        <v>0</v>
      </c>
      <c r="BL122" s="13">
        <f>COUNTIF(BL124:BL148,"X")</f>
        <v>0</v>
      </c>
      <c r="BM122" s="13">
        <f>COUNTIF(BM124:BM148,"X")</f>
        <v>0</v>
      </c>
      <c r="BN122" s="13">
        <f>COUNTIF(BN124:BN148,"X")</f>
        <v>0</v>
      </c>
      <c r="BO122" s="13">
        <f>COUNTIF(BO124:BO148,"X")</f>
        <v>0</v>
      </c>
      <c r="BP122" s="13">
        <f>COUNTIF(BP124:BP148,"X")</f>
        <v>0</v>
      </c>
      <c r="BQ122" s="13">
        <f>COUNTIF(BQ124:BQ148,"X")</f>
        <v>0</v>
      </c>
      <c r="BR122" s="13">
        <f>COUNTIF(BR124:BR148,"X")</f>
        <v>0</v>
      </c>
      <c r="BS122" s="13">
        <f>COUNTIF(BS124:BS148,"X")</f>
        <v>0</v>
      </c>
      <c r="BT122" s="13">
        <f>COUNTIF(BT124:BT148,"X")</f>
        <v>0</v>
      </c>
      <c r="BU122" s="13">
        <f>COUNTIF(BU124:BU148,"X")</f>
        <v>0</v>
      </c>
      <c r="BV122" s="13">
        <f>COUNTIF(BV124:BV148,"X")</f>
        <v>0</v>
      </c>
      <c r="BW122" s="13">
        <f>COUNTIF(BW124:BW148,"X")</f>
        <v>0</v>
      </c>
      <c r="BX122" s="13">
        <f>COUNTIF(BX124:BX148,"X")</f>
        <v>0</v>
      </c>
      <c r="BY122" s="13">
        <f>COUNTIF(BY124:BY148,"X")</f>
        <v>0</v>
      </c>
      <c r="BZ122" s="13">
        <f>COUNTIF(BZ124:BZ148,"X")</f>
        <v>0</v>
      </c>
      <c r="CA122" s="13">
        <f>COUNTIF(CA124:CA148,"X")</f>
        <v>0</v>
      </c>
      <c r="CB122" s="13">
        <f>COUNTIF(CB124:CB148,"X")</f>
        <v>0</v>
      </c>
      <c r="CC122" s="13">
        <f>COUNTIF(CC124:CC148,"X")</f>
        <v>0</v>
      </c>
      <c r="CD122" s="13">
        <f>COUNTIF(CD124:CD148,"X")</f>
        <v>0</v>
      </c>
      <c r="CE122" s="13">
        <f>COUNTIF(CE124:CE148,"X")</f>
        <v>0</v>
      </c>
      <c r="CF122" s="13">
        <f>COUNTIF(CF124:CF148,"X")</f>
        <v>0</v>
      </c>
      <c r="CG122" s="13">
        <f>COUNTIF(CG124:CG148,"X")</f>
        <v>0</v>
      </c>
      <c r="CH122" s="13">
        <f>COUNTIF(CH124:CH148,"X")</f>
        <v>0</v>
      </c>
      <c r="CI122" s="13">
        <f>COUNTIF(CI124:CI148,"X")</f>
        <v>0</v>
      </c>
      <c r="CJ122" s="13">
        <f>COUNTIF(CJ124:CJ148,"X")</f>
        <v>0</v>
      </c>
      <c r="CK122" s="13">
        <f>COUNTIF(CK124:CK148,"X")</f>
        <v>0</v>
      </c>
      <c r="CL122" s="13">
        <f>COUNTIF(CL124:CL148,"X")</f>
        <v>0</v>
      </c>
      <c r="CM122" s="13">
        <f>COUNTIF(CM124:CM148,"X")</f>
        <v>0</v>
      </c>
      <c r="CN122" s="13">
        <f>COUNTIF(CN124:CN148,"X")</f>
        <v>0</v>
      </c>
      <c r="CO122" s="13">
        <f>COUNTIF(CO124:CO148,"X")</f>
        <v>0</v>
      </c>
      <c r="CP122" s="13">
        <f>COUNTIF(CP124:CP148,"X")</f>
        <v>0</v>
      </c>
      <c r="CQ122" s="13">
        <f>COUNTIF(CQ124:CQ148,"X")</f>
        <v>0</v>
      </c>
      <c r="CR122" s="13">
        <f>COUNTIF(CR124:CR148,"X")</f>
        <v>0</v>
      </c>
      <c r="CS122" s="13">
        <f>COUNTIF(CS124:CS148,"X")</f>
        <v>0</v>
      </c>
      <c r="CT122" s="13">
        <f>COUNTIF(CT124:CT148,"X")</f>
        <v>0</v>
      </c>
      <c r="CU122" s="13">
        <f>COUNTIF(CU124:CU148,"X")</f>
        <v>0</v>
      </c>
      <c r="CV122" s="13">
        <f>COUNTIF(CV124:CV148,"X")</f>
        <v>0</v>
      </c>
      <c r="CW122" s="13">
        <f>COUNTIF(CW124:CW148,"X")</f>
        <v>0</v>
      </c>
      <c r="CX122" s="13">
        <f>COUNTIF(CX124:CX148,"X")</f>
        <v>0</v>
      </c>
      <c r="CY122" s="13">
        <f>COUNTIF(CY124:CY148,"X")</f>
        <v>0</v>
      </c>
      <c r="CZ122" s="13">
        <f>COUNTIF(CZ124:CZ148,"X")</f>
        <v>0</v>
      </c>
      <c r="DA122" s="13">
        <f>COUNTIF(DA124:DA148,"X")</f>
        <v>0</v>
      </c>
      <c r="DB122" s="13">
        <f>COUNTIF(DB124:DB148,"X")</f>
        <v>0</v>
      </c>
      <c r="DC122" s="13">
        <f>COUNTIF(DC124:DC148,"X")</f>
        <v>0</v>
      </c>
      <c r="DD122" s="13">
        <f>COUNTIF(DD124:DD148,"X")</f>
        <v>0</v>
      </c>
      <c r="DE122" s="13">
        <f>COUNTIF(DE124:DE148,"X")</f>
        <v>0</v>
      </c>
      <c r="DF122" s="13">
        <f>COUNTIF(DF124:DF148,"X")</f>
        <v>0</v>
      </c>
      <c r="DG122" s="13">
        <f>COUNTIF(DG124:DG148,"X")</f>
        <v>0</v>
      </c>
      <c r="DH122" s="13">
        <f>COUNTIF(DH124:DH148,"X")</f>
        <v>0</v>
      </c>
      <c r="DI122" s="13">
        <f>COUNTIF(DI124:DI148,"X")</f>
        <v>0</v>
      </c>
      <c r="DJ122" s="13">
        <f>COUNTIF(DJ124:DJ148,"X")</f>
        <v>0</v>
      </c>
      <c r="DK122" s="13">
        <f>COUNTIF(DK124:DK148,"X")</f>
        <v>0</v>
      </c>
      <c r="DL122" s="13">
        <f>COUNTIF(DL124:DL148,"X")</f>
        <v>0</v>
      </c>
      <c r="DM122" s="13">
        <f>COUNTIF(DM124:DM148,"X")</f>
        <v>0</v>
      </c>
      <c r="DN122" s="13">
        <f>COUNTIF(DN124:DN148,"X")</f>
        <v>0</v>
      </c>
      <c r="DO122" s="13">
        <f>COUNTIF(DO124:DO148,"X")</f>
        <v>0</v>
      </c>
      <c r="DP122" s="13">
        <f>COUNTIF(DP124:DP148,"X")</f>
        <v>0</v>
      </c>
      <c r="DQ122" s="13">
        <f>COUNTIF(DQ124:DQ148,"X")</f>
        <v>0</v>
      </c>
      <c r="DR122" s="13">
        <f>COUNTIF(DR124:DR148,"X")</f>
        <v>0</v>
      </c>
      <c r="DS122" s="13">
        <f>COUNTIF(DS124:DS148,"X")</f>
        <v>0</v>
      </c>
      <c r="DT122" s="13">
        <f>COUNTIF(DT124:DT148,"X")</f>
        <v>0</v>
      </c>
      <c r="DU122" s="13">
        <f>COUNTIF(DU124:DU148,"X")</f>
        <v>0</v>
      </c>
      <c r="DV122" s="13">
        <f>COUNTIF(DV124:DV148,"X")</f>
        <v>0</v>
      </c>
      <c r="DW122" s="13">
        <f>COUNTIF(DW124:DW148,"X")</f>
        <v>0</v>
      </c>
      <c r="DX122" s="13">
        <f>COUNTIF(DX124:DX148,"X")</f>
        <v>0</v>
      </c>
      <c r="DY122" s="13">
        <f>COUNTIF(DY124:DY148,"X")</f>
        <v>0</v>
      </c>
      <c r="DZ122" s="13">
        <f>COUNTIF(DZ124:DZ148,"X")</f>
        <v>0</v>
      </c>
      <c r="EA122" s="13">
        <f>COUNTIF(EA124:EA148,"X")</f>
        <v>0</v>
      </c>
      <c r="EB122" s="13">
        <f>COUNTIF(EB124:EB148,"X")</f>
        <v>0</v>
      </c>
      <c r="EC122" s="13">
        <f>COUNTIF(EC124:EC148,"X")</f>
        <v>0</v>
      </c>
      <c r="ED122" s="13">
        <f>COUNTIF(ED124:ED148,"X")</f>
        <v>0</v>
      </c>
      <c r="EE122" s="13">
        <f>COUNTIF(EE124:EE148,"X")</f>
        <v>0</v>
      </c>
      <c r="EF122" s="13">
        <f>COUNTIF(EF124:EF148,"X")</f>
        <v>0</v>
      </c>
      <c r="EG122" s="13">
        <f>COUNTIF(EG124:EG148,"X")</f>
        <v>0</v>
      </c>
      <c r="EH122" s="13">
        <f>COUNTIF(EH124:EH148,"X")</f>
        <v>0</v>
      </c>
      <c r="EI122" s="13">
        <f>COUNTIF(EI124:EI148,"X")</f>
        <v>0</v>
      </c>
      <c r="EJ122" s="13">
        <f>COUNTIF(EJ124:EJ148,"X")</f>
        <v>0</v>
      </c>
      <c r="EK122" s="13">
        <f>COUNTIF(EK124:EK148,"X")</f>
        <v>0</v>
      </c>
      <c r="EL122" s="13">
        <f>COUNTIF(EL124:EL148,"X")</f>
        <v>0</v>
      </c>
      <c r="EM122" s="13">
        <f>COUNTIF(EM124:EM148,"X")</f>
        <v>0</v>
      </c>
      <c r="EN122" s="13">
        <f>COUNTIF(EN124:EN148,"X")</f>
        <v>0</v>
      </c>
      <c r="EO122" s="13">
        <f>COUNTIF(EO124:EO148,"X")</f>
        <v>0</v>
      </c>
      <c r="EP122" s="13">
        <f>COUNTIF(EP124:EP148,"X")</f>
        <v>0</v>
      </c>
      <c r="EQ122" s="13">
        <f>COUNTIF(EQ124:EQ148,"X")</f>
        <v>0</v>
      </c>
      <c r="ER122" s="13">
        <f>COUNTIF(ER124:ER148,"X")</f>
        <v>0</v>
      </c>
      <c r="ES122" s="13">
        <f>COUNTIF(ES124:ES148,"X")</f>
        <v>0</v>
      </c>
      <c r="ET122" s="13">
        <f>COUNTIF(ET124:ET148,"X")</f>
        <v>0</v>
      </c>
      <c r="EU122" s="13">
        <f>COUNTIF(EU124:EU148,"X")</f>
        <v>0</v>
      </c>
      <c r="EV122" s="13">
        <f>COUNTIF(EV124:EV148,"X")</f>
        <v>0</v>
      </c>
      <c r="EW122" s="13">
        <f>COUNTIF(EW124:EW148,"X")</f>
        <v>0</v>
      </c>
      <c r="EX122" s="13">
        <f>COUNTIF(EX124:EX148,"X")</f>
        <v>0</v>
      </c>
      <c r="EY122" s="13">
        <f>COUNTIF(EY124:EY148,"X")</f>
        <v>0</v>
      </c>
      <c r="EZ122" s="13">
        <f>COUNTIF(EZ124:EZ148,"X")</f>
        <v>0</v>
      </c>
      <c r="FA122" s="13">
        <f>COUNTIF(FA124:FA148,"X")</f>
        <v>0</v>
      </c>
      <c r="FB122" s="13">
        <f>COUNTIF(FB124:FB148,"X")</f>
        <v>0</v>
      </c>
      <c r="FC122" s="13">
        <f>COUNTIF(FC124:FC148,"X")</f>
        <v>0</v>
      </c>
      <c r="FD122" s="13">
        <f>COUNTIF(FD124:FD148,"X")</f>
        <v>0</v>
      </c>
      <c r="FE122" s="13">
        <f>COUNTIF(FE124:FE148,"X")</f>
        <v>0</v>
      </c>
      <c r="FF122" s="13">
        <f>COUNTIF(FF124:FF148,"X")</f>
        <v>0</v>
      </c>
      <c r="FG122" s="13">
        <f>COUNTIF(FG124:FG148,"X")</f>
        <v>0</v>
      </c>
      <c r="FH122" s="13">
        <f>COUNTIF(FH124:FH148,"X")</f>
        <v>0</v>
      </c>
      <c r="FI122" s="13">
        <f>COUNTIF(FI124:FI148,"X")</f>
        <v>0</v>
      </c>
      <c r="FJ122" s="13">
        <f>COUNTIF(FJ124:FJ148,"X")</f>
        <v>0</v>
      </c>
      <c r="FK122" s="13">
        <f>COUNTIF(FK124:FK148,"X")</f>
        <v>0</v>
      </c>
      <c r="FL122" s="13">
        <f>COUNTIF(FL124:FL148,"X")</f>
        <v>0</v>
      </c>
      <c r="FM122" s="13">
        <f>COUNTIF(FM124:FM148,"X")</f>
        <v>0</v>
      </c>
      <c r="FN122" s="13">
        <f>COUNTIF(FN124:FN148,"X")</f>
        <v>0</v>
      </c>
      <c r="FO122" s="13">
        <f>COUNTIF(FO124:FO148,"X")</f>
        <v>0</v>
      </c>
      <c r="FP122" s="13">
        <f>COUNTIF(FP124:FP148,"X")</f>
        <v>0</v>
      </c>
      <c r="FQ122" s="13">
        <f>COUNTIF(FQ124:FQ148,"X")</f>
        <v>0</v>
      </c>
      <c r="FR122" s="13">
        <f>COUNTIF(FR124:FR148,"X")</f>
        <v>0</v>
      </c>
      <c r="FS122" s="13">
        <f>COUNTIF(FS124:FS148,"X")</f>
        <v>0</v>
      </c>
      <c r="FT122" s="13">
        <f>COUNTIF(FT124:FT148,"X")</f>
        <v>0</v>
      </c>
      <c r="FU122" s="13">
        <f>COUNTIF(FU124:FU148,"X")</f>
        <v>0</v>
      </c>
      <c r="FV122" s="13">
        <f>COUNTIF(FV124:FV148,"X")</f>
        <v>0</v>
      </c>
      <c r="FW122" s="13">
        <f>COUNTIF(FW124:FW148,"X")</f>
        <v>0</v>
      </c>
      <c r="FX122" s="13">
        <f>COUNTIF(FX124:FX148,"X")</f>
        <v>0</v>
      </c>
      <c r="FY122" s="13">
        <f>COUNTIF(FY124:FY148,"X")</f>
        <v>0</v>
      </c>
      <c r="FZ122" s="13">
        <f>COUNTIF(FZ124:FZ148,"X")</f>
        <v>0</v>
      </c>
      <c r="GA122" s="13">
        <f>COUNTIF(GA124:GA148,"X")</f>
        <v>0</v>
      </c>
      <c r="GB122" s="13">
        <f>COUNTIF(GB124:GB148,"X")</f>
        <v>0</v>
      </c>
      <c r="GC122" s="13">
        <f>COUNTIF(GC124:GC148,"X")</f>
        <v>0</v>
      </c>
      <c r="GD122" s="13">
        <f>COUNTIF(GD124:GD148,"X")</f>
        <v>0</v>
      </c>
      <c r="GE122" s="13">
        <f>COUNTIF(GE124:GE148,"X")</f>
        <v>0</v>
      </c>
      <c r="GF122" s="13">
        <f>COUNTIF(GF124:GF148,"X")</f>
        <v>0</v>
      </c>
      <c r="GG122" s="13">
        <f>COUNTIF(GG124:GG148,"X")</f>
        <v>0</v>
      </c>
      <c r="GH122" s="13">
        <f>COUNTIF(GH124:GH148,"X")</f>
        <v>0</v>
      </c>
      <c r="GI122" s="13">
        <f>COUNTIF(GI124:GI148,"X")</f>
        <v>0</v>
      </c>
      <c r="GJ122" s="13">
        <f>COUNTIF(GJ124:GJ148,"X")</f>
        <v>0</v>
      </c>
      <c r="GK122" s="13">
        <f>COUNTIF(GK124:GK148,"X")</f>
        <v>0</v>
      </c>
      <c r="GL122" s="13">
        <f>COUNTIF(GL124:GL148,"X")</f>
        <v>0</v>
      </c>
      <c r="GM122" s="13">
        <f>COUNTIF(GM124:GM148,"X")</f>
        <v>0</v>
      </c>
      <c r="GN122" s="13">
        <f>COUNTIF(GN124:GN148,"X")</f>
        <v>0</v>
      </c>
      <c r="GO122" s="13">
        <f>COUNTIF(GO124:GO148,"X")</f>
        <v>0</v>
      </c>
      <c r="GP122" s="13">
        <f>COUNTIF(GP124:GP148,"X")</f>
        <v>0</v>
      </c>
      <c r="GQ122" s="13">
        <f>COUNTIF(GQ124:GQ148,"X")</f>
        <v>0</v>
      </c>
      <c r="GR122" s="13">
        <f>COUNTIF(GR124:GR148,"X")</f>
        <v>0</v>
      </c>
      <c r="GS122" s="13">
        <f>COUNTIF(GS124:GS148,"X")</f>
        <v>0</v>
      </c>
      <c r="GT122" s="13">
        <f>COUNTIF(GT124:GT148,"X")</f>
        <v>0</v>
      </c>
      <c r="GU122" s="13">
        <f>COUNTIF(GU124:GU148,"X")</f>
        <v>0</v>
      </c>
      <c r="GV122" s="13">
        <f>COUNTIF(GV124:GV148,"X")</f>
        <v>0</v>
      </c>
      <c r="GW122" s="13">
        <f>COUNTIF(GW124:GW148,"X")</f>
        <v>0</v>
      </c>
      <c r="GX122" s="13">
        <f>COUNTIF(GX124:GX148,"X")</f>
        <v>0</v>
      </c>
      <c r="GY122" s="13">
        <f>COUNTIF(GY124:GY148,"X")</f>
        <v>0</v>
      </c>
      <c r="GZ122" s="13">
        <f>COUNTIF(GZ124:GZ148,"X")</f>
        <v>0</v>
      </c>
      <c r="HA122" s="13">
        <f>COUNTIF(HA124:HA148,"X")</f>
        <v>0</v>
      </c>
      <c r="HB122" s="13">
        <f>COUNTIF(HB124:HB148,"X")</f>
        <v>0</v>
      </c>
      <c r="HC122" s="13">
        <f>COUNTIF(HC124:HC148,"X")</f>
        <v>0</v>
      </c>
      <c r="HD122" s="13">
        <f>COUNTIF(HD124:HD148,"X")</f>
        <v>0</v>
      </c>
      <c r="HE122" s="13">
        <f>COUNTIF(HE124:HE148,"X")</f>
        <v>0</v>
      </c>
      <c r="HF122" s="13">
        <f>COUNTIF(HF124:HF148,"X")</f>
        <v>0</v>
      </c>
      <c r="HG122" s="13">
        <f>COUNTIF(HG124:HG148,"X")</f>
        <v>0</v>
      </c>
      <c r="HH122" s="13">
        <f>COUNTIF(HH124:HH148,"X")</f>
        <v>0</v>
      </c>
      <c r="HI122" s="13">
        <f>COUNTIF(HI124:HI148,"X")</f>
        <v>0</v>
      </c>
      <c r="HJ122" s="13">
        <f>COUNTIF(HJ124:HJ148,"X")</f>
        <v>0</v>
      </c>
      <c r="HK122" s="13">
        <f>COUNTIF(HK124:HK148,"X")</f>
        <v>0</v>
      </c>
      <c r="HL122" s="13">
        <f>COUNTIF(HL124:HL148,"X")</f>
        <v>0</v>
      </c>
      <c r="HM122" s="13">
        <f>COUNTIF(HM124:HM148,"X")</f>
        <v>0</v>
      </c>
      <c r="HN122" s="13">
        <f>COUNTIF(HN124:HN148,"X")</f>
        <v>0</v>
      </c>
      <c r="HO122" s="13">
        <f>COUNTIF(HO124:HO148,"X")</f>
        <v>0</v>
      </c>
      <c r="HP122" s="13">
        <f>COUNTIF(HP124:HP148,"X")</f>
        <v>0</v>
      </c>
      <c r="HQ122" s="13">
        <f>COUNTIF(HQ124:HQ148,"X")</f>
        <v>0</v>
      </c>
      <c r="HR122" s="13">
        <f>COUNTIF(HR124:HR148,"X")</f>
        <v>0</v>
      </c>
      <c r="HS122" s="13">
        <f>COUNTIF(HS124:HS148,"X")</f>
        <v>0</v>
      </c>
      <c r="HT122" s="13">
        <f>COUNTIF(HT124:HT148,"X")</f>
        <v>0</v>
      </c>
      <c r="HU122" s="13">
        <f>COUNTIF(HU124:HU148,"X")</f>
        <v>0</v>
      </c>
      <c r="HV122" s="13">
        <f>COUNTIF(HV124:HV148,"X")</f>
        <v>0</v>
      </c>
      <c r="HW122" s="13">
        <f>COUNTIF(HW124:HW148,"X")</f>
        <v>0</v>
      </c>
      <c r="HX122" s="13">
        <f>COUNTIF(HX124:HX148,"X")</f>
        <v>0</v>
      </c>
      <c r="HY122" s="13">
        <f>COUNTIF(HY124:HY148,"X")</f>
        <v>0</v>
      </c>
      <c r="HZ122" s="13">
        <f>COUNTIF(HZ124:HZ148,"X")</f>
        <v>0</v>
      </c>
      <c r="IA122" s="13">
        <f>COUNTIF(IA124:IA148,"X")</f>
        <v>0</v>
      </c>
      <c r="IB122" s="13">
        <f>COUNTIF(IB124:IB148,"X")</f>
        <v>0</v>
      </c>
      <c r="IC122" s="13">
        <f>COUNTIF(IC124:IC148,"X")</f>
        <v>0</v>
      </c>
      <c r="ID122" s="13">
        <f>COUNTIF(ID124:ID148,"X")</f>
        <v>0</v>
      </c>
      <c r="IE122" s="13">
        <f>COUNTIF(IE124:IE148,"X")</f>
        <v>0</v>
      </c>
      <c r="IF122" s="13">
        <f>COUNTIF(IF124:IF148,"X")</f>
        <v>0</v>
      </c>
      <c r="IG122" s="13">
        <f>COUNTIF(IG124:IG148,"X")</f>
        <v>0</v>
      </c>
      <c r="IH122" s="13">
        <f>COUNTIF(IH124:IH148,"X")</f>
        <v>0</v>
      </c>
      <c r="II122" s="13">
        <f>COUNTIF(II124:II148,"X")</f>
        <v>0</v>
      </c>
      <c r="IJ122" s="13">
        <f>COUNTIF(IJ124:IJ148,"X")</f>
        <v>0</v>
      </c>
      <c r="IK122" s="13">
        <f>COUNTIF(IK124:IK148,"X")</f>
        <v>0</v>
      </c>
      <c r="IL122" s="13">
        <f>COUNTIF(IL124:IL148,"X")</f>
        <v>0</v>
      </c>
      <c r="IM122" s="13">
        <f>COUNTIF(IM124:IM148,"X")</f>
        <v>0</v>
      </c>
      <c r="IN122" s="13">
        <f>COUNTIF(IN124:IN148,"X")</f>
        <v>0</v>
      </c>
      <c r="IO122" s="13">
        <f>COUNTIF(IO124:IO148,"X")</f>
        <v>0</v>
      </c>
      <c r="IP122" s="13">
        <f>COUNTIF(IP124:IP148,"X")</f>
        <v>0</v>
      </c>
      <c r="IQ122" s="13">
        <f>COUNTIF(IQ124:IQ148,"X")</f>
        <v>0</v>
      </c>
      <c r="IR122" s="13">
        <f>COUNTIF(IR124:IR148,"X")</f>
        <v>0</v>
      </c>
      <c r="IS122" s="13">
        <f>COUNTIF(IS124:IS148,"X")</f>
        <v>0</v>
      </c>
      <c r="IT122" s="13">
        <f>COUNTIF(IT124:IT148,"X")</f>
        <v>0</v>
      </c>
      <c r="IU122" s="13">
        <f>COUNTIF(IU124:IU148,"X")</f>
        <v>0</v>
      </c>
      <c r="IV122" s="13">
        <f>COUNTIF(IV124:IV148,"X")</f>
        <v>0</v>
      </c>
      <c r="IW122" s="13">
        <f>COUNTIF(IW124:IW148,"X")</f>
        <v>0</v>
      </c>
      <c r="IX122" s="13">
        <f>COUNTIF(IX124:IX148,"X")</f>
        <v>0</v>
      </c>
      <c r="IY122" s="13">
        <f>COUNTIF(IY124:IY148,"X")</f>
        <v>0</v>
      </c>
      <c r="IZ122" s="13">
        <f>COUNTIF(IZ124:IZ148,"X")</f>
        <v>0</v>
      </c>
      <c r="JA122" s="13">
        <f>COUNTIF(JA124:JA148,"X")</f>
        <v>0</v>
      </c>
      <c r="JB122" s="13">
        <f>COUNTIF(JB124:JB148,"X")</f>
        <v>0</v>
      </c>
      <c r="JC122" s="13">
        <f>COUNTIF(JC124:JC148,"X")</f>
        <v>0</v>
      </c>
      <c r="JD122" s="13">
        <f>COUNTIF(JD124:JD148,"X")</f>
        <v>0</v>
      </c>
      <c r="JE122" s="13">
        <f>COUNTIF(JE124:JE148,"X")</f>
        <v>0</v>
      </c>
      <c r="JF122" s="13">
        <f>COUNTIF(JF124:JF148,"X")</f>
        <v>0</v>
      </c>
      <c r="JG122" s="13">
        <f>COUNTIF(JG124:JG148,"X")</f>
        <v>0</v>
      </c>
      <c r="JH122" s="13">
        <f>COUNTIF(JH124:JH148,"X")</f>
        <v>0</v>
      </c>
      <c r="JI122" s="13">
        <f>COUNTIF(JI124:JI148,"X")</f>
        <v>0</v>
      </c>
      <c r="JJ122" s="13">
        <f>COUNTIF(JJ124:JJ148,"X")</f>
        <v>0</v>
      </c>
      <c r="JK122" s="13">
        <f>COUNTIF(JK124:JK148,"X")</f>
        <v>0</v>
      </c>
      <c r="JL122" s="13">
        <f>COUNTIF(JL124:JL148,"X")</f>
        <v>0</v>
      </c>
      <c r="JM122" s="13">
        <f>COUNTIF(JM124:JM148,"X")</f>
        <v>0</v>
      </c>
      <c r="JN122" s="13">
        <f>COUNTIF(JN124:JN148,"X")</f>
        <v>0</v>
      </c>
      <c r="JO122" s="13">
        <f>COUNTIF(JO124:JO148,"X")</f>
        <v>0</v>
      </c>
      <c r="JP122" s="13">
        <f>COUNTIF(JP124:JP148,"X")</f>
        <v>0</v>
      </c>
      <c r="JQ122" s="13">
        <f>COUNTIF(JQ124:JQ148,"X")</f>
        <v>0</v>
      </c>
      <c r="JR122" s="13">
        <f>COUNTIF(JR124:JR148,"X")</f>
        <v>0</v>
      </c>
      <c r="JS122" s="13">
        <f>COUNTIF(JS124:JS148,"X")</f>
        <v>0</v>
      </c>
      <c r="JT122" s="13">
        <f>COUNTIF(JT124:JT148,"X")</f>
        <v>0</v>
      </c>
      <c r="JU122" s="13">
        <f>COUNTIF(JU124:JU148,"X")</f>
        <v>0</v>
      </c>
      <c r="JV122" s="13">
        <f>COUNTIF(JV124:JV148,"X")</f>
        <v>0</v>
      </c>
      <c r="JW122" s="13">
        <f>COUNTIF(JW124:JW148,"X")</f>
        <v>0</v>
      </c>
      <c r="JX122" s="13">
        <f>COUNTIF(JX124:JX148,"X")</f>
        <v>0</v>
      </c>
      <c r="JY122" s="13">
        <f>COUNTIF(JY124:JY148,"X")</f>
        <v>0</v>
      </c>
      <c r="JZ122" s="13">
        <f>COUNTIF(JZ124:JZ148,"X")</f>
        <v>0</v>
      </c>
      <c r="KA122" s="13">
        <f>COUNTIF(KA124:KA148,"X")</f>
        <v>0</v>
      </c>
      <c r="KB122" s="13">
        <f>COUNTIF(KB124:KB148,"X")</f>
        <v>0</v>
      </c>
      <c r="KC122" s="13">
        <f>COUNTIF(KC124:KC148,"X")</f>
        <v>0</v>
      </c>
      <c r="KD122" s="13">
        <f>COUNTIF(KD124:KD148,"X")</f>
        <v>0</v>
      </c>
      <c r="KE122" s="13">
        <f>COUNTIF(KE124:KE148,"X")</f>
        <v>0</v>
      </c>
      <c r="KF122" s="13">
        <f>COUNTIF(KF124:KF148,"X")</f>
        <v>0</v>
      </c>
      <c r="KG122" s="13">
        <f>COUNTIF(KG124:KG148,"X")</f>
        <v>0</v>
      </c>
      <c r="KH122" s="13">
        <f>COUNTIF(KH124:KH148,"X")</f>
        <v>0</v>
      </c>
      <c r="KI122" s="13">
        <f>COUNTIF(KI124:KI148,"X")</f>
        <v>0</v>
      </c>
      <c r="KJ122" s="13">
        <f>COUNTIF(KJ124:KJ148,"X")</f>
        <v>0</v>
      </c>
      <c r="KK122" s="13">
        <f>COUNTIF(KK124:KK148,"X")</f>
        <v>0</v>
      </c>
      <c r="KL122" s="13">
        <f>COUNTIF(KL124:KL148,"X")</f>
        <v>0</v>
      </c>
      <c r="KM122" s="13">
        <f>COUNTIF(KM124:KM148,"X")</f>
        <v>0</v>
      </c>
      <c r="KN122" s="13">
        <f>COUNTIF(KN124:KN148,"X")</f>
        <v>0</v>
      </c>
      <c r="KO122" s="13">
        <f>COUNTIF(KO124:KO148,"X")</f>
        <v>0</v>
      </c>
      <c r="KP122" s="13">
        <f>COUNTIF(KP124:KP148,"X")</f>
        <v>0</v>
      </c>
      <c r="KQ122" s="13">
        <f>COUNTIF(KQ124:KQ148,"X")</f>
        <v>0</v>
      </c>
      <c r="KR122" s="13">
        <f>COUNTIF(KR124:KR148,"X")</f>
        <v>0</v>
      </c>
      <c r="KS122" s="13">
        <f>COUNTIF(KS124:KS148,"X")</f>
        <v>0</v>
      </c>
      <c r="KT122" s="13">
        <f>COUNTIF(KT124:KT148,"X")</f>
        <v>0</v>
      </c>
      <c r="KU122" s="13">
        <f>COUNTIF(KU124:KU148,"X")</f>
        <v>0</v>
      </c>
      <c r="KV122" s="13">
        <f>COUNTIF(KV124:KV148,"X")</f>
        <v>0</v>
      </c>
      <c r="KW122" s="13">
        <f>COUNTIF(KW124:KW148,"X")</f>
        <v>0</v>
      </c>
      <c r="KX122" s="13">
        <f>COUNTIF(KX124:KX148,"X")</f>
        <v>0</v>
      </c>
      <c r="KY122" s="13">
        <f>COUNTIF(KY124:KY148,"X")</f>
        <v>0</v>
      </c>
      <c r="KZ122" s="13">
        <f>COUNTIF(KZ124:KZ148,"X")</f>
        <v>0</v>
      </c>
      <c r="LA122" s="13">
        <f>COUNTIF(LA124:LA148,"X")</f>
        <v>0</v>
      </c>
      <c r="LB122" s="13">
        <f>COUNTIF(LB124:LB148,"X")</f>
        <v>0</v>
      </c>
      <c r="LC122" s="13">
        <f>COUNTIF(LC124:LC148,"X")</f>
        <v>0</v>
      </c>
      <c r="LD122" s="13">
        <f>COUNTIF(LD124:LD148,"X")</f>
        <v>0</v>
      </c>
      <c r="LE122" s="13">
        <f>COUNTIF(LE124:LE148,"X")</f>
        <v>0</v>
      </c>
      <c r="LF122" s="13">
        <f>COUNTIF(LF124:LF148,"X")</f>
        <v>0</v>
      </c>
      <c r="LG122" s="13">
        <f>COUNTIF(LG124:LG148,"X")</f>
        <v>0</v>
      </c>
      <c r="LH122" s="13">
        <f>COUNTIF(LH124:LH148,"X")</f>
        <v>0</v>
      </c>
      <c r="LI122" s="13">
        <f>COUNTIF(LI124:LI148,"X")</f>
        <v>0</v>
      </c>
      <c r="LJ122" s="13">
        <f>COUNTIF(LJ124:LJ148,"X")</f>
        <v>0</v>
      </c>
      <c r="LK122" s="13">
        <f>COUNTIF(LK124:LK148,"X")</f>
        <v>0</v>
      </c>
      <c r="LL122" s="13">
        <f>COUNTIF(LL124:LL148,"X")</f>
        <v>0</v>
      </c>
      <c r="LM122" s="13">
        <f>COUNTIF(LM124:LM148,"X")</f>
        <v>0</v>
      </c>
      <c r="LN122" s="13">
        <f>COUNTIF(LN124:LN148,"X")</f>
        <v>0</v>
      </c>
      <c r="LO122" s="13">
        <f>COUNTIF(LO124:LO148,"X")</f>
        <v>0</v>
      </c>
      <c r="LP122" s="13">
        <f>COUNTIF(LP124:LP148,"X")</f>
        <v>0</v>
      </c>
      <c r="LQ122" s="13">
        <f>COUNTIF(LQ124:LQ148,"X")</f>
        <v>0</v>
      </c>
      <c r="LR122" s="13">
        <f>COUNTIF(LR124:LR148,"X")</f>
        <v>0</v>
      </c>
      <c r="LS122" s="13">
        <f>COUNTIF(LS124:LS148,"X")</f>
        <v>0</v>
      </c>
      <c r="LT122" s="13">
        <f>COUNTIF(LT124:LT148,"X")</f>
        <v>0</v>
      </c>
      <c r="LU122" s="13">
        <f>COUNTIF(LU124:LU148,"X")</f>
        <v>0</v>
      </c>
      <c r="LV122" s="13">
        <f>COUNTIF(LV124:LV148,"X")</f>
        <v>0</v>
      </c>
      <c r="LW122" s="13">
        <f>COUNTIF(LW124:LW148,"X")</f>
        <v>0</v>
      </c>
      <c r="LX122" s="13">
        <f>COUNTIF(LX124:LX148,"X")</f>
        <v>0</v>
      </c>
      <c r="LY122" s="13">
        <f>COUNTIF(LY124:LY148,"X")</f>
        <v>0</v>
      </c>
      <c r="LZ122" s="13">
        <f>COUNTIF(LZ124:LZ148,"X")</f>
        <v>0</v>
      </c>
      <c r="MA122" s="13">
        <f>COUNTIF(MA124:MA148,"X")</f>
        <v>0</v>
      </c>
      <c r="MB122" s="13">
        <f>COUNTIF(MB124:MB148,"X")</f>
        <v>0</v>
      </c>
      <c r="MC122" s="13">
        <f>COUNTIF(MC124:MC148,"X")</f>
        <v>0</v>
      </c>
      <c r="MD122" s="13">
        <f>COUNTIF(MD124:MD148,"X")</f>
        <v>0</v>
      </c>
      <c r="ME122" s="13">
        <f>COUNTIF(ME124:ME148,"X")</f>
        <v>0</v>
      </c>
      <c r="MF122" s="13">
        <f>COUNTIF(MF124:MF148,"X")</f>
        <v>0</v>
      </c>
      <c r="MG122" s="13">
        <f>COUNTIF(MG124:MG148,"X")</f>
        <v>0</v>
      </c>
      <c r="MH122" s="13">
        <f>COUNTIF(MH124:MH148,"X")</f>
        <v>0</v>
      </c>
      <c r="MI122" s="13">
        <f>COUNTIF(MI124:MI148,"X")</f>
        <v>0</v>
      </c>
      <c r="MJ122" s="13">
        <f>COUNTIF(MJ124:MJ148,"X")</f>
        <v>0</v>
      </c>
      <c r="MK122" s="13">
        <f>COUNTIF(MK124:MK148,"X")</f>
        <v>0</v>
      </c>
      <c r="ML122" s="13">
        <f>COUNTIF(ML124:ML148,"X")</f>
        <v>0</v>
      </c>
      <c r="MM122" s="13">
        <f>COUNTIF(MM124:MM148,"X")</f>
        <v>0</v>
      </c>
      <c r="MN122" s="13">
        <f>COUNTIF(MN124:MN148,"X")</f>
        <v>0</v>
      </c>
      <c r="MO122" s="13">
        <f>COUNTIF(MO124:MO148,"X")</f>
        <v>0</v>
      </c>
      <c r="MP122" s="13">
        <f>COUNTIF(MP124:MP148,"X")</f>
        <v>0</v>
      </c>
      <c r="MQ122" s="13">
        <f>COUNTIF(MQ124:MQ148,"X")</f>
        <v>0</v>
      </c>
      <c r="MR122" s="13">
        <f>COUNTIF(MR124:MR148,"X")</f>
        <v>0</v>
      </c>
      <c r="MS122" s="13">
        <f>COUNTIF(MS124:MS148,"X")</f>
        <v>0</v>
      </c>
      <c r="MT122" s="13">
        <f>COUNTIF(MT124:MT148,"X")</f>
        <v>0</v>
      </c>
      <c r="MU122" s="13">
        <f>COUNTIF(MU124:MU148,"X")</f>
        <v>0</v>
      </c>
      <c r="MV122" s="13">
        <f>COUNTIF(MV124:MV148,"X")</f>
        <v>0</v>
      </c>
      <c r="MW122" s="13">
        <f>COUNTIF(MW124:MW148,"X")</f>
        <v>0</v>
      </c>
      <c r="MX122" s="13">
        <f>COUNTIF(MX124:MX148,"X")</f>
        <v>0</v>
      </c>
      <c r="MY122" s="13">
        <f>COUNTIF(MY124:MY148,"X")</f>
        <v>0</v>
      </c>
      <c r="MZ122" s="13">
        <f>COUNTIF(MZ124:MZ148,"X")</f>
        <v>0</v>
      </c>
      <c r="NA122" s="13">
        <f>COUNTIF(NA124:NA148,"X")</f>
        <v>0</v>
      </c>
      <c r="NB122" s="13">
        <f>COUNTIF(NB124:NB148,"X")</f>
        <v>0</v>
      </c>
      <c r="NC122" s="13">
        <f>COUNTIF(NC124:NC148,"X")</f>
        <v>0</v>
      </c>
      <c r="ND122" s="13">
        <f>COUNTIF(ND124:ND148,"X")</f>
        <v>0</v>
      </c>
      <c r="NE122" s="13">
        <f>COUNTIF(NE124:NE148,"X")</f>
        <v>0</v>
      </c>
      <c r="NF122" s="13">
        <f>COUNTIF(NF124:NF148,"X")</f>
        <v>0</v>
      </c>
      <c r="NG122" s="13">
        <f>COUNTIF(NG124:NG148,"X")</f>
        <v>0</v>
      </c>
      <c r="NH122" s="13">
        <f>COUNTIF(NH124:NH148,"X")</f>
        <v>0</v>
      </c>
      <c r="NI122" s="13">
        <f>COUNTIF(NI124:NI148,"X")</f>
        <v>0</v>
      </c>
      <c r="NJ122" s="13">
        <f>COUNTIF(NJ124:NJ148,"X")</f>
        <v>0</v>
      </c>
      <c r="NK122" s="13">
        <f>COUNTIF(NK124:NK148,"X")</f>
        <v>0</v>
      </c>
      <c r="NL122" s="13">
        <f>COUNTIF(NL124:NL148,"X")</f>
        <v>0</v>
      </c>
      <c r="NM122" s="13">
        <f>COUNTIF(NM124:NM148,"X")</f>
        <v>0</v>
      </c>
      <c r="NN122" s="13">
        <f>COUNTIF(NN124:NN148,"X")</f>
        <v>0</v>
      </c>
      <c r="NO122" s="13">
        <f>COUNTIF(NO124:NO148,"X")</f>
        <v>0</v>
      </c>
      <c r="NP122" s="13">
        <f>COUNTIF(NP124:NP148,"X")</f>
        <v>0</v>
      </c>
      <c r="NQ122" s="13">
        <f>COUNTIF(NQ124:NQ148,"X")</f>
        <v>0</v>
      </c>
      <c r="NR122" s="13">
        <f>COUNTIF(NR124:NR148,"X")</f>
        <v>0</v>
      </c>
      <c r="NS122" s="13">
        <f>COUNTIF(NS123:NS148,"X")</f>
        <v>0</v>
      </c>
      <c r="NT122" s="14">
        <f>SUM(F122:NS122)</f>
        <v>15</v>
      </c>
      <c r="NU122" s="93"/>
      <c r="NV122" s="30">
        <f>SUMIF(NW123:NW148,0,NV123:NV148)</f>
        <v>2</v>
      </c>
      <c r="NW122" s="30">
        <f>SUMIF(NW123:NW148,0,NV123:NV148)</f>
        <v>2</v>
      </c>
      <c r="NX122" s="14">
        <f>SUM(F122:AU122)</f>
        <v>15</v>
      </c>
      <c r="NY122" s="93"/>
      <c r="NZ122" s="30">
        <f>SUMIF(OA123:OA148,0,NZ123:NZ148)</f>
        <v>0</v>
      </c>
      <c r="OA122" s="30">
        <f>SUMIF(OA123:OA148,0,NZ123:NZ148)</f>
        <v>0</v>
      </c>
      <c r="OB122" s="14">
        <f>SUM(AV122:CK122)</f>
        <v>0</v>
      </c>
      <c r="OC122" s="93"/>
      <c r="OD122" s="30">
        <f>SUMIF(OE123:OE148,0,OD123:OD148)</f>
        <v>0</v>
      </c>
      <c r="OE122" s="30">
        <f>SUMIF(OE123:OE148,0,OD123:OD148)</f>
        <v>0</v>
      </c>
      <c r="OF122" s="14">
        <f>SUM(CL122:EA122)</f>
        <v>0</v>
      </c>
      <c r="OG122" s="85"/>
      <c r="OH122" s="30">
        <f>SUMIF(OI123:OI148,0,OH123:OH148)</f>
        <v>0</v>
      </c>
      <c r="OI122" s="30">
        <f>SUMIF(OI123:OI148,0,OH123:OH148)</f>
        <v>0</v>
      </c>
      <c r="OJ122" s="14">
        <f>SUM(EB122:FQ122)</f>
        <v>0</v>
      </c>
      <c r="OK122" s="85"/>
      <c r="OL122" s="30">
        <f>SUMIF(OM123:OM148,0,OL123:OL148)</f>
        <v>0</v>
      </c>
      <c r="OM122" s="30">
        <f>SUMIF(OM123:OM148,0,OL123:OL148)</f>
        <v>0</v>
      </c>
      <c r="ON122" s="14">
        <f>SUM(FR122:HG122)</f>
        <v>0</v>
      </c>
      <c r="OO122" s="85"/>
      <c r="OP122" s="30">
        <f>SUMIF(OQ123:OQ148,0,OP123:OP148)</f>
        <v>0</v>
      </c>
      <c r="OQ122" s="85"/>
      <c r="OR122" s="14">
        <f>SUM(HH122:IW122)</f>
        <v>0</v>
      </c>
      <c r="OS122" s="85"/>
      <c r="OT122" s="30">
        <f>SUMIF(OU123:OU148,0,OT123:OT148)</f>
        <v>0</v>
      </c>
      <c r="OU122" s="30">
        <f>SUMIF(OU123:OU148,0,OT123:OT148)</f>
        <v>0</v>
      </c>
      <c r="OV122" s="14">
        <f>SUM(IX122:KM122)</f>
        <v>0</v>
      </c>
      <c r="OW122" s="85"/>
      <c r="OX122" s="30">
        <f>SUMIF(OY123:OY148,0,OX123:OX148)</f>
        <v>0</v>
      </c>
      <c r="OY122" s="30">
        <f>SUMIF(OY123:OY148,0,OX123:OX148)</f>
        <v>0</v>
      </c>
      <c r="OZ122" s="14">
        <f>SUM(KN122:MC122)</f>
        <v>0</v>
      </c>
      <c r="PA122" s="85"/>
      <c r="PB122" s="30">
        <f>SUMIF(PC123:PC148,0,PB123:PB148)</f>
        <v>0</v>
      </c>
      <c r="PC122" s="30">
        <f>SUMIF(PC123:PC148,0,PB123:PB148)</f>
        <v>0</v>
      </c>
      <c r="PD122" s="14">
        <f>SUM(MD122:NS122)</f>
        <v>0</v>
      </c>
      <c r="PE122" s="85"/>
    </row>
    <row r="123" spans="1:421" ht="15.75" customHeight="1" outlineLevel="1" x14ac:dyDescent="0.25">
      <c r="C123" s="82" t="s">
        <v>30</v>
      </c>
      <c r="D123" s="71" t="s">
        <v>69</v>
      </c>
      <c r="E123" s="53" t="s">
        <v>8</v>
      </c>
      <c r="F123" s="33" t="s">
        <v>74</v>
      </c>
      <c r="G123" s="33"/>
      <c r="H123" s="33"/>
      <c r="I123" s="33" t="s">
        <v>74</v>
      </c>
      <c r="J123" s="33" t="s">
        <v>74</v>
      </c>
      <c r="K123" s="33" t="s">
        <v>74</v>
      </c>
      <c r="L123" s="33" t="s">
        <v>74</v>
      </c>
      <c r="M123" s="33" t="s">
        <v>74</v>
      </c>
      <c r="N123" s="33"/>
      <c r="O123" s="33"/>
      <c r="P123" s="69"/>
      <c r="Q123" s="33" t="s">
        <v>74</v>
      </c>
      <c r="R123" s="33" t="s">
        <v>74</v>
      </c>
      <c r="S123" s="33" t="s">
        <v>74</v>
      </c>
      <c r="T123" s="33" t="s">
        <v>74</v>
      </c>
      <c r="U123" s="33"/>
      <c r="V123" s="33"/>
      <c r="W123" s="69"/>
      <c r="X123" s="33">
        <v>1</v>
      </c>
      <c r="Y123" s="33">
        <v>1</v>
      </c>
      <c r="Z123" s="33">
        <v>1</v>
      </c>
      <c r="AA123" s="33">
        <v>1</v>
      </c>
      <c r="AB123" s="33"/>
      <c r="AC123" s="33"/>
      <c r="AD123" s="33">
        <v>1</v>
      </c>
      <c r="AE123" s="33">
        <v>1</v>
      </c>
      <c r="AF123" s="33">
        <v>1</v>
      </c>
      <c r="AG123" s="33">
        <v>1</v>
      </c>
      <c r="AH123" s="33">
        <v>1</v>
      </c>
      <c r="AI123" s="33"/>
      <c r="AJ123" s="33"/>
      <c r="AK123" s="33" t="s">
        <v>74</v>
      </c>
      <c r="AL123" s="33" t="s">
        <v>74</v>
      </c>
      <c r="AM123" s="33" t="s">
        <v>74</v>
      </c>
      <c r="AN123" s="33" t="s">
        <v>74</v>
      </c>
      <c r="AO123" s="33" t="s">
        <v>74</v>
      </c>
      <c r="AP123" s="33"/>
      <c r="AQ123" s="33"/>
      <c r="AR123" s="33">
        <v>1</v>
      </c>
      <c r="AS123" s="33">
        <v>1</v>
      </c>
      <c r="AT123" s="33">
        <v>1</v>
      </c>
      <c r="AU123" s="33">
        <v>1</v>
      </c>
      <c r="AV123" s="33">
        <v>1</v>
      </c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  <c r="HI123" s="33"/>
      <c r="HJ123" s="33"/>
      <c r="HK123" s="33"/>
      <c r="HL123" s="33"/>
      <c r="HM123" s="33"/>
      <c r="HN123" s="33"/>
      <c r="HO123" s="33"/>
      <c r="HP123" s="33"/>
      <c r="HQ123" s="33"/>
      <c r="HR123" s="33"/>
      <c r="HS123" s="33"/>
      <c r="HT123" s="33"/>
      <c r="HU123" s="33"/>
      <c r="HV123" s="33"/>
      <c r="HW123" s="33"/>
      <c r="HX123" s="33"/>
      <c r="HY123" s="33"/>
      <c r="HZ123" s="33"/>
      <c r="IA123" s="33"/>
      <c r="IB123" s="33"/>
      <c r="IC123" s="33"/>
      <c r="ID123" s="33"/>
      <c r="IE123" s="33"/>
      <c r="IF123" s="33"/>
      <c r="IG123" s="33"/>
      <c r="IH123" s="33"/>
      <c r="II123" s="33"/>
      <c r="IJ123" s="33"/>
      <c r="IK123" s="33"/>
      <c r="IL123" s="33"/>
      <c r="IM123" s="33"/>
      <c r="IN123" s="33"/>
      <c r="IO123" s="33"/>
      <c r="IP123" s="33"/>
      <c r="IQ123" s="33"/>
      <c r="IR123" s="33"/>
      <c r="IS123" s="33"/>
      <c r="IT123" s="33"/>
      <c r="IU123" s="33"/>
      <c r="IV123" s="33"/>
      <c r="IW123" s="33"/>
      <c r="IX123" s="33"/>
      <c r="IY123" s="33"/>
      <c r="IZ123" s="33"/>
      <c r="JA123" s="33"/>
      <c r="JB123" s="33"/>
      <c r="JC123" s="33"/>
      <c r="JD123" s="33"/>
      <c r="JE123" s="33"/>
      <c r="JF123" s="33"/>
      <c r="JG123" s="33"/>
      <c r="JH123" s="33"/>
      <c r="JI123" s="33"/>
      <c r="JJ123" s="33"/>
      <c r="JK123" s="33"/>
      <c r="JL123" s="33"/>
      <c r="JM123" s="33"/>
      <c r="JN123" s="33"/>
      <c r="JO123" s="33"/>
      <c r="JP123" s="33"/>
      <c r="JQ123" s="33"/>
      <c r="JR123" s="33"/>
      <c r="JS123" s="33"/>
      <c r="JT123" s="33"/>
      <c r="JU123" s="33"/>
      <c r="JV123" s="33"/>
      <c r="JW123" s="33"/>
      <c r="JX123" s="33"/>
      <c r="JY123" s="33"/>
      <c r="JZ123" s="33"/>
      <c r="KA123" s="33"/>
      <c r="KB123" s="33"/>
      <c r="KC123" s="33"/>
      <c r="KD123" s="33"/>
      <c r="KE123" s="33"/>
      <c r="KF123" s="33"/>
      <c r="KG123" s="33"/>
      <c r="KH123" s="33"/>
      <c r="KI123" s="33"/>
      <c r="KJ123" s="33"/>
      <c r="KK123" s="33"/>
      <c r="KL123" s="33"/>
      <c r="KM123" s="33"/>
      <c r="KN123" s="33"/>
      <c r="KO123" s="33"/>
      <c r="KP123" s="33"/>
      <c r="KQ123" s="33"/>
      <c r="KR123" s="33"/>
      <c r="KS123" s="33"/>
      <c r="KT123" s="33"/>
      <c r="KU123" s="33"/>
      <c r="KV123" s="33"/>
      <c r="KW123" s="33"/>
      <c r="KX123" s="33"/>
      <c r="KY123" s="33"/>
      <c r="KZ123" s="33"/>
      <c r="LA123" s="33"/>
      <c r="LB123" s="33"/>
      <c r="LC123" s="33"/>
      <c r="LD123" s="33"/>
      <c r="LE123" s="33"/>
      <c r="LF123" s="33"/>
      <c r="LG123" s="33"/>
      <c r="LH123" s="33"/>
      <c r="LI123" s="33"/>
      <c r="LJ123" s="33"/>
      <c r="LK123" s="33"/>
      <c r="LL123" s="33"/>
      <c r="LM123" s="33"/>
      <c r="LN123" s="33"/>
      <c r="LO123" s="33"/>
      <c r="LP123" s="33"/>
      <c r="LQ123" s="33"/>
      <c r="LR123" s="33"/>
      <c r="LS123" s="33"/>
      <c r="LT123" s="33"/>
      <c r="LU123" s="33"/>
      <c r="LV123" s="33"/>
      <c r="LW123" s="33"/>
      <c r="LX123" s="33"/>
      <c r="LY123" s="33"/>
      <c r="LZ123" s="33"/>
      <c r="MA123" s="33"/>
      <c r="MB123" s="33"/>
      <c r="MC123" s="33"/>
      <c r="MD123" s="33"/>
      <c r="ME123" s="33"/>
      <c r="MF123" s="33"/>
      <c r="MG123" s="33"/>
      <c r="MH123" s="33"/>
      <c r="MI123" s="33"/>
      <c r="MJ123" s="33"/>
      <c r="MK123" s="33"/>
      <c r="ML123" s="33"/>
      <c r="MM123" s="33"/>
      <c r="MN123" s="33"/>
      <c r="MO123" s="33"/>
      <c r="MP123" s="33"/>
      <c r="MQ123" s="33"/>
      <c r="MR123" s="33"/>
      <c r="MS123" s="33"/>
      <c r="MT123" s="33"/>
      <c r="MU123" s="33"/>
      <c r="MV123" s="33"/>
      <c r="MW123" s="33"/>
      <c r="MX123" s="33"/>
      <c r="MY123" s="33"/>
      <c r="MZ123" s="33"/>
      <c r="NA123" s="33"/>
      <c r="NB123" s="33"/>
      <c r="NC123" s="33"/>
      <c r="ND123" s="33"/>
      <c r="NE123" s="33"/>
      <c r="NF123" s="33"/>
      <c r="NG123" s="33"/>
      <c r="NH123" s="33"/>
      <c r="NI123" s="33"/>
      <c r="NJ123" s="33"/>
      <c r="NK123" s="33"/>
      <c r="NL123" s="33"/>
      <c r="NM123" s="33"/>
      <c r="NN123" s="33"/>
      <c r="NO123" s="33"/>
      <c r="NP123" s="33"/>
      <c r="NQ123" s="33"/>
      <c r="NR123" s="33"/>
      <c r="NS123" s="33"/>
      <c r="NT123" s="31">
        <f>COUNTIF(F123:NS123,"1")</f>
        <v>14</v>
      </c>
      <c r="NU123" s="80">
        <f>NT124/NT123</f>
        <v>0.9285714285714286</v>
      </c>
      <c r="NV123" s="29" t="str">
        <f>+IF(NX123&gt;=1,"1",0)</f>
        <v>1</v>
      </c>
      <c r="NW123" s="38">
        <f t="shared" ref="NW123:NW144" si="271">MOD(ROW(NW123),2)</f>
        <v>1</v>
      </c>
      <c r="NX123" s="35">
        <f>COUNTIF(F123:AU123,"1")</f>
        <v>13</v>
      </c>
      <c r="NY123" s="80">
        <f t="shared" si="270"/>
        <v>1</v>
      </c>
      <c r="NZ123" s="29" t="str">
        <f>+IF(OB123&gt;=1,"1",0)</f>
        <v>1</v>
      </c>
      <c r="OA123" s="38">
        <f t="shared" ref="OA123:OA144" si="272">MOD(ROW(OA123),2)</f>
        <v>1</v>
      </c>
      <c r="OB123" s="35">
        <f>COUNTIF(AV123:CK123,"1")</f>
        <v>1</v>
      </c>
      <c r="OC123" s="80">
        <f>OB124/OB123</f>
        <v>0</v>
      </c>
      <c r="OD123" s="29">
        <f>+IF(OF123&gt;=1,"1",0)</f>
        <v>0</v>
      </c>
      <c r="OE123" s="38">
        <f t="shared" ref="OE123:OE144" si="273">MOD(ROW(OE123),2)</f>
        <v>1</v>
      </c>
      <c r="OF123" s="35">
        <f>COUNTIF(CL123:EA123,"1")</f>
        <v>0</v>
      </c>
      <c r="OG123" s="80" t="e">
        <f>OF124/OF123</f>
        <v>#DIV/0!</v>
      </c>
      <c r="OH123" s="29">
        <f>+IF(OJ123&gt;=1,"1",0)</f>
        <v>0</v>
      </c>
      <c r="OI123" s="38">
        <f t="shared" ref="OI123:OI144" si="274">MOD(ROW(OI123),2)</f>
        <v>1</v>
      </c>
      <c r="OJ123" s="35">
        <f>COUNTIF(EB123:FQ123,"1")</f>
        <v>0</v>
      </c>
      <c r="OK123" s="79" t="e">
        <f>OJ124/OJ123</f>
        <v>#DIV/0!</v>
      </c>
      <c r="OL123" s="29">
        <f>+IF(ON123&gt;=1,"1",0)</f>
        <v>0</v>
      </c>
      <c r="OM123" s="38">
        <f t="shared" ref="OM123:OM144" si="275">MOD(ROW(OM123),2)</f>
        <v>1</v>
      </c>
      <c r="ON123" s="35">
        <f>COUNTIF(FR123:HG123,"1")</f>
        <v>0</v>
      </c>
      <c r="OO123" s="79" t="e">
        <f>ON124/ON123</f>
        <v>#DIV/0!</v>
      </c>
      <c r="OP123" s="29">
        <f>+IF(OR123&gt;=1,"1",0)</f>
        <v>0</v>
      </c>
      <c r="OQ123" s="38">
        <f t="shared" ref="OQ123:OQ144" si="276">MOD(ROW(OQ123),2)</f>
        <v>1</v>
      </c>
      <c r="OR123" s="35">
        <f>COUNTIF(HH123:IW123,"1")</f>
        <v>0</v>
      </c>
      <c r="OS123" s="79" t="e">
        <f>OR124/OR123</f>
        <v>#DIV/0!</v>
      </c>
      <c r="OT123" s="29">
        <f>+IF(OV123&gt;=1,"1",0)</f>
        <v>0</v>
      </c>
      <c r="OU123" s="38">
        <f t="shared" ref="OU123:OU144" si="277">MOD(ROW(OU123),2)</f>
        <v>1</v>
      </c>
      <c r="OV123" s="35">
        <f>COUNTIF(IX123:KM123,"1")</f>
        <v>0</v>
      </c>
      <c r="OW123" s="79" t="e">
        <f>OV124/OV123</f>
        <v>#DIV/0!</v>
      </c>
      <c r="OX123" s="29">
        <f>+IF(OZ123&gt;=1,"1",0)</f>
        <v>0</v>
      </c>
      <c r="OY123" s="38">
        <f t="shared" ref="OY123:OY144" si="278">MOD(ROW(OY123),2)</f>
        <v>1</v>
      </c>
      <c r="OZ123" s="35">
        <f>COUNTIF(KN123:MC123,"1")</f>
        <v>0</v>
      </c>
      <c r="PA123" s="79" t="e">
        <f>OZ124/OZ123</f>
        <v>#DIV/0!</v>
      </c>
      <c r="PB123" s="29">
        <f>+IF(PD123&gt;=1,"1",0)</f>
        <v>0</v>
      </c>
      <c r="PC123" s="38">
        <f t="shared" ref="PC123:PC144" si="279">MOD(ROW(PC123),2)</f>
        <v>1</v>
      </c>
      <c r="PD123" s="35">
        <f>COUNTIF(MD123:NS123,"1")</f>
        <v>0</v>
      </c>
      <c r="PE123" s="79" t="e">
        <f>PD124/PD123</f>
        <v>#DIV/0!</v>
      </c>
    </row>
    <row r="124" spans="1:421" ht="15.75" customHeight="1" outlineLevel="1" thickBot="1" x14ac:dyDescent="0.3">
      <c r="C124" s="83"/>
      <c r="D124" s="72"/>
      <c r="E124" s="54" t="s">
        <v>9</v>
      </c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70"/>
      <c r="Q124" s="34"/>
      <c r="R124" s="34"/>
      <c r="S124" s="34"/>
      <c r="T124" s="34"/>
      <c r="U124" s="34"/>
      <c r="V124" s="34"/>
      <c r="W124" s="70"/>
      <c r="X124" s="34" t="s">
        <v>75</v>
      </c>
      <c r="Y124" s="34" t="s">
        <v>75</v>
      </c>
      <c r="Z124" s="34" t="s">
        <v>75</v>
      </c>
      <c r="AA124" s="34" t="s">
        <v>75</v>
      </c>
      <c r="AB124" s="34"/>
      <c r="AC124" s="34"/>
      <c r="AD124" s="34" t="s">
        <v>75</v>
      </c>
      <c r="AE124" s="34" t="s">
        <v>75</v>
      </c>
      <c r="AF124" s="34" t="s">
        <v>75</v>
      </c>
      <c r="AG124" s="34" t="s">
        <v>75</v>
      </c>
      <c r="AH124" s="34" t="s">
        <v>75</v>
      </c>
      <c r="AI124" s="34"/>
      <c r="AJ124" s="34"/>
      <c r="AK124" s="34"/>
      <c r="AL124" s="34"/>
      <c r="AM124" s="34"/>
      <c r="AN124" s="34"/>
      <c r="AO124" s="34"/>
      <c r="AP124" s="34"/>
      <c r="AQ124" s="34"/>
      <c r="AR124" s="34" t="s">
        <v>116</v>
      </c>
      <c r="AS124" s="34" t="s">
        <v>116</v>
      </c>
      <c r="AT124" s="34" t="s">
        <v>116</v>
      </c>
      <c r="AU124" s="34" t="s">
        <v>116</v>
      </c>
      <c r="AV124" s="34" t="s">
        <v>74</v>
      </c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  <c r="HI124" s="34"/>
      <c r="HJ124" s="34"/>
      <c r="HK124" s="34"/>
      <c r="HL124" s="34"/>
      <c r="HM124" s="34"/>
      <c r="HN124" s="34"/>
      <c r="HO124" s="34"/>
      <c r="HP124" s="34"/>
      <c r="HQ124" s="34"/>
      <c r="HR124" s="34"/>
      <c r="HS124" s="34"/>
      <c r="HT124" s="34"/>
      <c r="HU124" s="34"/>
      <c r="HV124" s="34"/>
      <c r="HW124" s="34"/>
      <c r="HX124" s="34"/>
      <c r="HY124" s="34"/>
      <c r="HZ124" s="34"/>
      <c r="IA124" s="34"/>
      <c r="IB124" s="34"/>
      <c r="IC124" s="34"/>
      <c r="ID124" s="34"/>
      <c r="IE124" s="34"/>
      <c r="IF124" s="34"/>
      <c r="IG124" s="34"/>
      <c r="IH124" s="34"/>
      <c r="II124" s="34"/>
      <c r="IJ124" s="34"/>
      <c r="IK124" s="34"/>
      <c r="IL124" s="34"/>
      <c r="IM124" s="34"/>
      <c r="IN124" s="34"/>
      <c r="IO124" s="34"/>
      <c r="IP124" s="34"/>
      <c r="IQ124" s="34"/>
      <c r="IR124" s="34"/>
      <c r="IS124" s="34"/>
      <c r="IT124" s="34"/>
      <c r="IU124" s="34"/>
      <c r="IV124" s="34"/>
      <c r="IW124" s="34"/>
      <c r="IX124" s="34"/>
      <c r="IY124" s="34"/>
      <c r="IZ124" s="34"/>
      <c r="JA124" s="34"/>
      <c r="JB124" s="34"/>
      <c r="JC124" s="34"/>
      <c r="JD124" s="34"/>
      <c r="JE124" s="34"/>
      <c r="JF124" s="34"/>
      <c r="JG124" s="34"/>
      <c r="JH124" s="34"/>
      <c r="JI124" s="34"/>
      <c r="JJ124" s="34"/>
      <c r="JK124" s="34"/>
      <c r="JL124" s="34"/>
      <c r="JM124" s="34"/>
      <c r="JN124" s="34"/>
      <c r="JO124" s="34"/>
      <c r="JP124" s="34"/>
      <c r="JQ124" s="34"/>
      <c r="JR124" s="34"/>
      <c r="JS124" s="34"/>
      <c r="JT124" s="34"/>
      <c r="JU124" s="34"/>
      <c r="JV124" s="34"/>
      <c r="JW124" s="34"/>
      <c r="JX124" s="34"/>
      <c r="JY124" s="34"/>
      <c r="JZ124" s="34"/>
      <c r="KA124" s="34"/>
      <c r="KB124" s="34"/>
      <c r="KC124" s="34"/>
      <c r="KD124" s="34"/>
      <c r="KE124" s="34"/>
      <c r="KF124" s="34"/>
      <c r="KG124" s="34"/>
      <c r="KH124" s="34"/>
      <c r="KI124" s="34"/>
      <c r="KJ124" s="34"/>
      <c r="KK124" s="34"/>
      <c r="KL124" s="34"/>
      <c r="KM124" s="34"/>
      <c r="KN124" s="34"/>
      <c r="KO124" s="34"/>
      <c r="KP124" s="34"/>
      <c r="KQ124" s="34"/>
      <c r="KR124" s="34"/>
      <c r="KS124" s="34"/>
      <c r="KT124" s="34"/>
      <c r="KU124" s="34"/>
      <c r="KV124" s="34"/>
      <c r="KW124" s="34"/>
      <c r="KX124" s="34"/>
      <c r="KY124" s="34"/>
      <c r="KZ124" s="34"/>
      <c r="LA124" s="34"/>
      <c r="LB124" s="34"/>
      <c r="LC124" s="34"/>
      <c r="LD124" s="34"/>
      <c r="LE124" s="34"/>
      <c r="LF124" s="34"/>
      <c r="LG124" s="34"/>
      <c r="LH124" s="34"/>
      <c r="LI124" s="34"/>
      <c r="LJ124" s="34"/>
      <c r="LK124" s="34"/>
      <c r="LL124" s="34"/>
      <c r="LM124" s="34"/>
      <c r="LN124" s="34"/>
      <c r="LO124" s="34"/>
      <c r="LP124" s="34"/>
      <c r="LQ124" s="34"/>
      <c r="LR124" s="34"/>
      <c r="LS124" s="34"/>
      <c r="LT124" s="34"/>
      <c r="LU124" s="34"/>
      <c r="LV124" s="34"/>
      <c r="LW124" s="34"/>
      <c r="LX124" s="34"/>
      <c r="LY124" s="34"/>
      <c r="LZ124" s="34"/>
      <c r="MA124" s="34"/>
      <c r="MB124" s="34"/>
      <c r="MC124" s="34"/>
      <c r="MD124" s="34"/>
      <c r="ME124" s="34"/>
      <c r="MF124" s="34"/>
      <c r="MG124" s="34"/>
      <c r="MH124" s="34"/>
      <c r="MI124" s="34"/>
      <c r="MJ124" s="34"/>
      <c r="MK124" s="34"/>
      <c r="ML124" s="34"/>
      <c r="MM124" s="34"/>
      <c r="MN124" s="34"/>
      <c r="MO124" s="34"/>
      <c r="MP124" s="34"/>
      <c r="MQ124" s="34"/>
      <c r="MR124" s="34"/>
      <c r="MS124" s="34"/>
      <c r="MT124" s="34"/>
      <c r="MU124" s="34"/>
      <c r="MV124" s="34"/>
      <c r="MW124" s="34"/>
      <c r="MX124" s="34"/>
      <c r="MY124" s="34"/>
      <c r="MZ124" s="34"/>
      <c r="NA124" s="34"/>
      <c r="NB124" s="34"/>
      <c r="NC124" s="34"/>
      <c r="ND124" s="34"/>
      <c r="NE124" s="34"/>
      <c r="NF124" s="34"/>
      <c r="NG124" s="34"/>
      <c r="NH124" s="34"/>
      <c r="NI124" s="34"/>
      <c r="NJ124" s="34"/>
      <c r="NK124" s="34"/>
      <c r="NL124" s="34"/>
      <c r="NM124" s="34"/>
      <c r="NN124" s="34"/>
      <c r="NO124" s="34"/>
      <c r="NP124" s="34"/>
      <c r="NQ124" s="34"/>
      <c r="NR124" s="34"/>
      <c r="NS124" s="34"/>
      <c r="NT124" s="7">
        <f>COUNTIF(F124:NS124,"x")</f>
        <v>13</v>
      </c>
      <c r="NU124" s="81"/>
      <c r="NV124" s="32">
        <f>IF(NX124=0,"0",NX124/NX123)</f>
        <v>1</v>
      </c>
      <c r="NW124" s="37">
        <f t="shared" si="271"/>
        <v>0</v>
      </c>
      <c r="NX124" s="36">
        <f>COUNTIF(F124:AU124,"x")</f>
        <v>13</v>
      </c>
      <c r="NY124" s="81"/>
      <c r="NZ124" s="32" t="str">
        <f>IF(OB124=0,"0",OB124/OB123)</f>
        <v>0</v>
      </c>
      <c r="OA124" s="37">
        <f t="shared" si="272"/>
        <v>0</v>
      </c>
      <c r="OB124" s="36">
        <f>COUNTIF(AV124:CK124,"x")</f>
        <v>0</v>
      </c>
      <c r="OC124" s="81"/>
      <c r="OD124" s="32" t="str">
        <f>IF(OF124=0,"0",OF124/OF123)</f>
        <v>0</v>
      </c>
      <c r="OE124" s="37">
        <f t="shared" si="273"/>
        <v>0</v>
      </c>
      <c r="OF124" s="36">
        <f>COUNTIF(CL124:EA124,"x")</f>
        <v>0</v>
      </c>
      <c r="OG124" s="81"/>
      <c r="OH124" s="32" t="str">
        <f>IF(OJ124=0,"0",OJ124/OJ123)</f>
        <v>0</v>
      </c>
      <c r="OI124" s="37">
        <f t="shared" si="274"/>
        <v>0</v>
      </c>
      <c r="OJ124" s="36">
        <f>COUNTIF(EB124:FQ124,"x")</f>
        <v>0</v>
      </c>
      <c r="OK124" s="74"/>
      <c r="OL124" s="32" t="str">
        <f>IF(ON124=0,"0",ON124/ON123)</f>
        <v>0</v>
      </c>
      <c r="OM124" s="37">
        <f t="shared" si="275"/>
        <v>0</v>
      </c>
      <c r="ON124" s="36">
        <f>COUNTIF(FR124:HG124,"x")</f>
        <v>0</v>
      </c>
      <c r="OO124" s="74"/>
      <c r="OP124" s="32" t="str">
        <f>IF(OR124=0,"0",OR124/OR123)</f>
        <v>0</v>
      </c>
      <c r="OQ124" s="37">
        <f t="shared" si="276"/>
        <v>0</v>
      </c>
      <c r="OR124" s="36">
        <f>COUNTIF(HH124:IW124,"x")</f>
        <v>0</v>
      </c>
      <c r="OS124" s="74"/>
      <c r="OT124" s="32" t="str">
        <f>IF(OV124=0,"0",OV124/OV123)</f>
        <v>0</v>
      </c>
      <c r="OU124" s="37">
        <f t="shared" si="277"/>
        <v>0</v>
      </c>
      <c r="OV124" s="36">
        <f>COUNTIF(IX124:KM124,"x")</f>
        <v>0</v>
      </c>
      <c r="OW124" s="74"/>
      <c r="OX124" s="32" t="str">
        <f>IF(OZ124=0,"0",OZ124/OZ123)</f>
        <v>0</v>
      </c>
      <c r="OY124" s="37">
        <f t="shared" si="278"/>
        <v>0</v>
      </c>
      <c r="OZ124" s="36">
        <f>COUNTIF(KN124:MC124,"x")</f>
        <v>0</v>
      </c>
      <c r="PA124" s="74"/>
      <c r="PB124" s="32" t="str">
        <f>IF(PD124=0,"0",PD124/PD123)</f>
        <v>0</v>
      </c>
      <c r="PC124" s="37">
        <f t="shared" si="279"/>
        <v>0</v>
      </c>
      <c r="PD124" s="36">
        <f>COUNTIF(MD124:NS124,"x")</f>
        <v>0</v>
      </c>
      <c r="PE124" s="74"/>
    </row>
    <row r="125" spans="1:421" ht="15.75" customHeight="1" outlineLevel="1" x14ac:dyDescent="0.25">
      <c r="C125" s="82" t="s">
        <v>33</v>
      </c>
      <c r="D125" s="71" t="s">
        <v>69</v>
      </c>
      <c r="E125" s="53" t="s">
        <v>8</v>
      </c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69"/>
      <c r="Q125" s="33"/>
      <c r="R125" s="33"/>
      <c r="S125" s="33"/>
      <c r="T125" s="33"/>
      <c r="U125" s="33"/>
      <c r="V125" s="33"/>
      <c r="W125" s="69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  <c r="HI125" s="33"/>
      <c r="HJ125" s="33"/>
      <c r="HK125" s="33"/>
      <c r="HL125" s="33"/>
      <c r="HM125" s="33"/>
      <c r="HN125" s="33"/>
      <c r="HO125" s="33"/>
      <c r="HP125" s="33"/>
      <c r="HQ125" s="33"/>
      <c r="HR125" s="33"/>
      <c r="HS125" s="33"/>
      <c r="HT125" s="33"/>
      <c r="HU125" s="33"/>
      <c r="HV125" s="33"/>
      <c r="HW125" s="33"/>
      <c r="HX125" s="33"/>
      <c r="HY125" s="33"/>
      <c r="HZ125" s="33"/>
      <c r="IA125" s="33"/>
      <c r="IB125" s="33"/>
      <c r="IC125" s="33"/>
      <c r="ID125" s="33"/>
      <c r="IE125" s="33"/>
      <c r="IF125" s="33"/>
      <c r="IG125" s="33"/>
      <c r="IH125" s="33"/>
      <c r="II125" s="33"/>
      <c r="IJ125" s="33"/>
      <c r="IK125" s="33"/>
      <c r="IL125" s="33"/>
      <c r="IM125" s="33"/>
      <c r="IN125" s="33"/>
      <c r="IO125" s="33"/>
      <c r="IP125" s="33"/>
      <c r="IQ125" s="33"/>
      <c r="IR125" s="33"/>
      <c r="IS125" s="33"/>
      <c r="IT125" s="33"/>
      <c r="IU125" s="33"/>
      <c r="IV125" s="33"/>
      <c r="IW125" s="33"/>
      <c r="IX125" s="33"/>
      <c r="IY125" s="33"/>
      <c r="IZ125" s="33"/>
      <c r="JA125" s="33"/>
      <c r="JB125" s="33"/>
      <c r="JC125" s="33"/>
      <c r="JD125" s="33"/>
      <c r="JE125" s="33"/>
      <c r="JF125" s="33"/>
      <c r="JG125" s="33"/>
      <c r="JH125" s="33"/>
      <c r="JI125" s="33"/>
      <c r="JJ125" s="33"/>
      <c r="JK125" s="33"/>
      <c r="JL125" s="33"/>
      <c r="JM125" s="33"/>
      <c r="JN125" s="33"/>
      <c r="JO125" s="33"/>
      <c r="JP125" s="33"/>
      <c r="JQ125" s="33"/>
      <c r="JR125" s="33"/>
      <c r="JS125" s="33"/>
      <c r="JT125" s="33"/>
      <c r="JU125" s="33"/>
      <c r="JV125" s="33"/>
      <c r="JW125" s="33"/>
      <c r="JX125" s="33"/>
      <c r="JY125" s="33"/>
      <c r="JZ125" s="33"/>
      <c r="KA125" s="33"/>
      <c r="KB125" s="33"/>
      <c r="KC125" s="33"/>
      <c r="KD125" s="33"/>
      <c r="KE125" s="33"/>
      <c r="KF125" s="33"/>
      <c r="KG125" s="33"/>
      <c r="KH125" s="33"/>
      <c r="KI125" s="33"/>
      <c r="KJ125" s="33"/>
      <c r="KK125" s="33"/>
      <c r="KL125" s="33"/>
      <c r="KM125" s="33"/>
      <c r="KN125" s="33"/>
      <c r="KO125" s="33"/>
      <c r="KP125" s="33"/>
      <c r="KQ125" s="33"/>
      <c r="KR125" s="33"/>
      <c r="KS125" s="33"/>
      <c r="KT125" s="33"/>
      <c r="KU125" s="33"/>
      <c r="KV125" s="33"/>
      <c r="KW125" s="33"/>
      <c r="KX125" s="33"/>
      <c r="KY125" s="33"/>
      <c r="KZ125" s="33"/>
      <c r="LA125" s="33"/>
      <c r="LB125" s="33"/>
      <c r="LC125" s="33"/>
      <c r="LD125" s="33"/>
      <c r="LE125" s="33"/>
      <c r="LF125" s="33"/>
      <c r="LG125" s="33"/>
      <c r="LH125" s="33"/>
      <c r="LI125" s="33"/>
      <c r="LJ125" s="33"/>
      <c r="LK125" s="33"/>
      <c r="LL125" s="33"/>
      <c r="LM125" s="33"/>
      <c r="LN125" s="33"/>
      <c r="LO125" s="33"/>
      <c r="LP125" s="33"/>
      <c r="LQ125" s="33"/>
      <c r="LR125" s="33"/>
      <c r="LS125" s="33"/>
      <c r="LT125" s="33"/>
      <c r="LU125" s="33"/>
      <c r="LV125" s="33"/>
      <c r="LW125" s="33"/>
      <c r="LX125" s="33"/>
      <c r="LY125" s="33"/>
      <c r="LZ125" s="33"/>
      <c r="MA125" s="33"/>
      <c r="MB125" s="33"/>
      <c r="MC125" s="33"/>
      <c r="MD125" s="33"/>
      <c r="ME125" s="33"/>
      <c r="MF125" s="33"/>
      <c r="MG125" s="33"/>
      <c r="MH125" s="33"/>
      <c r="MI125" s="33"/>
      <c r="MJ125" s="33"/>
      <c r="MK125" s="33"/>
      <c r="ML125" s="33"/>
      <c r="MM125" s="33"/>
      <c r="MN125" s="33"/>
      <c r="MO125" s="33"/>
      <c r="MP125" s="33"/>
      <c r="MQ125" s="33"/>
      <c r="MR125" s="33"/>
      <c r="MS125" s="33"/>
      <c r="MT125" s="33"/>
      <c r="MU125" s="33"/>
      <c r="MV125" s="33"/>
      <c r="MW125" s="33"/>
      <c r="MX125" s="33"/>
      <c r="MY125" s="33"/>
      <c r="MZ125" s="33"/>
      <c r="NA125" s="33"/>
      <c r="NB125" s="33"/>
      <c r="NC125" s="33"/>
      <c r="ND125" s="33"/>
      <c r="NE125" s="33"/>
      <c r="NF125" s="33"/>
      <c r="NG125" s="33"/>
      <c r="NH125" s="33"/>
      <c r="NI125" s="33"/>
      <c r="NJ125" s="33"/>
      <c r="NK125" s="33"/>
      <c r="NL125" s="33"/>
      <c r="NM125" s="33"/>
      <c r="NN125" s="33"/>
      <c r="NO125" s="33"/>
      <c r="NP125" s="33"/>
      <c r="NQ125" s="33"/>
      <c r="NR125" s="33"/>
      <c r="NS125" s="33"/>
      <c r="NT125" s="31">
        <f>COUNTIF(F125:NS125,"1")</f>
        <v>0</v>
      </c>
      <c r="NU125" s="80" t="e">
        <f>NT126/NT125</f>
        <v>#DIV/0!</v>
      </c>
      <c r="NV125" s="29">
        <f>+IF(NX125&gt;=1,"1",0)</f>
        <v>0</v>
      </c>
      <c r="NW125" s="38">
        <f t="shared" si="271"/>
        <v>1</v>
      </c>
      <c r="NX125" s="35">
        <f>COUNTIF(F125:AU125,"1")</f>
        <v>0</v>
      </c>
      <c r="NY125" s="80" t="e">
        <f t="shared" si="270"/>
        <v>#DIV/0!</v>
      </c>
      <c r="NZ125" s="29">
        <f>+IF(OB125&gt;=1,"1",0)</f>
        <v>0</v>
      </c>
      <c r="OA125" s="38">
        <f t="shared" si="272"/>
        <v>1</v>
      </c>
      <c r="OB125" s="35">
        <f>COUNTIF(AV125:CK125,"1")</f>
        <v>0</v>
      </c>
      <c r="OC125" s="80" t="e">
        <f>OB126/OB125</f>
        <v>#DIV/0!</v>
      </c>
      <c r="OD125" s="29">
        <f>+IF(OF125&gt;=1,"1",0)</f>
        <v>0</v>
      </c>
      <c r="OE125" s="38">
        <f t="shared" si="273"/>
        <v>1</v>
      </c>
      <c r="OF125" s="35">
        <f>COUNTIF(CL125:EA125,"1")</f>
        <v>0</v>
      </c>
      <c r="OG125" s="80" t="e">
        <f>OF126/OF125</f>
        <v>#DIV/0!</v>
      </c>
      <c r="OH125" s="29">
        <f>+IF(OJ125&gt;=1,"1",0)</f>
        <v>0</v>
      </c>
      <c r="OI125" s="38">
        <f t="shared" si="274"/>
        <v>1</v>
      </c>
      <c r="OJ125" s="35">
        <f>COUNTIF(EB125:FQ125,"1")</f>
        <v>0</v>
      </c>
      <c r="OK125" s="79" t="e">
        <f>OJ126/OJ125</f>
        <v>#DIV/0!</v>
      </c>
      <c r="OL125" s="29">
        <f>+IF(ON125&gt;=1,"1",0)</f>
        <v>0</v>
      </c>
      <c r="OM125" s="38">
        <f t="shared" si="275"/>
        <v>1</v>
      </c>
      <c r="ON125" s="35">
        <f>COUNTIF(FR125:HG125,"1")</f>
        <v>0</v>
      </c>
      <c r="OO125" s="79" t="e">
        <f>ON126/ON125</f>
        <v>#DIV/0!</v>
      </c>
      <c r="OP125" s="29">
        <f>+IF(OR125&gt;=1,"1",0)</f>
        <v>0</v>
      </c>
      <c r="OQ125" s="38">
        <f t="shared" si="276"/>
        <v>1</v>
      </c>
      <c r="OR125" s="35">
        <f>COUNTIF(HH125:IW125,"1")</f>
        <v>0</v>
      </c>
      <c r="OS125" s="79" t="e">
        <f>OR126/OR125</f>
        <v>#DIV/0!</v>
      </c>
      <c r="OT125" s="29">
        <f>+IF(OV125&gt;=1,"1",0)</f>
        <v>0</v>
      </c>
      <c r="OU125" s="38">
        <f t="shared" si="277"/>
        <v>1</v>
      </c>
      <c r="OV125" s="35">
        <f>COUNTIF(IX125:KM125,"1")</f>
        <v>0</v>
      </c>
      <c r="OW125" s="79" t="e">
        <f>OV126/OV125</f>
        <v>#DIV/0!</v>
      </c>
      <c r="OX125" s="29">
        <f>+IF(OZ125&gt;=1,"1",0)</f>
        <v>0</v>
      </c>
      <c r="OY125" s="38">
        <f t="shared" si="278"/>
        <v>1</v>
      </c>
      <c r="OZ125" s="35">
        <f>COUNTIF(KN125:MC125,"1")</f>
        <v>0</v>
      </c>
      <c r="PA125" s="79" t="e">
        <f>OZ126/OZ125</f>
        <v>#DIV/0!</v>
      </c>
      <c r="PB125" s="29">
        <f>+IF(PD125&gt;=1,"1",0)</f>
        <v>0</v>
      </c>
      <c r="PC125" s="38">
        <f t="shared" si="279"/>
        <v>1</v>
      </c>
      <c r="PD125" s="35">
        <f>COUNTIF(MD125:NS125,"1")</f>
        <v>0</v>
      </c>
      <c r="PE125" s="79" t="e">
        <f>PD126/PD125</f>
        <v>#DIV/0!</v>
      </c>
    </row>
    <row r="126" spans="1:421" ht="15.75" customHeight="1" outlineLevel="1" thickBot="1" x14ac:dyDescent="0.3">
      <c r="C126" s="83"/>
      <c r="D126" s="72"/>
      <c r="E126" s="54" t="s">
        <v>9</v>
      </c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70"/>
      <c r="Q126" s="34"/>
      <c r="R126" s="34"/>
      <c r="S126" s="34"/>
      <c r="T126" s="34"/>
      <c r="U126" s="34"/>
      <c r="V126" s="34"/>
      <c r="W126" s="70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  <c r="HI126" s="34"/>
      <c r="HJ126" s="34"/>
      <c r="HK126" s="34"/>
      <c r="HL126" s="34"/>
      <c r="HM126" s="34"/>
      <c r="HN126" s="34"/>
      <c r="HO126" s="34"/>
      <c r="HP126" s="34"/>
      <c r="HQ126" s="34"/>
      <c r="HR126" s="34"/>
      <c r="HS126" s="34"/>
      <c r="HT126" s="34"/>
      <c r="HU126" s="34"/>
      <c r="HV126" s="34"/>
      <c r="HW126" s="34"/>
      <c r="HX126" s="34"/>
      <c r="HY126" s="34"/>
      <c r="HZ126" s="34"/>
      <c r="IA126" s="34"/>
      <c r="IB126" s="34"/>
      <c r="IC126" s="34"/>
      <c r="ID126" s="34"/>
      <c r="IE126" s="34"/>
      <c r="IF126" s="34"/>
      <c r="IG126" s="34"/>
      <c r="IH126" s="34"/>
      <c r="II126" s="34"/>
      <c r="IJ126" s="34"/>
      <c r="IK126" s="34"/>
      <c r="IL126" s="34"/>
      <c r="IM126" s="34"/>
      <c r="IN126" s="34"/>
      <c r="IO126" s="34"/>
      <c r="IP126" s="34"/>
      <c r="IQ126" s="34"/>
      <c r="IR126" s="34"/>
      <c r="IS126" s="34"/>
      <c r="IT126" s="34"/>
      <c r="IU126" s="34"/>
      <c r="IV126" s="34"/>
      <c r="IW126" s="34"/>
      <c r="IX126" s="34"/>
      <c r="IY126" s="34"/>
      <c r="IZ126" s="34"/>
      <c r="JA126" s="34"/>
      <c r="JB126" s="34"/>
      <c r="JC126" s="34"/>
      <c r="JD126" s="34"/>
      <c r="JE126" s="34"/>
      <c r="JF126" s="34"/>
      <c r="JG126" s="34"/>
      <c r="JH126" s="34"/>
      <c r="JI126" s="34"/>
      <c r="JJ126" s="34"/>
      <c r="JK126" s="34"/>
      <c r="JL126" s="34"/>
      <c r="JM126" s="34"/>
      <c r="JN126" s="34"/>
      <c r="JO126" s="34"/>
      <c r="JP126" s="34"/>
      <c r="JQ126" s="34"/>
      <c r="JR126" s="34"/>
      <c r="JS126" s="34"/>
      <c r="JT126" s="34"/>
      <c r="JU126" s="34"/>
      <c r="JV126" s="34"/>
      <c r="JW126" s="34"/>
      <c r="JX126" s="34"/>
      <c r="JY126" s="34"/>
      <c r="JZ126" s="34"/>
      <c r="KA126" s="34"/>
      <c r="KB126" s="34"/>
      <c r="KC126" s="34"/>
      <c r="KD126" s="34"/>
      <c r="KE126" s="34"/>
      <c r="KF126" s="34"/>
      <c r="KG126" s="34"/>
      <c r="KH126" s="34"/>
      <c r="KI126" s="34"/>
      <c r="KJ126" s="34"/>
      <c r="KK126" s="34"/>
      <c r="KL126" s="34"/>
      <c r="KM126" s="34"/>
      <c r="KN126" s="34"/>
      <c r="KO126" s="34"/>
      <c r="KP126" s="34"/>
      <c r="KQ126" s="34"/>
      <c r="KR126" s="34"/>
      <c r="KS126" s="34"/>
      <c r="KT126" s="34"/>
      <c r="KU126" s="34"/>
      <c r="KV126" s="34"/>
      <c r="KW126" s="34"/>
      <c r="KX126" s="34"/>
      <c r="KY126" s="34"/>
      <c r="KZ126" s="34"/>
      <c r="LA126" s="34"/>
      <c r="LB126" s="34"/>
      <c r="LC126" s="34"/>
      <c r="LD126" s="34"/>
      <c r="LE126" s="34"/>
      <c r="LF126" s="34"/>
      <c r="LG126" s="34"/>
      <c r="LH126" s="34"/>
      <c r="LI126" s="34"/>
      <c r="LJ126" s="34"/>
      <c r="LK126" s="34"/>
      <c r="LL126" s="34"/>
      <c r="LM126" s="34"/>
      <c r="LN126" s="34"/>
      <c r="LO126" s="34"/>
      <c r="LP126" s="34"/>
      <c r="LQ126" s="34"/>
      <c r="LR126" s="34"/>
      <c r="LS126" s="34"/>
      <c r="LT126" s="34"/>
      <c r="LU126" s="34"/>
      <c r="LV126" s="34"/>
      <c r="LW126" s="34"/>
      <c r="LX126" s="34"/>
      <c r="LY126" s="34"/>
      <c r="LZ126" s="34"/>
      <c r="MA126" s="34"/>
      <c r="MB126" s="34"/>
      <c r="MC126" s="34"/>
      <c r="MD126" s="34"/>
      <c r="ME126" s="34"/>
      <c r="MF126" s="34"/>
      <c r="MG126" s="34"/>
      <c r="MH126" s="34"/>
      <c r="MI126" s="34"/>
      <c r="MJ126" s="34"/>
      <c r="MK126" s="34"/>
      <c r="ML126" s="34"/>
      <c r="MM126" s="34"/>
      <c r="MN126" s="34"/>
      <c r="MO126" s="34"/>
      <c r="MP126" s="34"/>
      <c r="MQ126" s="34"/>
      <c r="MR126" s="34"/>
      <c r="MS126" s="34"/>
      <c r="MT126" s="34"/>
      <c r="MU126" s="34"/>
      <c r="MV126" s="34"/>
      <c r="MW126" s="34"/>
      <c r="MX126" s="34"/>
      <c r="MY126" s="34"/>
      <c r="MZ126" s="34"/>
      <c r="NA126" s="34"/>
      <c r="NB126" s="34"/>
      <c r="NC126" s="34"/>
      <c r="ND126" s="34"/>
      <c r="NE126" s="34"/>
      <c r="NF126" s="34"/>
      <c r="NG126" s="34"/>
      <c r="NH126" s="34"/>
      <c r="NI126" s="34"/>
      <c r="NJ126" s="34"/>
      <c r="NK126" s="34"/>
      <c r="NL126" s="34"/>
      <c r="NM126" s="34"/>
      <c r="NN126" s="34"/>
      <c r="NO126" s="34"/>
      <c r="NP126" s="34"/>
      <c r="NQ126" s="34"/>
      <c r="NR126" s="34"/>
      <c r="NS126" s="34"/>
      <c r="NT126" s="7">
        <f>COUNTIF(F126:NS126,"x")</f>
        <v>0</v>
      </c>
      <c r="NU126" s="81"/>
      <c r="NV126" s="32" t="str">
        <f>IF(NX126=0,"0",NX126/NX125)</f>
        <v>0</v>
      </c>
      <c r="NW126" s="37">
        <f t="shared" si="271"/>
        <v>0</v>
      </c>
      <c r="NX126" s="36">
        <f>COUNTIF(F126:AU126,"x")</f>
        <v>0</v>
      </c>
      <c r="NY126" s="81"/>
      <c r="NZ126" s="32" t="str">
        <f>IF(OB126=0,"0",OB126/OB125)</f>
        <v>0</v>
      </c>
      <c r="OA126" s="37">
        <f t="shared" si="272"/>
        <v>0</v>
      </c>
      <c r="OB126" s="36">
        <f>COUNTIF(AV126:CK126,"x")</f>
        <v>0</v>
      </c>
      <c r="OC126" s="81"/>
      <c r="OD126" s="32" t="str">
        <f>IF(OF126=0,"0",OF126/OF125)</f>
        <v>0</v>
      </c>
      <c r="OE126" s="37">
        <f t="shared" si="273"/>
        <v>0</v>
      </c>
      <c r="OF126" s="36">
        <f>COUNTIF(CL126:EA126,"x")</f>
        <v>0</v>
      </c>
      <c r="OG126" s="81"/>
      <c r="OH126" s="32" t="str">
        <f>IF(OJ126=0,"0",OJ126/OJ125)</f>
        <v>0</v>
      </c>
      <c r="OI126" s="37">
        <f t="shared" si="274"/>
        <v>0</v>
      </c>
      <c r="OJ126" s="36">
        <f>COUNTIF(EB126:FQ126,"x")</f>
        <v>0</v>
      </c>
      <c r="OK126" s="74"/>
      <c r="OL126" s="32" t="str">
        <f>IF(ON126=0,"0",ON126/ON125)</f>
        <v>0</v>
      </c>
      <c r="OM126" s="37">
        <f t="shared" si="275"/>
        <v>0</v>
      </c>
      <c r="ON126" s="36">
        <f>COUNTIF(FR126:HG126,"x")</f>
        <v>0</v>
      </c>
      <c r="OO126" s="74"/>
      <c r="OP126" s="32" t="str">
        <f>IF(OR126=0,"0",OR126/OR125)</f>
        <v>0</v>
      </c>
      <c r="OQ126" s="37">
        <f t="shared" si="276"/>
        <v>0</v>
      </c>
      <c r="OR126" s="36">
        <f>COUNTIF(HH126:IW126,"x")</f>
        <v>0</v>
      </c>
      <c r="OS126" s="74"/>
      <c r="OT126" s="32" t="str">
        <f>IF(OV126=0,"0",OV126/OV125)</f>
        <v>0</v>
      </c>
      <c r="OU126" s="37">
        <f t="shared" si="277"/>
        <v>0</v>
      </c>
      <c r="OV126" s="36">
        <f>COUNTIF(IX126:KM126,"x")</f>
        <v>0</v>
      </c>
      <c r="OW126" s="74"/>
      <c r="OX126" s="32" t="str">
        <f>IF(OZ126=0,"0",OZ126/OZ125)</f>
        <v>0</v>
      </c>
      <c r="OY126" s="37">
        <f t="shared" si="278"/>
        <v>0</v>
      </c>
      <c r="OZ126" s="36">
        <f>COUNTIF(KN126:MC126,"x")</f>
        <v>0</v>
      </c>
      <c r="PA126" s="74"/>
      <c r="PB126" s="32" t="str">
        <f>IF(PD126=0,"0",PD126/PD125)</f>
        <v>0</v>
      </c>
      <c r="PC126" s="37">
        <f t="shared" si="279"/>
        <v>0</v>
      </c>
      <c r="PD126" s="36">
        <f>COUNTIF(MD126:NS126,"x")</f>
        <v>0</v>
      </c>
      <c r="PE126" s="74"/>
    </row>
    <row r="127" spans="1:421" ht="15.75" customHeight="1" outlineLevel="1" x14ac:dyDescent="0.25">
      <c r="C127" s="82" t="s">
        <v>27</v>
      </c>
      <c r="D127" s="71" t="s">
        <v>70</v>
      </c>
      <c r="E127" s="53" t="s">
        <v>8</v>
      </c>
      <c r="F127" s="33"/>
      <c r="G127" s="33"/>
      <c r="H127" s="33"/>
      <c r="I127" s="33" t="s">
        <v>74</v>
      </c>
      <c r="J127" s="33"/>
      <c r="K127" s="33"/>
      <c r="L127" s="33"/>
      <c r="M127" s="33"/>
      <c r="N127" s="33"/>
      <c r="O127" s="33"/>
      <c r="P127" s="69"/>
      <c r="Q127" s="33" t="s">
        <v>74</v>
      </c>
      <c r="R127" s="33"/>
      <c r="S127" s="33"/>
      <c r="T127" s="33"/>
      <c r="U127" s="33"/>
      <c r="V127" s="33"/>
      <c r="W127" s="69"/>
      <c r="X127" s="33" t="s">
        <v>74</v>
      </c>
      <c r="Y127" s="33"/>
      <c r="Z127" s="33"/>
      <c r="AA127" s="33"/>
      <c r="AB127" s="33"/>
      <c r="AC127" s="33"/>
      <c r="AD127" s="33" t="s">
        <v>74</v>
      </c>
      <c r="AE127" s="33"/>
      <c r="AF127" s="33"/>
      <c r="AG127" s="33"/>
      <c r="AH127" s="33"/>
      <c r="AI127" s="33"/>
      <c r="AJ127" s="33"/>
      <c r="AK127" s="33">
        <v>1</v>
      </c>
      <c r="AL127" s="33"/>
      <c r="AM127" s="33"/>
      <c r="AN127" s="33"/>
      <c r="AO127" s="33"/>
      <c r="AP127" s="33"/>
      <c r="AQ127" s="33"/>
      <c r="AR127" s="33">
        <v>1</v>
      </c>
      <c r="AS127" s="33"/>
      <c r="AT127" s="33"/>
      <c r="AU127" s="33"/>
      <c r="AV127" s="33"/>
      <c r="AW127" s="33"/>
      <c r="AX127" s="33"/>
      <c r="AY127" s="33">
        <v>1</v>
      </c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  <c r="HI127" s="33"/>
      <c r="HJ127" s="33"/>
      <c r="HK127" s="33"/>
      <c r="HL127" s="33"/>
      <c r="HM127" s="33"/>
      <c r="HN127" s="33"/>
      <c r="HO127" s="33"/>
      <c r="HP127" s="33"/>
      <c r="HQ127" s="33"/>
      <c r="HR127" s="33"/>
      <c r="HS127" s="33"/>
      <c r="HT127" s="33"/>
      <c r="HU127" s="33"/>
      <c r="HV127" s="33"/>
      <c r="HW127" s="33"/>
      <c r="HX127" s="33"/>
      <c r="HY127" s="33"/>
      <c r="HZ127" s="33"/>
      <c r="IA127" s="33"/>
      <c r="IB127" s="33"/>
      <c r="IC127" s="33"/>
      <c r="ID127" s="33"/>
      <c r="IE127" s="33"/>
      <c r="IF127" s="33"/>
      <c r="IG127" s="33"/>
      <c r="IH127" s="33"/>
      <c r="II127" s="33"/>
      <c r="IJ127" s="33"/>
      <c r="IK127" s="33"/>
      <c r="IL127" s="33"/>
      <c r="IM127" s="33"/>
      <c r="IN127" s="33"/>
      <c r="IO127" s="33"/>
      <c r="IP127" s="33"/>
      <c r="IQ127" s="33"/>
      <c r="IR127" s="33"/>
      <c r="IS127" s="33"/>
      <c r="IT127" s="33"/>
      <c r="IU127" s="33"/>
      <c r="IV127" s="33"/>
      <c r="IW127" s="33"/>
      <c r="IX127" s="33"/>
      <c r="IY127" s="33"/>
      <c r="IZ127" s="33"/>
      <c r="JA127" s="33"/>
      <c r="JB127" s="33"/>
      <c r="JC127" s="33"/>
      <c r="JD127" s="33"/>
      <c r="JE127" s="33"/>
      <c r="JF127" s="33"/>
      <c r="JG127" s="33"/>
      <c r="JH127" s="33"/>
      <c r="JI127" s="33"/>
      <c r="JJ127" s="33"/>
      <c r="JK127" s="33"/>
      <c r="JL127" s="33"/>
      <c r="JM127" s="33"/>
      <c r="JN127" s="33"/>
      <c r="JO127" s="33"/>
      <c r="JP127" s="33"/>
      <c r="JQ127" s="33"/>
      <c r="JR127" s="33"/>
      <c r="JS127" s="33"/>
      <c r="JT127" s="33"/>
      <c r="JU127" s="33"/>
      <c r="JV127" s="33"/>
      <c r="JW127" s="33"/>
      <c r="JX127" s="33"/>
      <c r="JY127" s="33"/>
      <c r="JZ127" s="33"/>
      <c r="KA127" s="33"/>
      <c r="KB127" s="33"/>
      <c r="KC127" s="33"/>
      <c r="KD127" s="33"/>
      <c r="KE127" s="33"/>
      <c r="KF127" s="33"/>
      <c r="KG127" s="33"/>
      <c r="KH127" s="33"/>
      <c r="KI127" s="33"/>
      <c r="KJ127" s="33"/>
      <c r="KK127" s="33"/>
      <c r="KL127" s="33"/>
      <c r="KM127" s="33"/>
      <c r="KN127" s="33"/>
      <c r="KO127" s="33"/>
      <c r="KP127" s="33"/>
      <c r="KQ127" s="33"/>
      <c r="KR127" s="33"/>
      <c r="KS127" s="33"/>
      <c r="KT127" s="33"/>
      <c r="KU127" s="33"/>
      <c r="KV127" s="33"/>
      <c r="KW127" s="33"/>
      <c r="KX127" s="33"/>
      <c r="KY127" s="33"/>
      <c r="KZ127" s="33"/>
      <c r="LA127" s="33"/>
      <c r="LB127" s="33"/>
      <c r="LC127" s="33"/>
      <c r="LD127" s="33"/>
      <c r="LE127" s="33"/>
      <c r="LF127" s="33"/>
      <c r="LG127" s="33"/>
      <c r="LH127" s="33"/>
      <c r="LI127" s="33"/>
      <c r="LJ127" s="33"/>
      <c r="LK127" s="33"/>
      <c r="LL127" s="33"/>
      <c r="LM127" s="33"/>
      <c r="LN127" s="33"/>
      <c r="LO127" s="33"/>
      <c r="LP127" s="33"/>
      <c r="LQ127" s="33"/>
      <c r="LR127" s="33"/>
      <c r="LS127" s="33"/>
      <c r="LT127" s="33"/>
      <c r="LU127" s="33"/>
      <c r="LV127" s="33"/>
      <c r="LW127" s="33"/>
      <c r="LX127" s="33"/>
      <c r="LY127" s="33"/>
      <c r="LZ127" s="33"/>
      <c r="MA127" s="33"/>
      <c r="MB127" s="33"/>
      <c r="MC127" s="33"/>
      <c r="MD127" s="33"/>
      <c r="ME127" s="33"/>
      <c r="MF127" s="33"/>
      <c r="MG127" s="33"/>
      <c r="MH127" s="33"/>
      <c r="MI127" s="33"/>
      <c r="MJ127" s="33"/>
      <c r="MK127" s="33"/>
      <c r="ML127" s="33"/>
      <c r="MM127" s="33"/>
      <c r="MN127" s="33"/>
      <c r="MO127" s="33"/>
      <c r="MP127" s="33"/>
      <c r="MQ127" s="33"/>
      <c r="MR127" s="33"/>
      <c r="MS127" s="33"/>
      <c r="MT127" s="33"/>
      <c r="MU127" s="33"/>
      <c r="MV127" s="33"/>
      <c r="MW127" s="33"/>
      <c r="MX127" s="33"/>
      <c r="MY127" s="33"/>
      <c r="MZ127" s="33"/>
      <c r="NA127" s="33"/>
      <c r="NB127" s="33"/>
      <c r="NC127" s="33"/>
      <c r="ND127" s="33"/>
      <c r="NE127" s="33"/>
      <c r="NF127" s="33"/>
      <c r="NG127" s="33"/>
      <c r="NH127" s="33"/>
      <c r="NI127" s="33"/>
      <c r="NJ127" s="33"/>
      <c r="NK127" s="33"/>
      <c r="NL127" s="33"/>
      <c r="NM127" s="33"/>
      <c r="NN127" s="33"/>
      <c r="NO127" s="33"/>
      <c r="NP127" s="33"/>
      <c r="NQ127" s="33"/>
      <c r="NR127" s="33"/>
      <c r="NS127" s="33"/>
      <c r="NT127" s="31">
        <f>COUNTIF(F127:NS127,"1")</f>
        <v>3</v>
      </c>
      <c r="NU127" s="80">
        <f>NT128/NT127</f>
        <v>0.66666666666666663</v>
      </c>
      <c r="NV127" s="29" t="str">
        <f>+IF(NX127&gt;=1,"1",0)</f>
        <v>1</v>
      </c>
      <c r="NW127" s="38">
        <f t="shared" si="271"/>
        <v>1</v>
      </c>
      <c r="NX127" s="35">
        <f>COUNTIF(F127:AU127,"1")</f>
        <v>2</v>
      </c>
      <c r="NY127" s="80">
        <f t="shared" si="270"/>
        <v>1</v>
      </c>
      <c r="NZ127" s="29" t="str">
        <f>+IF(OB127&gt;=1,"1",0)</f>
        <v>1</v>
      </c>
      <c r="OA127" s="38">
        <f t="shared" si="272"/>
        <v>1</v>
      </c>
      <c r="OB127" s="35">
        <f>COUNTIF(AV127:CK127,"1")</f>
        <v>1</v>
      </c>
      <c r="OC127" s="80">
        <f>OB128/OB127</f>
        <v>0</v>
      </c>
      <c r="OD127" s="29">
        <f>+IF(OF127&gt;=1,"1",0)</f>
        <v>0</v>
      </c>
      <c r="OE127" s="38">
        <f t="shared" si="273"/>
        <v>1</v>
      </c>
      <c r="OF127" s="35">
        <f>COUNTIF(CL127:EA127,"1")</f>
        <v>0</v>
      </c>
      <c r="OG127" s="80" t="e">
        <f>OF128/OF127</f>
        <v>#DIV/0!</v>
      </c>
      <c r="OH127" s="29">
        <f>+IF(OJ127&gt;=1,"1",0)</f>
        <v>0</v>
      </c>
      <c r="OI127" s="38">
        <f t="shared" si="274"/>
        <v>1</v>
      </c>
      <c r="OJ127" s="35">
        <f>COUNTIF(EB127:FQ127,"1")</f>
        <v>0</v>
      </c>
      <c r="OK127" s="79" t="e">
        <f>OJ128/OJ127</f>
        <v>#DIV/0!</v>
      </c>
      <c r="OL127" s="29">
        <f>+IF(ON127&gt;=1,"1",0)</f>
        <v>0</v>
      </c>
      <c r="OM127" s="38">
        <f t="shared" si="275"/>
        <v>1</v>
      </c>
      <c r="ON127" s="35">
        <f>COUNTIF(FR127:HG127,"1")</f>
        <v>0</v>
      </c>
      <c r="OO127" s="79" t="e">
        <f>ON128/ON127</f>
        <v>#DIV/0!</v>
      </c>
      <c r="OP127" s="29">
        <f>+IF(OR127&gt;=1,"1",0)</f>
        <v>0</v>
      </c>
      <c r="OQ127" s="38">
        <f t="shared" si="276"/>
        <v>1</v>
      </c>
      <c r="OR127" s="35">
        <f>COUNTIF(HH127:IW127,"1")</f>
        <v>0</v>
      </c>
      <c r="OS127" s="79" t="e">
        <f>OR128/OR127</f>
        <v>#DIV/0!</v>
      </c>
      <c r="OT127" s="29">
        <f>+IF(OV127&gt;=1,"1",0)</f>
        <v>0</v>
      </c>
      <c r="OU127" s="38">
        <f t="shared" si="277"/>
        <v>1</v>
      </c>
      <c r="OV127" s="35">
        <f>COUNTIF(IX127:KM127,"1")</f>
        <v>0</v>
      </c>
      <c r="OW127" s="79" t="e">
        <f>OV128/OV127</f>
        <v>#DIV/0!</v>
      </c>
      <c r="OX127" s="29">
        <f>+IF(OZ127&gt;=1,"1",0)</f>
        <v>0</v>
      </c>
      <c r="OY127" s="38">
        <f t="shared" si="278"/>
        <v>1</v>
      </c>
      <c r="OZ127" s="35">
        <f>COUNTIF(KN127:MC127,"1")</f>
        <v>0</v>
      </c>
      <c r="PA127" s="79" t="e">
        <f>OZ128/OZ127</f>
        <v>#DIV/0!</v>
      </c>
      <c r="PB127" s="29">
        <f>+IF(PD127&gt;=1,"1",0)</f>
        <v>0</v>
      </c>
      <c r="PC127" s="38">
        <f t="shared" si="279"/>
        <v>1</v>
      </c>
      <c r="PD127" s="35">
        <f>COUNTIF(MD127:NS127,"1")</f>
        <v>0</v>
      </c>
      <c r="PE127" s="79" t="e">
        <f>PD128/PD127</f>
        <v>#DIV/0!</v>
      </c>
    </row>
    <row r="128" spans="1:421" ht="15.75" customHeight="1" outlineLevel="1" thickBot="1" x14ac:dyDescent="0.3">
      <c r="C128" s="83"/>
      <c r="D128" s="72"/>
      <c r="E128" s="54" t="s">
        <v>9</v>
      </c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70"/>
      <c r="Q128" s="34"/>
      <c r="R128" s="34"/>
      <c r="S128" s="34"/>
      <c r="T128" s="34"/>
      <c r="U128" s="34"/>
      <c r="V128" s="34"/>
      <c r="W128" s="70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 t="s">
        <v>75</v>
      </c>
      <c r="AL128" s="34"/>
      <c r="AM128" s="34"/>
      <c r="AN128" s="34"/>
      <c r="AO128" s="34"/>
      <c r="AP128" s="34"/>
      <c r="AQ128" s="34"/>
      <c r="AR128" s="34" t="s">
        <v>116</v>
      </c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  <c r="HI128" s="34"/>
      <c r="HJ128" s="34"/>
      <c r="HK128" s="34"/>
      <c r="HL128" s="34"/>
      <c r="HM128" s="34"/>
      <c r="HN128" s="34"/>
      <c r="HO128" s="34"/>
      <c r="HP128" s="34"/>
      <c r="HQ128" s="34"/>
      <c r="HR128" s="34"/>
      <c r="HS128" s="34"/>
      <c r="HT128" s="34"/>
      <c r="HU128" s="34"/>
      <c r="HV128" s="34"/>
      <c r="HW128" s="34"/>
      <c r="HX128" s="34"/>
      <c r="HY128" s="34"/>
      <c r="HZ128" s="34"/>
      <c r="IA128" s="34"/>
      <c r="IB128" s="34"/>
      <c r="IC128" s="34"/>
      <c r="ID128" s="34"/>
      <c r="IE128" s="34"/>
      <c r="IF128" s="34"/>
      <c r="IG128" s="34"/>
      <c r="IH128" s="34"/>
      <c r="II128" s="34"/>
      <c r="IJ128" s="34"/>
      <c r="IK128" s="34"/>
      <c r="IL128" s="34"/>
      <c r="IM128" s="34"/>
      <c r="IN128" s="34"/>
      <c r="IO128" s="34"/>
      <c r="IP128" s="34"/>
      <c r="IQ128" s="34"/>
      <c r="IR128" s="34"/>
      <c r="IS128" s="34"/>
      <c r="IT128" s="34"/>
      <c r="IU128" s="34"/>
      <c r="IV128" s="34"/>
      <c r="IW128" s="34"/>
      <c r="IX128" s="34"/>
      <c r="IY128" s="34"/>
      <c r="IZ128" s="34"/>
      <c r="JA128" s="34"/>
      <c r="JB128" s="34"/>
      <c r="JC128" s="34"/>
      <c r="JD128" s="34"/>
      <c r="JE128" s="34"/>
      <c r="JF128" s="34"/>
      <c r="JG128" s="34"/>
      <c r="JH128" s="34"/>
      <c r="JI128" s="34"/>
      <c r="JJ128" s="34"/>
      <c r="JK128" s="34"/>
      <c r="JL128" s="34"/>
      <c r="JM128" s="34"/>
      <c r="JN128" s="34"/>
      <c r="JO128" s="34"/>
      <c r="JP128" s="34"/>
      <c r="JQ128" s="34"/>
      <c r="JR128" s="34"/>
      <c r="JS128" s="34"/>
      <c r="JT128" s="34"/>
      <c r="JU128" s="34"/>
      <c r="JV128" s="34"/>
      <c r="JW128" s="34"/>
      <c r="JX128" s="34"/>
      <c r="JY128" s="34"/>
      <c r="JZ128" s="34"/>
      <c r="KA128" s="34"/>
      <c r="KB128" s="34"/>
      <c r="KC128" s="34"/>
      <c r="KD128" s="34"/>
      <c r="KE128" s="34"/>
      <c r="KF128" s="34"/>
      <c r="KG128" s="34"/>
      <c r="KH128" s="34"/>
      <c r="KI128" s="34"/>
      <c r="KJ128" s="34"/>
      <c r="KK128" s="34"/>
      <c r="KL128" s="34"/>
      <c r="KM128" s="34"/>
      <c r="KN128" s="34"/>
      <c r="KO128" s="34"/>
      <c r="KP128" s="34"/>
      <c r="KQ128" s="34"/>
      <c r="KR128" s="34"/>
      <c r="KS128" s="34"/>
      <c r="KT128" s="34"/>
      <c r="KU128" s="34"/>
      <c r="KV128" s="34"/>
      <c r="KW128" s="34"/>
      <c r="KX128" s="34"/>
      <c r="KY128" s="34"/>
      <c r="KZ128" s="34"/>
      <c r="LA128" s="34"/>
      <c r="LB128" s="34"/>
      <c r="LC128" s="34"/>
      <c r="LD128" s="34"/>
      <c r="LE128" s="34"/>
      <c r="LF128" s="34"/>
      <c r="LG128" s="34"/>
      <c r="LH128" s="34"/>
      <c r="LI128" s="34"/>
      <c r="LJ128" s="34"/>
      <c r="LK128" s="34"/>
      <c r="LL128" s="34"/>
      <c r="LM128" s="34"/>
      <c r="LN128" s="34"/>
      <c r="LO128" s="34"/>
      <c r="LP128" s="34"/>
      <c r="LQ128" s="34"/>
      <c r="LR128" s="34"/>
      <c r="LS128" s="34"/>
      <c r="LT128" s="34"/>
      <c r="LU128" s="34"/>
      <c r="LV128" s="34"/>
      <c r="LW128" s="34"/>
      <c r="LX128" s="34"/>
      <c r="LY128" s="34"/>
      <c r="LZ128" s="34"/>
      <c r="MA128" s="34"/>
      <c r="MB128" s="34"/>
      <c r="MC128" s="34"/>
      <c r="MD128" s="34"/>
      <c r="ME128" s="34"/>
      <c r="MF128" s="34"/>
      <c r="MG128" s="34"/>
      <c r="MH128" s="34"/>
      <c r="MI128" s="34"/>
      <c r="MJ128" s="34"/>
      <c r="MK128" s="34"/>
      <c r="ML128" s="34"/>
      <c r="MM128" s="34"/>
      <c r="MN128" s="34"/>
      <c r="MO128" s="34"/>
      <c r="MP128" s="34"/>
      <c r="MQ128" s="34"/>
      <c r="MR128" s="34"/>
      <c r="MS128" s="34"/>
      <c r="MT128" s="34"/>
      <c r="MU128" s="34"/>
      <c r="MV128" s="34"/>
      <c r="MW128" s="34"/>
      <c r="MX128" s="34"/>
      <c r="MY128" s="34"/>
      <c r="MZ128" s="34"/>
      <c r="NA128" s="34"/>
      <c r="NB128" s="34"/>
      <c r="NC128" s="34"/>
      <c r="ND128" s="34"/>
      <c r="NE128" s="34"/>
      <c r="NF128" s="34"/>
      <c r="NG128" s="34"/>
      <c r="NH128" s="34"/>
      <c r="NI128" s="34"/>
      <c r="NJ128" s="34"/>
      <c r="NK128" s="34"/>
      <c r="NL128" s="34"/>
      <c r="NM128" s="34"/>
      <c r="NN128" s="34"/>
      <c r="NO128" s="34"/>
      <c r="NP128" s="34"/>
      <c r="NQ128" s="34"/>
      <c r="NR128" s="34"/>
      <c r="NS128" s="34"/>
      <c r="NT128" s="7">
        <f>COUNTIF(F128:NS128,"x")</f>
        <v>2</v>
      </c>
      <c r="NU128" s="81"/>
      <c r="NV128" s="32">
        <f>IF(NX128=0,"0",NX128/NX127)</f>
        <v>1</v>
      </c>
      <c r="NW128" s="37">
        <f t="shared" si="271"/>
        <v>0</v>
      </c>
      <c r="NX128" s="36">
        <f>COUNTIF(F128:AU128,"x")</f>
        <v>2</v>
      </c>
      <c r="NY128" s="81"/>
      <c r="NZ128" s="32" t="str">
        <f>IF(OB128=0,"0",OB128/OB127)</f>
        <v>0</v>
      </c>
      <c r="OA128" s="37">
        <f t="shared" si="272"/>
        <v>0</v>
      </c>
      <c r="OB128" s="36">
        <f>COUNTIF(AV128:CK128,"x")</f>
        <v>0</v>
      </c>
      <c r="OC128" s="81"/>
      <c r="OD128" s="32" t="str">
        <f>IF(OF128=0,"0",OF128/OF127)</f>
        <v>0</v>
      </c>
      <c r="OE128" s="37">
        <f t="shared" si="273"/>
        <v>0</v>
      </c>
      <c r="OF128" s="36">
        <f>COUNTIF(CL128:EA128,"x")</f>
        <v>0</v>
      </c>
      <c r="OG128" s="81"/>
      <c r="OH128" s="32" t="str">
        <f>IF(OJ128=0,"0",OJ128/OJ127)</f>
        <v>0</v>
      </c>
      <c r="OI128" s="37">
        <f t="shared" si="274"/>
        <v>0</v>
      </c>
      <c r="OJ128" s="36">
        <f>COUNTIF(EB128:FQ128,"x")</f>
        <v>0</v>
      </c>
      <c r="OK128" s="74"/>
      <c r="OL128" s="32" t="str">
        <f>IF(ON128=0,"0",ON128/ON127)</f>
        <v>0</v>
      </c>
      <c r="OM128" s="37">
        <f t="shared" si="275"/>
        <v>0</v>
      </c>
      <c r="ON128" s="36">
        <f>COUNTIF(FR128:HG128,"x")</f>
        <v>0</v>
      </c>
      <c r="OO128" s="74"/>
      <c r="OP128" s="32" t="str">
        <f>IF(OR128=0,"0",OR128/OR127)</f>
        <v>0</v>
      </c>
      <c r="OQ128" s="37">
        <f t="shared" si="276"/>
        <v>0</v>
      </c>
      <c r="OR128" s="36">
        <f>COUNTIF(HH128:IW128,"x")</f>
        <v>0</v>
      </c>
      <c r="OS128" s="74"/>
      <c r="OT128" s="32" t="str">
        <f>IF(OV128=0,"0",OV128/OV127)</f>
        <v>0</v>
      </c>
      <c r="OU128" s="37">
        <f t="shared" si="277"/>
        <v>0</v>
      </c>
      <c r="OV128" s="36">
        <f>COUNTIF(IX128:KM128,"x")</f>
        <v>0</v>
      </c>
      <c r="OW128" s="74"/>
      <c r="OX128" s="32" t="str">
        <f>IF(OZ128=0,"0",OZ128/OZ127)</f>
        <v>0</v>
      </c>
      <c r="OY128" s="37">
        <f t="shared" si="278"/>
        <v>0</v>
      </c>
      <c r="OZ128" s="36">
        <f>COUNTIF(KN128:MC128,"x")</f>
        <v>0</v>
      </c>
      <c r="PA128" s="74"/>
      <c r="PB128" s="32" t="str">
        <f>IF(PD128=0,"0",PD128/PD127)</f>
        <v>0</v>
      </c>
      <c r="PC128" s="37">
        <f t="shared" si="279"/>
        <v>0</v>
      </c>
      <c r="PD128" s="36">
        <f>COUNTIF(MD128:NS128,"x")</f>
        <v>0</v>
      </c>
      <c r="PE128" s="74"/>
    </row>
    <row r="129" spans="3:421" ht="15.75" customHeight="1" outlineLevel="1" x14ac:dyDescent="0.25">
      <c r="C129" s="82" t="s">
        <v>28</v>
      </c>
      <c r="D129" s="71" t="s">
        <v>70</v>
      </c>
      <c r="E129" s="53" t="s">
        <v>8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69"/>
      <c r="Q129" s="33"/>
      <c r="R129" s="33"/>
      <c r="S129" s="33"/>
      <c r="T129" s="33"/>
      <c r="U129" s="33"/>
      <c r="V129" s="33"/>
      <c r="W129" s="69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  <c r="HI129" s="33"/>
      <c r="HJ129" s="33"/>
      <c r="HK129" s="33"/>
      <c r="HL129" s="33"/>
      <c r="HM129" s="33"/>
      <c r="HN129" s="33"/>
      <c r="HO129" s="33"/>
      <c r="HP129" s="33"/>
      <c r="HQ129" s="33"/>
      <c r="HR129" s="33"/>
      <c r="HS129" s="33"/>
      <c r="HT129" s="33"/>
      <c r="HU129" s="33"/>
      <c r="HV129" s="33"/>
      <c r="HW129" s="33"/>
      <c r="HX129" s="33"/>
      <c r="HY129" s="33"/>
      <c r="HZ129" s="33"/>
      <c r="IA129" s="33"/>
      <c r="IB129" s="33"/>
      <c r="IC129" s="33"/>
      <c r="ID129" s="33"/>
      <c r="IE129" s="33"/>
      <c r="IF129" s="33"/>
      <c r="IG129" s="33"/>
      <c r="IH129" s="33"/>
      <c r="II129" s="33"/>
      <c r="IJ129" s="33"/>
      <c r="IK129" s="33"/>
      <c r="IL129" s="33"/>
      <c r="IM129" s="33"/>
      <c r="IN129" s="33"/>
      <c r="IO129" s="33"/>
      <c r="IP129" s="33"/>
      <c r="IQ129" s="33"/>
      <c r="IR129" s="33"/>
      <c r="IS129" s="33"/>
      <c r="IT129" s="33"/>
      <c r="IU129" s="33"/>
      <c r="IV129" s="33"/>
      <c r="IW129" s="33"/>
      <c r="IX129" s="33"/>
      <c r="IY129" s="33"/>
      <c r="IZ129" s="33"/>
      <c r="JA129" s="33"/>
      <c r="JB129" s="33"/>
      <c r="JC129" s="33"/>
      <c r="JD129" s="33"/>
      <c r="JE129" s="33"/>
      <c r="JF129" s="33"/>
      <c r="JG129" s="33"/>
      <c r="JH129" s="33"/>
      <c r="JI129" s="33"/>
      <c r="JJ129" s="33"/>
      <c r="JK129" s="33"/>
      <c r="JL129" s="33"/>
      <c r="JM129" s="33"/>
      <c r="JN129" s="33"/>
      <c r="JO129" s="33"/>
      <c r="JP129" s="33"/>
      <c r="JQ129" s="33"/>
      <c r="JR129" s="33"/>
      <c r="JS129" s="33"/>
      <c r="JT129" s="33"/>
      <c r="JU129" s="33"/>
      <c r="JV129" s="33"/>
      <c r="JW129" s="33"/>
      <c r="JX129" s="33"/>
      <c r="JY129" s="33"/>
      <c r="JZ129" s="33"/>
      <c r="KA129" s="33"/>
      <c r="KB129" s="33"/>
      <c r="KC129" s="33"/>
      <c r="KD129" s="33"/>
      <c r="KE129" s="33"/>
      <c r="KF129" s="33"/>
      <c r="KG129" s="33"/>
      <c r="KH129" s="33"/>
      <c r="KI129" s="33"/>
      <c r="KJ129" s="33"/>
      <c r="KK129" s="33"/>
      <c r="KL129" s="33"/>
      <c r="KM129" s="33"/>
      <c r="KN129" s="33"/>
      <c r="KO129" s="33"/>
      <c r="KP129" s="33"/>
      <c r="KQ129" s="33"/>
      <c r="KR129" s="33"/>
      <c r="KS129" s="33"/>
      <c r="KT129" s="33"/>
      <c r="KU129" s="33"/>
      <c r="KV129" s="33"/>
      <c r="KW129" s="33"/>
      <c r="KX129" s="33"/>
      <c r="KY129" s="33"/>
      <c r="KZ129" s="33"/>
      <c r="LA129" s="33"/>
      <c r="LB129" s="33"/>
      <c r="LC129" s="33"/>
      <c r="LD129" s="33"/>
      <c r="LE129" s="33"/>
      <c r="LF129" s="33"/>
      <c r="LG129" s="33"/>
      <c r="LH129" s="33"/>
      <c r="LI129" s="33"/>
      <c r="LJ129" s="33"/>
      <c r="LK129" s="33"/>
      <c r="LL129" s="33"/>
      <c r="LM129" s="33"/>
      <c r="LN129" s="33"/>
      <c r="LO129" s="33"/>
      <c r="LP129" s="33"/>
      <c r="LQ129" s="33"/>
      <c r="LR129" s="33"/>
      <c r="LS129" s="33"/>
      <c r="LT129" s="33"/>
      <c r="LU129" s="33"/>
      <c r="LV129" s="33"/>
      <c r="LW129" s="33"/>
      <c r="LX129" s="33"/>
      <c r="LY129" s="33"/>
      <c r="LZ129" s="33"/>
      <c r="MA129" s="33"/>
      <c r="MB129" s="33"/>
      <c r="MC129" s="33"/>
      <c r="MD129" s="33"/>
      <c r="ME129" s="33"/>
      <c r="MF129" s="33"/>
      <c r="MG129" s="33"/>
      <c r="MH129" s="33"/>
      <c r="MI129" s="33"/>
      <c r="MJ129" s="33"/>
      <c r="MK129" s="33"/>
      <c r="ML129" s="33"/>
      <c r="MM129" s="33"/>
      <c r="MN129" s="33"/>
      <c r="MO129" s="33"/>
      <c r="MP129" s="33"/>
      <c r="MQ129" s="33"/>
      <c r="MR129" s="33"/>
      <c r="MS129" s="33"/>
      <c r="MT129" s="33"/>
      <c r="MU129" s="33"/>
      <c r="MV129" s="33"/>
      <c r="MW129" s="33"/>
      <c r="MX129" s="33"/>
      <c r="MY129" s="33"/>
      <c r="MZ129" s="33"/>
      <c r="NA129" s="33"/>
      <c r="NB129" s="33"/>
      <c r="NC129" s="33"/>
      <c r="ND129" s="33"/>
      <c r="NE129" s="33"/>
      <c r="NF129" s="33"/>
      <c r="NG129" s="33"/>
      <c r="NH129" s="33"/>
      <c r="NI129" s="33"/>
      <c r="NJ129" s="33"/>
      <c r="NK129" s="33"/>
      <c r="NL129" s="33"/>
      <c r="NM129" s="33"/>
      <c r="NN129" s="33"/>
      <c r="NO129" s="33"/>
      <c r="NP129" s="33"/>
      <c r="NQ129" s="33"/>
      <c r="NR129" s="33"/>
      <c r="NS129" s="33"/>
      <c r="NT129" s="31">
        <f>COUNTIF(F129:NS129,"1")</f>
        <v>0</v>
      </c>
      <c r="NU129" s="80" t="e">
        <f>NT130/NT129</f>
        <v>#DIV/0!</v>
      </c>
      <c r="NV129" s="29">
        <f>+IF(NX129&gt;=1,"1",0)</f>
        <v>0</v>
      </c>
      <c r="NW129" s="38">
        <f t="shared" si="271"/>
        <v>1</v>
      </c>
      <c r="NX129" s="35">
        <f>COUNTIF(F129:AU129,"1")</f>
        <v>0</v>
      </c>
      <c r="NY129" s="80" t="e">
        <f t="shared" si="270"/>
        <v>#DIV/0!</v>
      </c>
      <c r="NZ129" s="29">
        <f>+IF(OB129&gt;=1,"1",0)</f>
        <v>0</v>
      </c>
      <c r="OA129" s="38">
        <f t="shared" si="272"/>
        <v>1</v>
      </c>
      <c r="OB129" s="35">
        <f>COUNTIF(AV129:CK129,"1")</f>
        <v>0</v>
      </c>
      <c r="OC129" s="80" t="e">
        <f>OB130/OB129</f>
        <v>#DIV/0!</v>
      </c>
      <c r="OD129" s="29">
        <f>+IF(OF129&gt;=1,"1",0)</f>
        <v>0</v>
      </c>
      <c r="OE129" s="38">
        <f t="shared" si="273"/>
        <v>1</v>
      </c>
      <c r="OF129" s="35">
        <f>COUNTIF(CL129:EA129,"1")</f>
        <v>0</v>
      </c>
      <c r="OG129" s="80" t="e">
        <f>OF130/OF129</f>
        <v>#DIV/0!</v>
      </c>
      <c r="OH129" s="29">
        <f>+IF(OJ129&gt;=1,"1",0)</f>
        <v>0</v>
      </c>
      <c r="OI129" s="38">
        <f t="shared" si="274"/>
        <v>1</v>
      </c>
      <c r="OJ129" s="35">
        <f>COUNTIF(EB129:FQ129,"1")</f>
        <v>0</v>
      </c>
      <c r="OK129" s="79" t="e">
        <f>OJ130/OJ129</f>
        <v>#DIV/0!</v>
      </c>
      <c r="OL129" s="29">
        <f>+IF(ON129&gt;=1,"1",0)</f>
        <v>0</v>
      </c>
      <c r="OM129" s="38">
        <f t="shared" si="275"/>
        <v>1</v>
      </c>
      <c r="ON129" s="35">
        <f>COUNTIF(FR129:HG129,"1")</f>
        <v>0</v>
      </c>
      <c r="OO129" s="79" t="e">
        <f>ON130/ON129</f>
        <v>#DIV/0!</v>
      </c>
      <c r="OP129" s="29">
        <f>+IF(OR129&gt;=1,"1",0)</f>
        <v>0</v>
      </c>
      <c r="OQ129" s="38">
        <f t="shared" si="276"/>
        <v>1</v>
      </c>
      <c r="OR129" s="35">
        <f>COUNTIF(HH129:IW129,"1")</f>
        <v>0</v>
      </c>
      <c r="OS129" s="79" t="e">
        <f>OR130/OR129</f>
        <v>#DIV/0!</v>
      </c>
      <c r="OT129" s="29">
        <f>+IF(OV129&gt;=1,"1",0)</f>
        <v>0</v>
      </c>
      <c r="OU129" s="38">
        <f t="shared" si="277"/>
        <v>1</v>
      </c>
      <c r="OV129" s="35">
        <f>COUNTIF(IX129:KM129,"1")</f>
        <v>0</v>
      </c>
      <c r="OW129" s="79" t="e">
        <f>OV130/OV129</f>
        <v>#DIV/0!</v>
      </c>
      <c r="OX129" s="29">
        <f>+IF(OZ129&gt;=1,"1",0)</f>
        <v>0</v>
      </c>
      <c r="OY129" s="38">
        <f t="shared" si="278"/>
        <v>1</v>
      </c>
      <c r="OZ129" s="35">
        <f>COUNTIF(KN129:MC129,"1")</f>
        <v>0</v>
      </c>
      <c r="PA129" s="79" t="e">
        <f>OZ130/OZ129</f>
        <v>#DIV/0!</v>
      </c>
      <c r="PB129" s="29">
        <f>+IF(PD129&gt;=1,"1",0)</f>
        <v>0</v>
      </c>
      <c r="PC129" s="38">
        <f t="shared" si="279"/>
        <v>1</v>
      </c>
      <c r="PD129" s="35">
        <f>COUNTIF(MD129:NS129,"1")</f>
        <v>0</v>
      </c>
      <c r="PE129" s="79" t="e">
        <f>PD130/PD129</f>
        <v>#DIV/0!</v>
      </c>
    </row>
    <row r="130" spans="3:421" ht="15.75" customHeight="1" outlineLevel="1" thickBot="1" x14ac:dyDescent="0.3">
      <c r="C130" s="83"/>
      <c r="D130" s="72"/>
      <c r="E130" s="54" t="s">
        <v>9</v>
      </c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70"/>
      <c r="Q130" s="34"/>
      <c r="R130" s="34"/>
      <c r="S130" s="34"/>
      <c r="T130" s="34"/>
      <c r="U130" s="34"/>
      <c r="V130" s="34"/>
      <c r="W130" s="70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4"/>
      <c r="GN130" s="34"/>
      <c r="GO130" s="34"/>
      <c r="GP130" s="34"/>
      <c r="GQ130" s="34"/>
      <c r="GR130" s="34"/>
      <c r="GS130" s="34"/>
      <c r="GT130" s="34"/>
      <c r="GU130" s="34"/>
      <c r="GV130" s="34"/>
      <c r="GW130" s="34"/>
      <c r="GX130" s="34"/>
      <c r="GY130" s="34"/>
      <c r="GZ130" s="34"/>
      <c r="HA130" s="34"/>
      <c r="HB130" s="34"/>
      <c r="HC130" s="34"/>
      <c r="HD130" s="34"/>
      <c r="HE130" s="34"/>
      <c r="HF130" s="34"/>
      <c r="HG130" s="34"/>
      <c r="HH130" s="34"/>
      <c r="HI130" s="34"/>
      <c r="HJ130" s="34"/>
      <c r="HK130" s="34"/>
      <c r="HL130" s="34"/>
      <c r="HM130" s="34"/>
      <c r="HN130" s="34"/>
      <c r="HO130" s="34"/>
      <c r="HP130" s="34"/>
      <c r="HQ130" s="34"/>
      <c r="HR130" s="34"/>
      <c r="HS130" s="34"/>
      <c r="HT130" s="34"/>
      <c r="HU130" s="34"/>
      <c r="HV130" s="34"/>
      <c r="HW130" s="34"/>
      <c r="HX130" s="34"/>
      <c r="HY130" s="34"/>
      <c r="HZ130" s="34"/>
      <c r="IA130" s="34"/>
      <c r="IB130" s="34"/>
      <c r="IC130" s="34"/>
      <c r="ID130" s="34"/>
      <c r="IE130" s="34"/>
      <c r="IF130" s="34"/>
      <c r="IG130" s="34"/>
      <c r="IH130" s="34"/>
      <c r="II130" s="34"/>
      <c r="IJ130" s="34"/>
      <c r="IK130" s="34"/>
      <c r="IL130" s="34"/>
      <c r="IM130" s="34"/>
      <c r="IN130" s="34"/>
      <c r="IO130" s="34"/>
      <c r="IP130" s="34"/>
      <c r="IQ130" s="34"/>
      <c r="IR130" s="34"/>
      <c r="IS130" s="34"/>
      <c r="IT130" s="34"/>
      <c r="IU130" s="34"/>
      <c r="IV130" s="34"/>
      <c r="IW130" s="34"/>
      <c r="IX130" s="34"/>
      <c r="IY130" s="34"/>
      <c r="IZ130" s="34"/>
      <c r="JA130" s="34"/>
      <c r="JB130" s="34"/>
      <c r="JC130" s="34"/>
      <c r="JD130" s="34"/>
      <c r="JE130" s="34"/>
      <c r="JF130" s="34"/>
      <c r="JG130" s="34"/>
      <c r="JH130" s="34"/>
      <c r="JI130" s="34"/>
      <c r="JJ130" s="34"/>
      <c r="JK130" s="34"/>
      <c r="JL130" s="34"/>
      <c r="JM130" s="34"/>
      <c r="JN130" s="34"/>
      <c r="JO130" s="34"/>
      <c r="JP130" s="34"/>
      <c r="JQ130" s="34"/>
      <c r="JR130" s="34"/>
      <c r="JS130" s="34"/>
      <c r="JT130" s="34"/>
      <c r="JU130" s="34"/>
      <c r="JV130" s="34"/>
      <c r="JW130" s="34"/>
      <c r="JX130" s="34"/>
      <c r="JY130" s="34"/>
      <c r="JZ130" s="34"/>
      <c r="KA130" s="34"/>
      <c r="KB130" s="34"/>
      <c r="KC130" s="34"/>
      <c r="KD130" s="34"/>
      <c r="KE130" s="34"/>
      <c r="KF130" s="34"/>
      <c r="KG130" s="34"/>
      <c r="KH130" s="34"/>
      <c r="KI130" s="34"/>
      <c r="KJ130" s="34"/>
      <c r="KK130" s="34"/>
      <c r="KL130" s="34"/>
      <c r="KM130" s="34"/>
      <c r="KN130" s="34"/>
      <c r="KO130" s="34"/>
      <c r="KP130" s="34"/>
      <c r="KQ130" s="34"/>
      <c r="KR130" s="34"/>
      <c r="KS130" s="34"/>
      <c r="KT130" s="34"/>
      <c r="KU130" s="34"/>
      <c r="KV130" s="34"/>
      <c r="KW130" s="34"/>
      <c r="KX130" s="34"/>
      <c r="KY130" s="34"/>
      <c r="KZ130" s="34"/>
      <c r="LA130" s="34"/>
      <c r="LB130" s="34"/>
      <c r="LC130" s="34"/>
      <c r="LD130" s="34"/>
      <c r="LE130" s="34"/>
      <c r="LF130" s="34"/>
      <c r="LG130" s="34"/>
      <c r="LH130" s="34"/>
      <c r="LI130" s="34"/>
      <c r="LJ130" s="34"/>
      <c r="LK130" s="34"/>
      <c r="LL130" s="34"/>
      <c r="LM130" s="34"/>
      <c r="LN130" s="34"/>
      <c r="LO130" s="34"/>
      <c r="LP130" s="34"/>
      <c r="LQ130" s="34"/>
      <c r="LR130" s="34"/>
      <c r="LS130" s="34"/>
      <c r="LT130" s="34"/>
      <c r="LU130" s="34"/>
      <c r="LV130" s="34"/>
      <c r="LW130" s="34"/>
      <c r="LX130" s="34"/>
      <c r="LY130" s="34"/>
      <c r="LZ130" s="34"/>
      <c r="MA130" s="34"/>
      <c r="MB130" s="34"/>
      <c r="MC130" s="34"/>
      <c r="MD130" s="34"/>
      <c r="ME130" s="34"/>
      <c r="MF130" s="34"/>
      <c r="MG130" s="34"/>
      <c r="MH130" s="34"/>
      <c r="MI130" s="34"/>
      <c r="MJ130" s="34"/>
      <c r="MK130" s="34"/>
      <c r="ML130" s="34"/>
      <c r="MM130" s="34"/>
      <c r="MN130" s="34"/>
      <c r="MO130" s="34"/>
      <c r="MP130" s="34"/>
      <c r="MQ130" s="34"/>
      <c r="MR130" s="34"/>
      <c r="MS130" s="34"/>
      <c r="MT130" s="34"/>
      <c r="MU130" s="34"/>
      <c r="MV130" s="34"/>
      <c r="MW130" s="34"/>
      <c r="MX130" s="34"/>
      <c r="MY130" s="34"/>
      <c r="MZ130" s="34"/>
      <c r="NA130" s="34"/>
      <c r="NB130" s="34"/>
      <c r="NC130" s="34"/>
      <c r="ND130" s="34"/>
      <c r="NE130" s="34"/>
      <c r="NF130" s="34"/>
      <c r="NG130" s="34"/>
      <c r="NH130" s="34"/>
      <c r="NI130" s="34"/>
      <c r="NJ130" s="34"/>
      <c r="NK130" s="34"/>
      <c r="NL130" s="34"/>
      <c r="NM130" s="34"/>
      <c r="NN130" s="34"/>
      <c r="NO130" s="34"/>
      <c r="NP130" s="34"/>
      <c r="NQ130" s="34"/>
      <c r="NR130" s="34"/>
      <c r="NS130" s="34"/>
      <c r="NT130" s="7">
        <f>COUNTIF(F130:NS130,"x")</f>
        <v>0</v>
      </c>
      <c r="NU130" s="81"/>
      <c r="NV130" s="32" t="str">
        <f>IF(NX130=0,"0",NX130/NX129)</f>
        <v>0</v>
      </c>
      <c r="NW130" s="37">
        <f t="shared" si="271"/>
        <v>0</v>
      </c>
      <c r="NX130" s="36">
        <f>COUNTIF(F130:AU130,"x")</f>
        <v>0</v>
      </c>
      <c r="NY130" s="81"/>
      <c r="NZ130" s="32" t="str">
        <f>IF(OB130=0,"0",OB130/OB129)</f>
        <v>0</v>
      </c>
      <c r="OA130" s="37">
        <f t="shared" si="272"/>
        <v>0</v>
      </c>
      <c r="OB130" s="36">
        <f>COUNTIF(AV130:CK130,"x")</f>
        <v>0</v>
      </c>
      <c r="OC130" s="81"/>
      <c r="OD130" s="32" t="str">
        <f>IF(OF130=0,"0",OF130/OF129)</f>
        <v>0</v>
      </c>
      <c r="OE130" s="37">
        <f t="shared" si="273"/>
        <v>0</v>
      </c>
      <c r="OF130" s="36">
        <f>COUNTIF(CL130:EA130,"x")</f>
        <v>0</v>
      </c>
      <c r="OG130" s="81"/>
      <c r="OH130" s="32" t="str">
        <f>IF(OJ130=0,"0",OJ130/OJ129)</f>
        <v>0</v>
      </c>
      <c r="OI130" s="37">
        <f t="shared" si="274"/>
        <v>0</v>
      </c>
      <c r="OJ130" s="36">
        <f>COUNTIF(EB130:FQ130,"x")</f>
        <v>0</v>
      </c>
      <c r="OK130" s="74"/>
      <c r="OL130" s="32" t="str">
        <f>IF(ON130=0,"0",ON130/ON129)</f>
        <v>0</v>
      </c>
      <c r="OM130" s="37">
        <f t="shared" si="275"/>
        <v>0</v>
      </c>
      <c r="ON130" s="36">
        <f>COUNTIF(FR130:HG130,"x")</f>
        <v>0</v>
      </c>
      <c r="OO130" s="74"/>
      <c r="OP130" s="32" t="str">
        <f>IF(OR130=0,"0",OR130/OR129)</f>
        <v>0</v>
      </c>
      <c r="OQ130" s="37">
        <f t="shared" si="276"/>
        <v>0</v>
      </c>
      <c r="OR130" s="36">
        <f>COUNTIF(HH130:IW130,"x")</f>
        <v>0</v>
      </c>
      <c r="OS130" s="74"/>
      <c r="OT130" s="32" t="str">
        <f>IF(OV130=0,"0",OV130/OV129)</f>
        <v>0</v>
      </c>
      <c r="OU130" s="37">
        <f t="shared" si="277"/>
        <v>0</v>
      </c>
      <c r="OV130" s="36">
        <f>COUNTIF(IX130:KM130,"x")</f>
        <v>0</v>
      </c>
      <c r="OW130" s="74"/>
      <c r="OX130" s="32" t="str">
        <f>IF(OZ130=0,"0",OZ130/OZ129)</f>
        <v>0</v>
      </c>
      <c r="OY130" s="37">
        <f t="shared" si="278"/>
        <v>0</v>
      </c>
      <c r="OZ130" s="36">
        <f>COUNTIF(KN130:MC130,"x")</f>
        <v>0</v>
      </c>
      <c r="PA130" s="74"/>
      <c r="PB130" s="32" t="str">
        <f>IF(PD130=0,"0",PD130/PD129)</f>
        <v>0</v>
      </c>
      <c r="PC130" s="37">
        <f t="shared" si="279"/>
        <v>0</v>
      </c>
      <c r="PD130" s="36">
        <f>COUNTIF(MD130:NS130,"x")</f>
        <v>0</v>
      </c>
      <c r="PE130" s="74"/>
    </row>
    <row r="131" spans="3:421" ht="15.75" customHeight="1" outlineLevel="1" x14ac:dyDescent="0.25">
      <c r="C131" s="88" t="s">
        <v>29</v>
      </c>
      <c r="D131" s="71" t="s">
        <v>70</v>
      </c>
      <c r="E131" s="53" t="s">
        <v>8</v>
      </c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69"/>
      <c r="Q131" s="33"/>
      <c r="R131" s="33"/>
      <c r="S131" s="33"/>
      <c r="T131" s="33"/>
      <c r="U131" s="33"/>
      <c r="V131" s="33"/>
      <c r="W131" s="69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  <c r="HI131" s="33"/>
      <c r="HJ131" s="33"/>
      <c r="HK131" s="33"/>
      <c r="HL131" s="33"/>
      <c r="HM131" s="33"/>
      <c r="HN131" s="33"/>
      <c r="HO131" s="33"/>
      <c r="HP131" s="33"/>
      <c r="HQ131" s="33"/>
      <c r="HR131" s="33"/>
      <c r="HS131" s="33"/>
      <c r="HT131" s="33"/>
      <c r="HU131" s="33"/>
      <c r="HV131" s="33"/>
      <c r="HW131" s="33"/>
      <c r="HX131" s="33"/>
      <c r="HY131" s="33"/>
      <c r="HZ131" s="33"/>
      <c r="IA131" s="33"/>
      <c r="IB131" s="33"/>
      <c r="IC131" s="33"/>
      <c r="ID131" s="33"/>
      <c r="IE131" s="33"/>
      <c r="IF131" s="33"/>
      <c r="IG131" s="33"/>
      <c r="IH131" s="33"/>
      <c r="II131" s="33"/>
      <c r="IJ131" s="33"/>
      <c r="IK131" s="33"/>
      <c r="IL131" s="33"/>
      <c r="IM131" s="33"/>
      <c r="IN131" s="33"/>
      <c r="IO131" s="33"/>
      <c r="IP131" s="33"/>
      <c r="IQ131" s="33"/>
      <c r="IR131" s="33"/>
      <c r="IS131" s="33"/>
      <c r="IT131" s="33"/>
      <c r="IU131" s="33"/>
      <c r="IV131" s="33"/>
      <c r="IW131" s="33"/>
      <c r="IX131" s="33"/>
      <c r="IY131" s="33"/>
      <c r="IZ131" s="33"/>
      <c r="JA131" s="33"/>
      <c r="JB131" s="33"/>
      <c r="JC131" s="33"/>
      <c r="JD131" s="33"/>
      <c r="JE131" s="33"/>
      <c r="JF131" s="33"/>
      <c r="JG131" s="33"/>
      <c r="JH131" s="33"/>
      <c r="JI131" s="33"/>
      <c r="JJ131" s="33"/>
      <c r="JK131" s="33"/>
      <c r="JL131" s="33"/>
      <c r="JM131" s="33"/>
      <c r="JN131" s="33"/>
      <c r="JO131" s="33"/>
      <c r="JP131" s="33"/>
      <c r="JQ131" s="33"/>
      <c r="JR131" s="33"/>
      <c r="JS131" s="33"/>
      <c r="JT131" s="33"/>
      <c r="JU131" s="33"/>
      <c r="JV131" s="33"/>
      <c r="JW131" s="33"/>
      <c r="JX131" s="33"/>
      <c r="JY131" s="33"/>
      <c r="JZ131" s="33"/>
      <c r="KA131" s="33"/>
      <c r="KB131" s="33"/>
      <c r="KC131" s="33"/>
      <c r="KD131" s="33"/>
      <c r="KE131" s="33"/>
      <c r="KF131" s="33"/>
      <c r="KG131" s="33"/>
      <c r="KH131" s="33"/>
      <c r="KI131" s="33"/>
      <c r="KJ131" s="33"/>
      <c r="KK131" s="33"/>
      <c r="KL131" s="33"/>
      <c r="KM131" s="33"/>
      <c r="KN131" s="33"/>
      <c r="KO131" s="33"/>
      <c r="KP131" s="33"/>
      <c r="KQ131" s="33"/>
      <c r="KR131" s="33"/>
      <c r="KS131" s="33"/>
      <c r="KT131" s="33"/>
      <c r="KU131" s="33"/>
      <c r="KV131" s="33"/>
      <c r="KW131" s="33"/>
      <c r="KX131" s="33"/>
      <c r="KY131" s="33"/>
      <c r="KZ131" s="33"/>
      <c r="LA131" s="33"/>
      <c r="LB131" s="33"/>
      <c r="LC131" s="33"/>
      <c r="LD131" s="33"/>
      <c r="LE131" s="33"/>
      <c r="LF131" s="33"/>
      <c r="LG131" s="33"/>
      <c r="LH131" s="33"/>
      <c r="LI131" s="33"/>
      <c r="LJ131" s="33"/>
      <c r="LK131" s="33"/>
      <c r="LL131" s="33"/>
      <c r="LM131" s="33"/>
      <c r="LN131" s="33"/>
      <c r="LO131" s="33"/>
      <c r="LP131" s="33"/>
      <c r="LQ131" s="33"/>
      <c r="LR131" s="33"/>
      <c r="LS131" s="33"/>
      <c r="LT131" s="33"/>
      <c r="LU131" s="33"/>
      <c r="LV131" s="33"/>
      <c r="LW131" s="33"/>
      <c r="LX131" s="33"/>
      <c r="LY131" s="33"/>
      <c r="LZ131" s="33"/>
      <c r="MA131" s="33"/>
      <c r="MB131" s="33"/>
      <c r="MC131" s="33"/>
      <c r="MD131" s="33"/>
      <c r="ME131" s="33"/>
      <c r="MF131" s="33"/>
      <c r="MG131" s="33"/>
      <c r="MH131" s="33"/>
      <c r="MI131" s="33"/>
      <c r="MJ131" s="33"/>
      <c r="MK131" s="33"/>
      <c r="ML131" s="33"/>
      <c r="MM131" s="33"/>
      <c r="MN131" s="33"/>
      <c r="MO131" s="33"/>
      <c r="MP131" s="33"/>
      <c r="MQ131" s="33"/>
      <c r="MR131" s="33"/>
      <c r="MS131" s="33"/>
      <c r="MT131" s="33"/>
      <c r="MU131" s="33"/>
      <c r="MV131" s="33"/>
      <c r="MW131" s="33"/>
      <c r="MX131" s="33"/>
      <c r="MY131" s="33"/>
      <c r="MZ131" s="33"/>
      <c r="NA131" s="33"/>
      <c r="NB131" s="33"/>
      <c r="NC131" s="33"/>
      <c r="ND131" s="33"/>
      <c r="NE131" s="33"/>
      <c r="NF131" s="33"/>
      <c r="NG131" s="33"/>
      <c r="NH131" s="33"/>
      <c r="NI131" s="33"/>
      <c r="NJ131" s="33"/>
      <c r="NK131" s="33"/>
      <c r="NL131" s="33"/>
      <c r="NM131" s="33"/>
      <c r="NN131" s="33"/>
      <c r="NO131" s="33"/>
      <c r="NP131" s="33"/>
      <c r="NQ131" s="33"/>
      <c r="NR131" s="33"/>
      <c r="NS131" s="33"/>
      <c r="NT131" s="31">
        <f>COUNTIF(F131:NS131,"1")</f>
        <v>0</v>
      </c>
      <c r="NU131" s="80" t="e">
        <f>NT132/NT131</f>
        <v>#DIV/0!</v>
      </c>
      <c r="NV131" s="29">
        <f>+IF(NX131&gt;=1,"1",0)</f>
        <v>0</v>
      </c>
      <c r="NW131" s="38">
        <f t="shared" si="271"/>
        <v>1</v>
      </c>
      <c r="NX131" s="35">
        <f>COUNTIF(F131:AU131,"1")</f>
        <v>0</v>
      </c>
      <c r="NY131" s="80" t="e">
        <f t="shared" si="270"/>
        <v>#DIV/0!</v>
      </c>
      <c r="NZ131" s="29">
        <f>+IF(OB131&gt;=1,"1",0)</f>
        <v>0</v>
      </c>
      <c r="OA131" s="38">
        <f t="shared" si="272"/>
        <v>1</v>
      </c>
      <c r="OB131" s="35">
        <f>COUNTIF(AV131:CK131,"1")</f>
        <v>0</v>
      </c>
      <c r="OC131" s="80" t="e">
        <f>OB132/OB131</f>
        <v>#DIV/0!</v>
      </c>
      <c r="OD131" s="29">
        <f>+IF(OF131&gt;=1,"1",0)</f>
        <v>0</v>
      </c>
      <c r="OE131" s="38">
        <f t="shared" si="273"/>
        <v>1</v>
      </c>
      <c r="OF131" s="35">
        <f>COUNTIF(CL131:EA131,"1")</f>
        <v>0</v>
      </c>
      <c r="OG131" s="80" t="e">
        <f>OF132/OF131</f>
        <v>#DIV/0!</v>
      </c>
      <c r="OH131" s="29">
        <f>+IF(OJ131&gt;=1,"1",0)</f>
        <v>0</v>
      </c>
      <c r="OI131" s="38">
        <f t="shared" si="274"/>
        <v>1</v>
      </c>
      <c r="OJ131" s="35">
        <f>COUNTIF(EB131:FQ131,"1")</f>
        <v>0</v>
      </c>
      <c r="OK131" s="79" t="e">
        <f>OJ132/OJ131</f>
        <v>#DIV/0!</v>
      </c>
      <c r="OL131" s="29">
        <f>+IF(ON131&gt;=1,"1",0)</f>
        <v>0</v>
      </c>
      <c r="OM131" s="38">
        <f t="shared" si="275"/>
        <v>1</v>
      </c>
      <c r="ON131" s="35">
        <f>COUNTIF(FR131:HG131,"1")</f>
        <v>0</v>
      </c>
      <c r="OO131" s="79" t="e">
        <f>ON132/ON131</f>
        <v>#DIV/0!</v>
      </c>
      <c r="OP131" s="29">
        <f>+IF(OR131&gt;=1,"1",0)</f>
        <v>0</v>
      </c>
      <c r="OQ131" s="38">
        <f t="shared" si="276"/>
        <v>1</v>
      </c>
      <c r="OR131" s="35">
        <f>COUNTIF(HH131:IW131,"1")</f>
        <v>0</v>
      </c>
      <c r="OS131" s="79" t="e">
        <f>OR132/OR131</f>
        <v>#DIV/0!</v>
      </c>
      <c r="OT131" s="29">
        <f>+IF(OV131&gt;=1,"1",0)</f>
        <v>0</v>
      </c>
      <c r="OU131" s="38">
        <f t="shared" si="277"/>
        <v>1</v>
      </c>
      <c r="OV131" s="35">
        <f>COUNTIF(IX131:KM131,"1")</f>
        <v>0</v>
      </c>
      <c r="OW131" s="79" t="e">
        <f>OV132/OV131</f>
        <v>#DIV/0!</v>
      </c>
      <c r="OX131" s="29">
        <f>+IF(OZ131&gt;=1,"1",0)</f>
        <v>0</v>
      </c>
      <c r="OY131" s="38">
        <f t="shared" si="278"/>
        <v>1</v>
      </c>
      <c r="OZ131" s="35">
        <f>COUNTIF(KN131:MC131,"1")</f>
        <v>0</v>
      </c>
      <c r="PA131" s="79" t="e">
        <f>OZ132/OZ131</f>
        <v>#DIV/0!</v>
      </c>
      <c r="PB131" s="29">
        <f>+IF(PD131&gt;=1,"1",0)</f>
        <v>0</v>
      </c>
      <c r="PC131" s="38">
        <f t="shared" si="279"/>
        <v>1</v>
      </c>
      <c r="PD131" s="35">
        <f>COUNTIF(MD131:NS131,"1")</f>
        <v>0</v>
      </c>
      <c r="PE131" s="79" t="e">
        <f>PD132/PD131</f>
        <v>#DIV/0!</v>
      </c>
    </row>
    <row r="132" spans="3:421" ht="15.75" customHeight="1" outlineLevel="1" thickBot="1" x14ac:dyDescent="0.3">
      <c r="C132" s="89"/>
      <c r="D132" s="72"/>
      <c r="E132" s="54" t="s">
        <v>9</v>
      </c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70"/>
      <c r="Q132" s="34"/>
      <c r="R132" s="34"/>
      <c r="S132" s="34"/>
      <c r="T132" s="34"/>
      <c r="U132" s="34"/>
      <c r="V132" s="34"/>
      <c r="W132" s="70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  <c r="HI132" s="34"/>
      <c r="HJ132" s="34"/>
      <c r="HK132" s="34"/>
      <c r="HL132" s="34"/>
      <c r="HM132" s="34"/>
      <c r="HN132" s="34"/>
      <c r="HO132" s="34"/>
      <c r="HP132" s="34"/>
      <c r="HQ132" s="34"/>
      <c r="HR132" s="34"/>
      <c r="HS132" s="34"/>
      <c r="HT132" s="34"/>
      <c r="HU132" s="34"/>
      <c r="HV132" s="34"/>
      <c r="HW132" s="34"/>
      <c r="HX132" s="34"/>
      <c r="HY132" s="34"/>
      <c r="HZ132" s="34"/>
      <c r="IA132" s="34"/>
      <c r="IB132" s="34"/>
      <c r="IC132" s="34"/>
      <c r="ID132" s="34"/>
      <c r="IE132" s="34"/>
      <c r="IF132" s="34"/>
      <c r="IG132" s="34"/>
      <c r="IH132" s="34"/>
      <c r="II132" s="34"/>
      <c r="IJ132" s="34"/>
      <c r="IK132" s="34"/>
      <c r="IL132" s="34"/>
      <c r="IM132" s="34"/>
      <c r="IN132" s="34"/>
      <c r="IO132" s="34"/>
      <c r="IP132" s="34"/>
      <c r="IQ132" s="34"/>
      <c r="IR132" s="34"/>
      <c r="IS132" s="34"/>
      <c r="IT132" s="34"/>
      <c r="IU132" s="34"/>
      <c r="IV132" s="34"/>
      <c r="IW132" s="34"/>
      <c r="IX132" s="34"/>
      <c r="IY132" s="34"/>
      <c r="IZ132" s="34"/>
      <c r="JA132" s="34"/>
      <c r="JB132" s="34"/>
      <c r="JC132" s="34"/>
      <c r="JD132" s="34"/>
      <c r="JE132" s="34"/>
      <c r="JF132" s="34"/>
      <c r="JG132" s="34"/>
      <c r="JH132" s="34"/>
      <c r="JI132" s="34"/>
      <c r="JJ132" s="34"/>
      <c r="JK132" s="34"/>
      <c r="JL132" s="34"/>
      <c r="JM132" s="34"/>
      <c r="JN132" s="34"/>
      <c r="JO132" s="34"/>
      <c r="JP132" s="34"/>
      <c r="JQ132" s="34"/>
      <c r="JR132" s="34"/>
      <c r="JS132" s="34"/>
      <c r="JT132" s="34"/>
      <c r="JU132" s="34"/>
      <c r="JV132" s="34"/>
      <c r="JW132" s="34"/>
      <c r="JX132" s="34"/>
      <c r="JY132" s="34"/>
      <c r="JZ132" s="34"/>
      <c r="KA132" s="34"/>
      <c r="KB132" s="34"/>
      <c r="KC132" s="34"/>
      <c r="KD132" s="34"/>
      <c r="KE132" s="34"/>
      <c r="KF132" s="34"/>
      <c r="KG132" s="34"/>
      <c r="KH132" s="34"/>
      <c r="KI132" s="34"/>
      <c r="KJ132" s="34"/>
      <c r="KK132" s="34"/>
      <c r="KL132" s="34"/>
      <c r="KM132" s="34"/>
      <c r="KN132" s="34"/>
      <c r="KO132" s="34"/>
      <c r="KP132" s="34"/>
      <c r="KQ132" s="34"/>
      <c r="KR132" s="34"/>
      <c r="KS132" s="34"/>
      <c r="KT132" s="34"/>
      <c r="KU132" s="34"/>
      <c r="KV132" s="34"/>
      <c r="KW132" s="34"/>
      <c r="KX132" s="34"/>
      <c r="KY132" s="34"/>
      <c r="KZ132" s="34"/>
      <c r="LA132" s="34"/>
      <c r="LB132" s="34"/>
      <c r="LC132" s="34"/>
      <c r="LD132" s="34"/>
      <c r="LE132" s="34"/>
      <c r="LF132" s="34"/>
      <c r="LG132" s="34"/>
      <c r="LH132" s="34"/>
      <c r="LI132" s="34"/>
      <c r="LJ132" s="34"/>
      <c r="LK132" s="34"/>
      <c r="LL132" s="34"/>
      <c r="LM132" s="34"/>
      <c r="LN132" s="34"/>
      <c r="LO132" s="34"/>
      <c r="LP132" s="34"/>
      <c r="LQ132" s="34"/>
      <c r="LR132" s="34"/>
      <c r="LS132" s="34"/>
      <c r="LT132" s="34"/>
      <c r="LU132" s="34"/>
      <c r="LV132" s="34"/>
      <c r="LW132" s="34"/>
      <c r="LX132" s="34"/>
      <c r="LY132" s="34"/>
      <c r="LZ132" s="34"/>
      <c r="MA132" s="34"/>
      <c r="MB132" s="34"/>
      <c r="MC132" s="34"/>
      <c r="MD132" s="34"/>
      <c r="ME132" s="34"/>
      <c r="MF132" s="34"/>
      <c r="MG132" s="34"/>
      <c r="MH132" s="34"/>
      <c r="MI132" s="34"/>
      <c r="MJ132" s="34"/>
      <c r="MK132" s="34"/>
      <c r="ML132" s="34"/>
      <c r="MM132" s="34"/>
      <c r="MN132" s="34"/>
      <c r="MO132" s="34"/>
      <c r="MP132" s="34"/>
      <c r="MQ132" s="34"/>
      <c r="MR132" s="34"/>
      <c r="MS132" s="34"/>
      <c r="MT132" s="34"/>
      <c r="MU132" s="34"/>
      <c r="MV132" s="34"/>
      <c r="MW132" s="34"/>
      <c r="MX132" s="34"/>
      <c r="MY132" s="34"/>
      <c r="MZ132" s="34"/>
      <c r="NA132" s="34"/>
      <c r="NB132" s="34"/>
      <c r="NC132" s="34"/>
      <c r="ND132" s="34"/>
      <c r="NE132" s="34"/>
      <c r="NF132" s="34"/>
      <c r="NG132" s="34"/>
      <c r="NH132" s="34"/>
      <c r="NI132" s="34"/>
      <c r="NJ132" s="34"/>
      <c r="NK132" s="34"/>
      <c r="NL132" s="34"/>
      <c r="NM132" s="34"/>
      <c r="NN132" s="34"/>
      <c r="NO132" s="34"/>
      <c r="NP132" s="34"/>
      <c r="NQ132" s="34"/>
      <c r="NR132" s="34"/>
      <c r="NS132" s="34"/>
      <c r="NT132" s="7">
        <f>COUNTIF(F132:NS132,"x")</f>
        <v>0</v>
      </c>
      <c r="NU132" s="81"/>
      <c r="NV132" s="32" t="str">
        <f>IF(NX132=0,"0",NX132/NX131)</f>
        <v>0</v>
      </c>
      <c r="NW132" s="37">
        <f t="shared" si="271"/>
        <v>0</v>
      </c>
      <c r="NX132" s="36">
        <f>COUNTIF(F132:AU132,"x")</f>
        <v>0</v>
      </c>
      <c r="NY132" s="81"/>
      <c r="NZ132" s="32" t="str">
        <f>IF(OB132=0,"0",OB132/OB131)</f>
        <v>0</v>
      </c>
      <c r="OA132" s="37">
        <f t="shared" si="272"/>
        <v>0</v>
      </c>
      <c r="OB132" s="36">
        <f>COUNTIF(AV132:CK132,"x")</f>
        <v>0</v>
      </c>
      <c r="OC132" s="81"/>
      <c r="OD132" s="32" t="str">
        <f>IF(OF132=0,"0",OF132/OF131)</f>
        <v>0</v>
      </c>
      <c r="OE132" s="37">
        <f t="shared" si="273"/>
        <v>0</v>
      </c>
      <c r="OF132" s="36">
        <f>COUNTIF(CL132:EA132,"x")</f>
        <v>0</v>
      </c>
      <c r="OG132" s="81"/>
      <c r="OH132" s="32" t="str">
        <f>IF(OJ132=0,"0",OJ132/OJ131)</f>
        <v>0</v>
      </c>
      <c r="OI132" s="37">
        <f t="shared" si="274"/>
        <v>0</v>
      </c>
      <c r="OJ132" s="36">
        <f>COUNTIF(EB132:FQ132,"x")</f>
        <v>0</v>
      </c>
      <c r="OK132" s="74"/>
      <c r="OL132" s="32" t="str">
        <f>IF(ON132=0,"0",ON132/ON131)</f>
        <v>0</v>
      </c>
      <c r="OM132" s="37">
        <f t="shared" si="275"/>
        <v>0</v>
      </c>
      <c r="ON132" s="36">
        <f>COUNTIF(FR132:HG132,"x")</f>
        <v>0</v>
      </c>
      <c r="OO132" s="74"/>
      <c r="OP132" s="32" t="str">
        <f>IF(OR132=0,"0",OR132/OR131)</f>
        <v>0</v>
      </c>
      <c r="OQ132" s="37">
        <f t="shared" si="276"/>
        <v>0</v>
      </c>
      <c r="OR132" s="36">
        <f>COUNTIF(HH132:IW132,"x")</f>
        <v>0</v>
      </c>
      <c r="OS132" s="74"/>
      <c r="OT132" s="32" t="str">
        <f>IF(OV132=0,"0",OV132/OV131)</f>
        <v>0</v>
      </c>
      <c r="OU132" s="37">
        <f t="shared" si="277"/>
        <v>0</v>
      </c>
      <c r="OV132" s="36">
        <f>COUNTIF(IX132:KM132,"x")</f>
        <v>0</v>
      </c>
      <c r="OW132" s="74"/>
      <c r="OX132" s="32" t="str">
        <f>IF(OZ132=0,"0",OZ132/OZ131)</f>
        <v>0</v>
      </c>
      <c r="OY132" s="37">
        <f t="shared" si="278"/>
        <v>0</v>
      </c>
      <c r="OZ132" s="36">
        <f>COUNTIF(KN132:MC132,"x")</f>
        <v>0</v>
      </c>
      <c r="PA132" s="74"/>
      <c r="PB132" s="32" t="str">
        <f>IF(PD132=0,"0",PD132/PD131)</f>
        <v>0</v>
      </c>
      <c r="PC132" s="37">
        <f t="shared" si="279"/>
        <v>0</v>
      </c>
      <c r="PD132" s="36">
        <f>COUNTIF(MD132:NS132,"x")</f>
        <v>0</v>
      </c>
      <c r="PE132" s="74"/>
    </row>
    <row r="133" spans="3:421" ht="15.75" customHeight="1" outlineLevel="1" x14ac:dyDescent="0.25">
      <c r="C133" s="88" t="s">
        <v>32</v>
      </c>
      <c r="D133" s="71" t="s">
        <v>70</v>
      </c>
      <c r="E133" s="53" t="s">
        <v>8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69"/>
      <c r="Q133" s="33"/>
      <c r="R133" s="33"/>
      <c r="S133" s="33"/>
      <c r="T133" s="33"/>
      <c r="U133" s="33"/>
      <c r="V133" s="33"/>
      <c r="W133" s="69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  <c r="HI133" s="33"/>
      <c r="HJ133" s="33"/>
      <c r="HK133" s="33"/>
      <c r="HL133" s="33"/>
      <c r="HM133" s="33"/>
      <c r="HN133" s="33"/>
      <c r="HO133" s="33"/>
      <c r="HP133" s="33"/>
      <c r="HQ133" s="33"/>
      <c r="HR133" s="33"/>
      <c r="HS133" s="33"/>
      <c r="HT133" s="33"/>
      <c r="HU133" s="33"/>
      <c r="HV133" s="33"/>
      <c r="HW133" s="33"/>
      <c r="HX133" s="33"/>
      <c r="HY133" s="33"/>
      <c r="HZ133" s="33"/>
      <c r="IA133" s="33"/>
      <c r="IB133" s="33"/>
      <c r="IC133" s="33"/>
      <c r="ID133" s="33"/>
      <c r="IE133" s="33"/>
      <c r="IF133" s="33"/>
      <c r="IG133" s="33"/>
      <c r="IH133" s="33"/>
      <c r="II133" s="33"/>
      <c r="IJ133" s="33"/>
      <c r="IK133" s="33"/>
      <c r="IL133" s="33"/>
      <c r="IM133" s="33"/>
      <c r="IN133" s="33"/>
      <c r="IO133" s="33"/>
      <c r="IP133" s="33"/>
      <c r="IQ133" s="33"/>
      <c r="IR133" s="33"/>
      <c r="IS133" s="33"/>
      <c r="IT133" s="33"/>
      <c r="IU133" s="33"/>
      <c r="IV133" s="33"/>
      <c r="IW133" s="33"/>
      <c r="IX133" s="33"/>
      <c r="IY133" s="33"/>
      <c r="IZ133" s="33"/>
      <c r="JA133" s="33"/>
      <c r="JB133" s="33"/>
      <c r="JC133" s="33"/>
      <c r="JD133" s="33"/>
      <c r="JE133" s="33"/>
      <c r="JF133" s="33"/>
      <c r="JG133" s="33"/>
      <c r="JH133" s="33"/>
      <c r="JI133" s="33"/>
      <c r="JJ133" s="33"/>
      <c r="JK133" s="33"/>
      <c r="JL133" s="33"/>
      <c r="JM133" s="33"/>
      <c r="JN133" s="33"/>
      <c r="JO133" s="33"/>
      <c r="JP133" s="33"/>
      <c r="JQ133" s="33"/>
      <c r="JR133" s="33"/>
      <c r="JS133" s="33"/>
      <c r="JT133" s="33"/>
      <c r="JU133" s="33"/>
      <c r="JV133" s="33"/>
      <c r="JW133" s="33"/>
      <c r="JX133" s="33"/>
      <c r="JY133" s="33"/>
      <c r="JZ133" s="33"/>
      <c r="KA133" s="33"/>
      <c r="KB133" s="33"/>
      <c r="KC133" s="33"/>
      <c r="KD133" s="33"/>
      <c r="KE133" s="33"/>
      <c r="KF133" s="33"/>
      <c r="KG133" s="33"/>
      <c r="KH133" s="33"/>
      <c r="KI133" s="33"/>
      <c r="KJ133" s="33"/>
      <c r="KK133" s="33"/>
      <c r="KL133" s="33"/>
      <c r="KM133" s="33"/>
      <c r="KN133" s="33"/>
      <c r="KO133" s="33"/>
      <c r="KP133" s="33"/>
      <c r="KQ133" s="33"/>
      <c r="KR133" s="33"/>
      <c r="KS133" s="33"/>
      <c r="KT133" s="33"/>
      <c r="KU133" s="33"/>
      <c r="KV133" s="33"/>
      <c r="KW133" s="33"/>
      <c r="KX133" s="33"/>
      <c r="KY133" s="33"/>
      <c r="KZ133" s="33"/>
      <c r="LA133" s="33"/>
      <c r="LB133" s="33"/>
      <c r="LC133" s="33"/>
      <c r="LD133" s="33"/>
      <c r="LE133" s="33"/>
      <c r="LF133" s="33"/>
      <c r="LG133" s="33"/>
      <c r="LH133" s="33"/>
      <c r="LI133" s="33"/>
      <c r="LJ133" s="33"/>
      <c r="LK133" s="33"/>
      <c r="LL133" s="33"/>
      <c r="LM133" s="33"/>
      <c r="LN133" s="33"/>
      <c r="LO133" s="33"/>
      <c r="LP133" s="33"/>
      <c r="LQ133" s="33"/>
      <c r="LR133" s="33"/>
      <c r="LS133" s="33"/>
      <c r="LT133" s="33"/>
      <c r="LU133" s="33"/>
      <c r="LV133" s="33"/>
      <c r="LW133" s="33"/>
      <c r="LX133" s="33"/>
      <c r="LY133" s="33"/>
      <c r="LZ133" s="33"/>
      <c r="MA133" s="33"/>
      <c r="MB133" s="33"/>
      <c r="MC133" s="33"/>
      <c r="MD133" s="33"/>
      <c r="ME133" s="33"/>
      <c r="MF133" s="33"/>
      <c r="MG133" s="33"/>
      <c r="MH133" s="33"/>
      <c r="MI133" s="33"/>
      <c r="MJ133" s="33"/>
      <c r="MK133" s="33"/>
      <c r="ML133" s="33"/>
      <c r="MM133" s="33"/>
      <c r="MN133" s="33"/>
      <c r="MO133" s="33"/>
      <c r="MP133" s="33"/>
      <c r="MQ133" s="33"/>
      <c r="MR133" s="33"/>
      <c r="MS133" s="33"/>
      <c r="MT133" s="33"/>
      <c r="MU133" s="33"/>
      <c r="MV133" s="33"/>
      <c r="MW133" s="33"/>
      <c r="MX133" s="33"/>
      <c r="MY133" s="33"/>
      <c r="MZ133" s="33"/>
      <c r="NA133" s="33"/>
      <c r="NB133" s="33"/>
      <c r="NC133" s="33"/>
      <c r="ND133" s="33"/>
      <c r="NE133" s="33"/>
      <c r="NF133" s="33"/>
      <c r="NG133" s="33"/>
      <c r="NH133" s="33"/>
      <c r="NI133" s="33"/>
      <c r="NJ133" s="33"/>
      <c r="NK133" s="33"/>
      <c r="NL133" s="33"/>
      <c r="NM133" s="33"/>
      <c r="NN133" s="33"/>
      <c r="NO133" s="33"/>
      <c r="NP133" s="33"/>
      <c r="NQ133" s="33"/>
      <c r="NR133" s="33"/>
      <c r="NS133" s="33"/>
      <c r="NT133" s="31">
        <f>COUNTIF(F133:NS133,"1")</f>
        <v>0</v>
      </c>
      <c r="NU133" s="80" t="e">
        <f>NT134/NT133</f>
        <v>#DIV/0!</v>
      </c>
      <c r="NV133" s="29">
        <f>+IF(NX133&gt;=1,"1",0)</f>
        <v>0</v>
      </c>
      <c r="NW133" s="38">
        <f t="shared" si="271"/>
        <v>1</v>
      </c>
      <c r="NX133" s="35">
        <f>COUNTIF(F133:AU133,"1")</f>
        <v>0</v>
      </c>
      <c r="NY133" s="80" t="e">
        <f t="shared" si="270"/>
        <v>#DIV/0!</v>
      </c>
      <c r="NZ133" s="29">
        <f>+IF(OB133&gt;=1,"1",0)</f>
        <v>0</v>
      </c>
      <c r="OA133" s="38">
        <f t="shared" si="272"/>
        <v>1</v>
      </c>
      <c r="OB133" s="35">
        <f>COUNTIF(AV133:CK133,"1")</f>
        <v>0</v>
      </c>
      <c r="OC133" s="80" t="e">
        <f>OB134/OB133</f>
        <v>#DIV/0!</v>
      </c>
      <c r="OD133" s="29">
        <f>+IF(OF133&gt;=1,"1",0)</f>
        <v>0</v>
      </c>
      <c r="OE133" s="38">
        <f t="shared" si="273"/>
        <v>1</v>
      </c>
      <c r="OF133" s="35">
        <f>COUNTIF(CL133:EA133,"1")</f>
        <v>0</v>
      </c>
      <c r="OG133" s="80" t="e">
        <f>OF134/OF133</f>
        <v>#DIV/0!</v>
      </c>
      <c r="OH133" s="29">
        <f>+IF(OJ133&gt;=1,"1",0)</f>
        <v>0</v>
      </c>
      <c r="OI133" s="38">
        <f t="shared" si="274"/>
        <v>1</v>
      </c>
      <c r="OJ133" s="35">
        <f>COUNTIF(EB133:FQ133,"1")</f>
        <v>0</v>
      </c>
      <c r="OK133" s="79" t="e">
        <f>OJ134/OJ133</f>
        <v>#DIV/0!</v>
      </c>
      <c r="OL133" s="29">
        <f>+IF(ON133&gt;=1,"1",0)</f>
        <v>0</v>
      </c>
      <c r="OM133" s="38">
        <f t="shared" si="275"/>
        <v>1</v>
      </c>
      <c r="ON133" s="35">
        <f>COUNTIF(FR133:HG133,"1")</f>
        <v>0</v>
      </c>
      <c r="OO133" s="79" t="e">
        <f>ON134/ON133</f>
        <v>#DIV/0!</v>
      </c>
      <c r="OP133" s="29">
        <f>+IF(OR133&gt;=1,"1",0)</f>
        <v>0</v>
      </c>
      <c r="OQ133" s="38">
        <f t="shared" si="276"/>
        <v>1</v>
      </c>
      <c r="OR133" s="35">
        <f>COUNTIF(HH133:IW133,"1")</f>
        <v>0</v>
      </c>
      <c r="OS133" s="79" t="e">
        <f>OR134/OR133</f>
        <v>#DIV/0!</v>
      </c>
      <c r="OT133" s="29">
        <f>+IF(OV133&gt;=1,"1",0)</f>
        <v>0</v>
      </c>
      <c r="OU133" s="38">
        <f t="shared" si="277"/>
        <v>1</v>
      </c>
      <c r="OV133" s="35">
        <f>COUNTIF(IX133:KM133,"1")</f>
        <v>0</v>
      </c>
      <c r="OW133" s="79" t="e">
        <f>OV134/OV133</f>
        <v>#DIV/0!</v>
      </c>
      <c r="OX133" s="29">
        <f>+IF(OZ133&gt;=1,"1",0)</f>
        <v>0</v>
      </c>
      <c r="OY133" s="38">
        <f t="shared" si="278"/>
        <v>1</v>
      </c>
      <c r="OZ133" s="35">
        <f>COUNTIF(KN133:MC133,"1")</f>
        <v>0</v>
      </c>
      <c r="PA133" s="79" t="e">
        <f>OZ134/OZ133</f>
        <v>#DIV/0!</v>
      </c>
      <c r="PB133" s="29">
        <f>+IF(PD133&gt;=1,"1",0)</f>
        <v>0</v>
      </c>
      <c r="PC133" s="38">
        <f t="shared" si="279"/>
        <v>1</v>
      </c>
      <c r="PD133" s="35">
        <f>COUNTIF(MD133:NS133,"1")</f>
        <v>0</v>
      </c>
      <c r="PE133" s="79" t="e">
        <f>PD134/PD133</f>
        <v>#DIV/0!</v>
      </c>
    </row>
    <row r="134" spans="3:421" ht="15.75" customHeight="1" outlineLevel="1" thickBot="1" x14ac:dyDescent="0.3">
      <c r="C134" s="89"/>
      <c r="D134" s="72"/>
      <c r="E134" s="54" t="s">
        <v>9</v>
      </c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70"/>
      <c r="Q134" s="34"/>
      <c r="R134" s="34"/>
      <c r="S134" s="34"/>
      <c r="T134" s="34"/>
      <c r="U134" s="34"/>
      <c r="V134" s="34"/>
      <c r="W134" s="70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  <c r="HB134" s="34"/>
      <c r="HC134" s="34"/>
      <c r="HD134" s="34"/>
      <c r="HE134" s="34"/>
      <c r="HF134" s="34"/>
      <c r="HG134" s="34"/>
      <c r="HH134" s="34"/>
      <c r="HI134" s="34"/>
      <c r="HJ134" s="34"/>
      <c r="HK134" s="34"/>
      <c r="HL134" s="34"/>
      <c r="HM134" s="34"/>
      <c r="HN134" s="34"/>
      <c r="HO134" s="34"/>
      <c r="HP134" s="34"/>
      <c r="HQ134" s="34"/>
      <c r="HR134" s="34"/>
      <c r="HS134" s="34"/>
      <c r="HT134" s="34"/>
      <c r="HU134" s="34"/>
      <c r="HV134" s="34"/>
      <c r="HW134" s="34"/>
      <c r="HX134" s="34"/>
      <c r="HY134" s="34"/>
      <c r="HZ134" s="34"/>
      <c r="IA134" s="34"/>
      <c r="IB134" s="34"/>
      <c r="IC134" s="34"/>
      <c r="ID134" s="34"/>
      <c r="IE134" s="34"/>
      <c r="IF134" s="34"/>
      <c r="IG134" s="34"/>
      <c r="IH134" s="34"/>
      <c r="II134" s="34"/>
      <c r="IJ134" s="34"/>
      <c r="IK134" s="34"/>
      <c r="IL134" s="34"/>
      <c r="IM134" s="34"/>
      <c r="IN134" s="34"/>
      <c r="IO134" s="34"/>
      <c r="IP134" s="34"/>
      <c r="IQ134" s="34"/>
      <c r="IR134" s="34"/>
      <c r="IS134" s="34"/>
      <c r="IT134" s="34"/>
      <c r="IU134" s="34"/>
      <c r="IV134" s="34"/>
      <c r="IW134" s="34"/>
      <c r="IX134" s="34"/>
      <c r="IY134" s="34"/>
      <c r="IZ134" s="34"/>
      <c r="JA134" s="34"/>
      <c r="JB134" s="34"/>
      <c r="JC134" s="34"/>
      <c r="JD134" s="34"/>
      <c r="JE134" s="34"/>
      <c r="JF134" s="34"/>
      <c r="JG134" s="34"/>
      <c r="JH134" s="34"/>
      <c r="JI134" s="34"/>
      <c r="JJ134" s="34"/>
      <c r="JK134" s="34"/>
      <c r="JL134" s="34"/>
      <c r="JM134" s="34"/>
      <c r="JN134" s="34"/>
      <c r="JO134" s="34"/>
      <c r="JP134" s="34"/>
      <c r="JQ134" s="34"/>
      <c r="JR134" s="34"/>
      <c r="JS134" s="34"/>
      <c r="JT134" s="34"/>
      <c r="JU134" s="34"/>
      <c r="JV134" s="34"/>
      <c r="JW134" s="34"/>
      <c r="JX134" s="34"/>
      <c r="JY134" s="34"/>
      <c r="JZ134" s="34"/>
      <c r="KA134" s="34"/>
      <c r="KB134" s="34"/>
      <c r="KC134" s="34"/>
      <c r="KD134" s="34"/>
      <c r="KE134" s="34"/>
      <c r="KF134" s="34"/>
      <c r="KG134" s="34"/>
      <c r="KH134" s="34"/>
      <c r="KI134" s="34"/>
      <c r="KJ134" s="34"/>
      <c r="KK134" s="34"/>
      <c r="KL134" s="34"/>
      <c r="KM134" s="34"/>
      <c r="KN134" s="34"/>
      <c r="KO134" s="34"/>
      <c r="KP134" s="34"/>
      <c r="KQ134" s="34"/>
      <c r="KR134" s="34"/>
      <c r="KS134" s="34"/>
      <c r="KT134" s="34"/>
      <c r="KU134" s="34"/>
      <c r="KV134" s="34"/>
      <c r="KW134" s="34"/>
      <c r="KX134" s="34"/>
      <c r="KY134" s="34"/>
      <c r="KZ134" s="34"/>
      <c r="LA134" s="34"/>
      <c r="LB134" s="34"/>
      <c r="LC134" s="34"/>
      <c r="LD134" s="34"/>
      <c r="LE134" s="34"/>
      <c r="LF134" s="34"/>
      <c r="LG134" s="34"/>
      <c r="LH134" s="34"/>
      <c r="LI134" s="34"/>
      <c r="LJ134" s="34"/>
      <c r="LK134" s="34"/>
      <c r="LL134" s="34"/>
      <c r="LM134" s="34"/>
      <c r="LN134" s="34"/>
      <c r="LO134" s="34"/>
      <c r="LP134" s="34"/>
      <c r="LQ134" s="34"/>
      <c r="LR134" s="34"/>
      <c r="LS134" s="34"/>
      <c r="LT134" s="34"/>
      <c r="LU134" s="34"/>
      <c r="LV134" s="34"/>
      <c r="LW134" s="34"/>
      <c r="LX134" s="34"/>
      <c r="LY134" s="34"/>
      <c r="LZ134" s="34"/>
      <c r="MA134" s="34"/>
      <c r="MB134" s="34"/>
      <c r="MC134" s="34"/>
      <c r="MD134" s="34"/>
      <c r="ME134" s="34"/>
      <c r="MF134" s="34"/>
      <c r="MG134" s="34"/>
      <c r="MH134" s="34"/>
      <c r="MI134" s="34"/>
      <c r="MJ134" s="34"/>
      <c r="MK134" s="34"/>
      <c r="ML134" s="34"/>
      <c r="MM134" s="34"/>
      <c r="MN134" s="34"/>
      <c r="MO134" s="34"/>
      <c r="MP134" s="34"/>
      <c r="MQ134" s="34"/>
      <c r="MR134" s="34"/>
      <c r="MS134" s="34"/>
      <c r="MT134" s="34"/>
      <c r="MU134" s="34"/>
      <c r="MV134" s="34"/>
      <c r="MW134" s="34"/>
      <c r="MX134" s="34"/>
      <c r="MY134" s="34"/>
      <c r="MZ134" s="34"/>
      <c r="NA134" s="34"/>
      <c r="NB134" s="34"/>
      <c r="NC134" s="34"/>
      <c r="ND134" s="34"/>
      <c r="NE134" s="34"/>
      <c r="NF134" s="34"/>
      <c r="NG134" s="34"/>
      <c r="NH134" s="34"/>
      <c r="NI134" s="34"/>
      <c r="NJ134" s="34"/>
      <c r="NK134" s="34"/>
      <c r="NL134" s="34"/>
      <c r="NM134" s="34"/>
      <c r="NN134" s="34"/>
      <c r="NO134" s="34"/>
      <c r="NP134" s="34"/>
      <c r="NQ134" s="34"/>
      <c r="NR134" s="34"/>
      <c r="NS134" s="34"/>
      <c r="NT134" s="7">
        <f>COUNTIF(F134:NS134,"x")</f>
        <v>0</v>
      </c>
      <c r="NU134" s="81"/>
      <c r="NV134" s="32" t="str">
        <f>IF(NX134=0,"0",NX134/NX133)</f>
        <v>0</v>
      </c>
      <c r="NW134" s="37">
        <f t="shared" si="271"/>
        <v>0</v>
      </c>
      <c r="NX134" s="36">
        <f>COUNTIF(F134:AU134,"x")</f>
        <v>0</v>
      </c>
      <c r="NY134" s="81"/>
      <c r="NZ134" s="32" t="str">
        <f>IF(OB134=0,"0",OB134/OB133)</f>
        <v>0</v>
      </c>
      <c r="OA134" s="37">
        <f t="shared" si="272"/>
        <v>0</v>
      </c>
      <c r="OB134" s="36">
        <f>COUNTIF(AV134:CK134,"x")</f>
        <v>0</v>
      </c>
      <c r="OC134" s="81"/>
      <c r="OD134" s="32" t="str">
        <f>IF(OF134=0,"0",OF134/OF133)</f>
        <v>0</v>
      </c>
      <c r="OE134" s="37">
        <f t="shared" si="273"/>
        <v>0</v>
      </c>
      <c r="OF134" s="36">
        <f>COUNTIF(CL134:EA134,"x")</f>
        <v>0</v>
      </c>
      <c r="OG134" s="81"/>
      <c r="OH134" s="32" t="str">
        <f>IF(OJ134=0,"0",OJ134/OJ133)</f>
        <v>0</v>
      </c>
      <c r="OI134" s="37">
        <f t="shared" si="274"/>
        <v>0</v>
      </c>
      <c r="OJ134" s="36">
        <f>COUNTIF(EB134:FQ134,"x")</f>
        <v>0</v>
      </c>
      <c r="OK134" s="74"/>
      <c r="OL134" s="32" t="str">
        <f>IF(ON134=0,"0",ON134/ON133)</f>
        <v>0</v>
      </c>
      <c r="OM134" s="37">
        <f t="shared" si="275"/>
        <v>0</v>
      </c>
      <c r="ON134" s="36">
        <f>COUNTIF(FR134:HG134,"x")</f>
        <v>0</v>
      </c>
      <c r="OO134" s="74"/>
      <c r="OP134" s="32" t="str">
        <f>IF(OR134=0,"0",OR134/OR133)</f>
        <v>0</v>
      </c>
      <c r="OQ134" s="37">
        <f t="shared" si="276"/>
        <v>0</v>
      </c>
      <c r="OR134" s="36">
        <f>COUNTIF(HH134:IW134,"x")</f>
        <v>0</v>
      </c>
      <c r="OS134" s="74"/>
      <c r="OT134" s="32" t="str">
        <f>IF(OV134=0,"0",OV134/OV133)</f>
        <v>0</v>
      </c>
      <c r="OU134" s="37">
        <f t="shared" si="277"/>
        <v>0</v>
      </c>
      <c r="OV134" s="36">
        <f>COUNTIF(IX134:KM134,"x")</f>
        <v>0</v>
      </c>
      <c r="OW134" s="74"/>
      <c r="OX134" s="32" t="str">
        <f>IF(OZ134=0,"0",OZ134/OZ133)</f>
        <v>0</v>
      </c>
      <c r="OY134" s="37">
        <f t="shared" si="278"/>
        <v>0</v>
      </c>
      <c r="OZ134" s="36">
        <f>COUNTIF(KN134:MC134,"x")</f>
        <v>0</v>
      </c>
      <c r="PA134" s="74"/>
      <c r="PB134" s="32" t="str">
        <f>IF(PD134=0,"0",PD134/PD133)</f>
        <v>0</v>
      </c>
      <c r="PC134" s="37">
        <f t="shared" si="279"/>
        <v>0</v>
      </c>
      <c r="PD134" s="36">
        <f>COUNTIF(MD134:NS134,"x")</f>
        <v>0</v>
      </c>
      <c r="PE134" s="74"/>
    </row>
    <row r="135" spans="3:421" ht="15.75" customHeight="1" outlineLevel="1" x14ac:dyDescent="0.25">
      <c r="C135" s="82" t="s">
        <v>34</v>
      </c>
      <c r="D135" s="71" t="s">
        <v>20</v>
      </c>
      <c r="E135" s="53" t="s">
        <v>8</v>
      </c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69"/>
      <c r="Q135" s="33"/>
      <c r="R135" s="33"/>
      <c r="S135" s="33"/>
      <c r="T135" s="33"/>
      <c r="U135" s="33"/>
      <c r="V135" s="33"/>
      <c r="W135" s="69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  <c r="HI135" s="33"/>
      <c r="HJ135" s="33"/>
      <c r="HK135" s="33"/>
      <c r="HL135" s="33"/>
      <c r="HM135" s="33"/>
      <c r="HN135" s="33"/>
      <c r="HO135" s="33"/>
      <c r="HP135" s="33"/>
      <c r="HQ135" s="33"/>
      <c r="HR135" s="33"/>
      <c r="HS135" s="33"/>
      <c r="HT135" s="33"/>
      <c r="HU135" s="33"/>
      <c r="HV135" s="33"/>
      <c r="HW135" s="33"/>
      <c r="HX135" s="33"/>
      <c r="HY135" s="33"/>
      <c r="HZ135" s="33"/>
      <c r="IA135" s="33"/>
      <c r="IB135" s="33"/>
      <c r="IC135" s="33"/>
      <c r="ID135" s="33"/>
      <c r="IE135" s="33"/>
      <c r="IF135" s="33"/>
      <c r="IG135" s="33"/>
      <c r="IH135" s="33"/>
      <c r="II135" s="33"/>
      <c r="IJ135" s="33"/>
      <c r="IK135" s="33"/>
      <c r="IL135" s="33"/>
      <c r="IM135" s="33"/>
      <c r="IN135" s="33"/>
      <c r="IO135" s="33"/>
      <c r="IP135" s="33"/>
      <c r="IQ135" s="33"/>
      <c r="IR135" s="33"/>
      <c r="IS135" s="33"/>
      <c r="IT135" s="33"/>
      <c r="IU135" s="33"/>
      <c r="IV135" s="33"/>
      <c r="IW135" s="33"/>
      <c r="IX135" s="33"/>
      <c r="IY135" s="33"/>
      <c r="IZ135" s="33"/>
      <c r="JA135" s="33"/>
      <c r="JB135" s="33"/>
      <c r="JC135" s="33"/>
      <c r="JD135" s="33"/>
      <c r="JE135" s="33"/>
      <c r="JF135" s="33"/>
      <c r="JG135" s="33"/>
      <c r="JH135" s="33"/>
      <c r="JI135" s="33"/>
      <c r="JJ135" s="33"/>
      <c r="JK135" s="33"/>
      <c r="JL135" s="33"/>
      <c r="JM135" s="33"/>
      <c r="JN135" s="33"/>
      <c r="JO135" s="33"/>
      <c r="JP135" s="33"/>
      <c r="JQ135" s="33"/>
      <c r="JR135" s="33"/>
      <c r="JS135" s="33"/>
      <c r="JT135" s="33"/>
      <c r="JU135" s="33"/>
      <c r="JV135" s="33"/>
      <c r="JW135" s="33"/>
      <c r="JX135" s="33"/>
      <c r="JY135" s="33"/>
      <c r="JZ135" s="33"/>
      <c r="KA135" s="33"/>
      <c r="KB135" s="33"/>
      <c r="KC135" s="33"/>
      <c r="KD135" s="33"/>
      <c r="KE135" s="33"/>
      <c r="KF135" s="33"/>
      <c r="KG135" s="33"/>
      <c r="KH135" s="33"/>
      <c r="KI135" s="33"/>
      <c r="KJ135" s="33"/>
      <c r="KK135" s="33"/>
      <c r="KL135" s="33"/>
      <c r="KM135" s="33"/>
      <c r="KN135" s="33"/>
      <c r="KO135" s="33"/>
      <c r="KP135" s="33"/>
      <c r="KQ135" s="33"/>
      <c r="KR135" s="33"/>
      <c r="KS135" s="33"/>
      <c r="KT135" s="33"/>
      <c r="KU135" s="33"/>
      <c r="KV135" s="33"/>
      <c r="KW135" s="33"/>
      <c r="KX135" s="33"/>
      <c r="KY135" s="33"/>
      <c r="KZ135" s="33"/>
      <c r="LA135" s="33"/>
      <c r="LB135" s="33"/>
      <c r="LC135" s="33"/>
      <c r="LD135" s="33"/>
      <c r="LE135" s="33"/>
      <c r="LF135" s="33"/>
      <c r="LG135" s="33"/>
      <c r="LH135" s="33"/>
      <c r="LI135" s="33"/>
      <c r="LJ135" s="33"/>
      <c r="LK135" s="33"/>
      <c r="LL135" s="33"/>
      <c r="LM135" s="33"/>
      <c r="LN135" s="33"/>
      <c r="LO135" s="33"/>
      <c r="LP135" s="33"/>
      <c r="LQ135" s="33"/>
      <c r="LR135" s="33"/>
      <c r="LS135" s="33"/>
      <c r="LT135" s="33"/>
      <c r="LU135" s="33"/>
      <c r="LV135" s="33"/>
      <c r="LW135" s="33"/>
      <c r="LX135" s="33"/>
      <c r="LY135" s="33"/>
      <c r="LZ135" s="33"/>
      <c r="MA135" s="33"/>
      <c r="MB135" s="33"/>
      <c r="MC135" s="33"/>
      <c r="MD135" s="33"/>
      <c r="ME135" s="33"/>
      <c r="MF135" s="33"/>
      <c r="MG135" s="33"/>
      <c r="MH135" s="33"/>
      <c r="MI135" s="33"/>
      <c r="MJ135" s="33"/>
      <c r="MK135" s="33"/>
      <c r="ML135" s="33"/>
      <c r="MM135" s="33"/>
      <c r="MN135" s="33"/>
      <c r="MO135" s="33"/>
      <c r="MP135" s="33"/>
      <c r="MQ135" s="33"/>
      <c r="MR135" s="33"/>
      <c r="MS135" s="33"/>
      <c r="MT135" s="33"/>
      <c r="MU135" s="33"/>
      <c r="MV135" s="33"/>
      <c r="MW135" s="33"/>
      <c r="MX135" s="33"/>
      <c r="MY135" s="33"/>
      <c r="MZ135" s="33"/>
      <c r="NA135" s="33"/>
      <c r="NB135" s="33"/>
      <c r="NC135" s="33"/>
      <c r="ND135" s="33"/>
      <c r="NE135" s="33"/>
      <c r="NF135" s="33"/>
      <c r="NG135" s="33"/>
      <c r="NH135" s="33"/>
      <c r="NI135" s="33"/>
      <c r="NJ135" s="33"/>
      <c r="NK135" s="33"/>
      <c r="NL135" s="33"/>
      <c r="NM135" s="33"/>
      <c r="NN135" s="33"/>
      <c r="NO135" s="33"/>
      <c r="NP135" s="33"/>
      <c r="NQ135" s="33"/>
      <c r="NR135" s="33"/>
      <c r="NS135" s="33"/>
      <c r="NT135" s="31">
        <f>COUNTIF(F135:NS135,"1")</f>
        <v>0</v>
      </c>
      <c r="NU135" s="80" t="e">
        <f>NT136/NT135</f>
        <v>#DIV/0!</v>
      </c>
      <c r="NV135" s="29">
        <f>+IF(NX135&gt;=1,"1",0)</f>
        <v>0</v>
      </c>
      <c r="NW135" s="38">
        <f t="shared" si="271"/>
        <v>1</v>
      </c>
      <c r="NX135" s="35">
        <f>COUNTIF(F135:AU135,"1")</f>
        <v>0</v>
      </c>
      <c r="NY135" s="80" t="e">
        <f t="shared" si="270"/>
        <v>#DIV/0!</v>
      </c>
      <c r="NZ135" s="29">
        <f>+IF(OB135&gt;=1,"1",0)</f>
        <v>0</v>
      </c>
      <c r="OA135" s="38">
        <f t="shared" si="272"/>
        <v>1</v>
      </c>
      <c r="OB135" s="35">
        <f>COUNTIF(AV135:CK135,"1")</f>
        <v>0</v>
      </c>
      <c r="OC135" s="80" t="e">
        <f>OB136/OB135</f>
        <v>#DIV/0!</v>
      </c>
      <c r="OD135" s="29">
        <f>+IF(OF135&gt;=1,"1",0)</f>
        <v>0</v>
      </c>
      <c r="OE135" s="38">
        <f t="shared" si="273"/>
        <v>1</v>
      </c>
      <c r="OF135" s="35">
        <f>COUNTIF(CL135:EA135,"1")</f>
        <v>0</v>
      </c>
      <c r="OG135" s="80" t="e">
        <f>OF136/OF135</f>
        <v>#DIV/0!</v>
      </c>
      <c r="OH135" s="29">
        <f>+IF(OJ135&gt;=1,"1",0)</f>
        <v>0</v>
      </c>
      <c r="OI135" s="38">
        <f t="shared" si="274"/>
        <v>1</v>
      </c>
      <c r="OJ135" s="35">
        <f>COUNTIF(EB135:FQ135,"1")</f>
        <v>0</v>
      </c>
      <c r="OK135" s="79" t="e">
        <f>OJ136/OJ135</f>
        <v>#DIV/0!</v>
      </c>
      <c r="OL135" s="29">
        <f>+IF(ON135&gt;=1,"1",0)</f>
        <v>0</v>
      </c>
      <c r="OM135" s="38">
        <f t="shared" si="275"/>
        <v>1</v>
      </c>
      <c r="ON135" s="35">
        <f>COUNTIF(FR135:HG135,"1")</f>
        <v>0</v>
      </c>
      <c r="OO135" s="79" t="e">
        <f>ON136/ON135</f>
        <v>#DIV/0!</v>
      </c>
      <c r="OP135" s="29">
        <f>+IF(OR135&gt;=1,"1",0)</f>
        <v>0</v>
      </c>
      <c r="OQ135" s="38">
        <f t="shared" si="276"/>
        <v>1</v>
      </c>
      <c r="OR135" s="35">
        <f>COUNTIF(HH135:IW135,"1")</f>
        <v>0</v>
      </c>
      <c r="OS135" s="79" t="e">
        <f>OR136/OR135</f>
        <v>#DIV/0!</v>
      </c>
      <c r="OT135" s="29">
        <f>+IF(OV135&gt;=1,"1",0)</f>
        <v>0</v>
      </c>
      <c r="OU135" s="38">
        <f t="shared" si="277"/>
        <v>1</v>
      </c>
      <c r="OV135" s="35">
        <f>COUNTIF(IX135:KM135,"1")</f>
        <v>0</v>
      </c>
      <c r="OW135" s="79" t="e">
        <f>OV136/OV135</f>
        <v>#DIV/0!</v>
      </c>
      <c r="OX135" s="29">
        <f>+IF(OZ135&gt;=1,"1",0)</f>
        <v>0</v>
      </c>
      <c r="OY135" s="38">
        <f t="shared" si="278"/>
        <v>1</v>
      </c>
      <c r="OZ135" s="35">
        <f>COUNTIF(KN135:MC135,"1")</f>
        <v>0</v>
      </c>
      <c r="PA135" s="79" t="e">
        <f>OZ136/OZ135</f>
        <v>#DIV/0!</v>
      </c>
      <c r="PB135" s="29">
        <f>+IF(PD135&gt;=1,"1",0)</f>
        <v>0</v>
      </c>
      <c r="PC135" s="38">
        <f t="shared" si="279"/>
        <v>1</v>
      </c>
      <c r="PD135" s="35">
        <f>COUNTIF(MD135:NS135,"1")</f>
        <v>0</v>
      </c>
      <c r="PE135" s="79" t="e">
        <f>PD136/PD135</f>
        <v>#DIV/0!</v>
      </c>
    </row>
    <row r="136" spans="3:421" ht="15.75" customHeight="1" outlineLevel="1" thickBot="1" x14ac:dyDescent="0.3">
      <c r="C136" s="83"/>
      <c r="D136" s="72"/>
      <c r="E136" s="54" t="s">
        <v>9</v>
      </c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70"/>
      <c r="Q136" s="34"/>
      <c r="R136" s="34"/>
      <c r="S136" s="34"/>
      <c r="T136" s="34"/>
      <c r="U136" s="34"/>
      <c r="V136" s="34"/>
      <c r="W136" s="70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  <c r="HB136" s="34"/>
      <c r="HC136" s="34"/>
      <c r="HD136" s="34"/>
      <c r="HE136" s="34"/>
      <c r="HF136" s="34"/>
      <c r="HG136" s="34"/>
      <c r="HH136" s="34"/>
      <c r="HI136" s="34"/>
      <c r="HJ136" s="34"/>
      <c r="HK136" s="34"/>
      <c r="HL136" s="34"/>
      <c r="HM136" s="34"/>
      <c r="HN136" s="34"/>
      <c r="HO136" s="34"/>
      <c r="HP136" s="34"/>
      <c r="HQ136" s="34"/>
      <c r="HR136" s="34"/>
      <c r="HS136" s="34"/>
      <c r="HT136" s="34"/>
      <c r="HU136" s="34"/>
      <c r="HV136" s="34"/>
      <c r="HW136" s="34"/>
      <c r="HX136" s="34"/>
      <c r="HY136" s="34"/>
      <c r="HZ136" s="34"/>
      <c r="IA136" s="34"/>
      <c r="IB136" s="34"/>
      <c r="IC136" s="34"/>
      <c r="ID136" s="34"/>
      <c r="IE136" s="34"/>
      <c r="IF136" s="34"/>
      <c r="IG136" s="34"/>
      <c r="IH136" s="34"/>
      <c r="II136" s="34"/>
      <c r="IJ136" s="34"/>
      <c r="IK136" s="34"/>
      <c r="IL136" s="34"/>
      <c r="IM136" s="34"/>
      <c r="IN136" s="34"/>
      <c r="IO136" s="34"/>
      <c r="IP136" s="34"/>
      <c r="IQ136" s="34"/>
      <c r="IR136" s="34"/>
      <c r="IS136" s="34"/>
      <c r="IT136" s="34"/>
      <c r="IU136" s="34"/>
      <c r="IV136" s="34"/>
      <c r="IW136" s="34"/>
      <c r="IX136" s="34"/>
      <c r="IY136" s="34"/>
      <c r="IZ136" s="34"/>
      <c r="JA136" s="34"/>
      <c r="JB136" s="34"/>
      <c r="JC136" s="34"/>
      <c r="JD136" s="34"/>
      <c r="JE136" s="34"/>
      <c r="JF136" s="34"/>
      <c r="JG136" s="34"/>
      <c r="JH136" s="34"/>
      <c r="JI136" s="34"/>
      <c r="JJ136" s="34"/>
      <c r="JK136" s="34"/>
      <c r="JL136" s="34"/>
      <c r="JM136" s="34"/>
      <c r="JN136" s="34"/>
      <c r="JO136" s="34"/>
      <c r="JP136" s="34"/>
      <c r="JQ136" s="34"/>
      <c r="JR136" s="34"/>
      <c r="JS136" s="34"/>
      <c r="JT136" s="34"/>
      <c r="JU136" s="34"/>
      <c r="JV136" s="34"/>
      <c r="JW136" s="34"/>
      <c r="JX136" s="34"/>
      <c r="JY136" s="34"/>
      <c r="JZ136" s="34"/>
      <c r="KA136" s="34"/>
      <c r="KB136" s="34"/>
      <c r="KC136" s="34"/>
      <c r="KD136" s="34"/>
      <c r="KE136" s="34"/>
      <c r="KF136" s="34"/>
      <c r="KG136" s="34"/>
      <c r="KH136" s="34"/>
      <c r="KI136" s="34"/>
      <c r="KJ136" s="34"/>
      <c r="KK136" s="34"/>
      <c r="KL136" s="34"/>
      <c r="KM136" s="34"/>
      <c r="KN136" s="34"/>
      <c r="KO136" s="34"/>
      <c r="KP136" s="34"/>
      <c r="KQ136" s="34"/>
      <c r="KR136" s="34"/>
      <c r="KS136" s="34"/>
      <c r="KT136" s="34"/>
      <c r="KU136" s="34"/>
      <c r="KV136" s="34"/>
      <c r="KW136" s="34"/>
      <c r="KX136" s="34"/>
      <c r="KY136" s="34"/>
      <c r="KZ136" s="34"/>
      <c r="LA136" s="34"/>
      <c r="LB136" s="34"/>
      <c r="LC136" s="34"/>
      <c r="LD136" s="34"/>
      <c r="LE136" s="34"/>
      <c r="LF136" s="34"/>
      <c r="LG136" s="34"/>
      <c r="LH136" s="34"/>
      <c r="LI136" s="34"/>
      <c r="LJ136" s="34"/>
      <c r="LK136" s="34"/>
      <c r="LL136" s="34"/>
      <c r="LM136" s="34"/>
      <c r="LN136" s="34"/>
      <c r="LO136" s="34"/>
      <c r="LP136" s="34"/>
      <c r="LQ136" s="34"/>
      <c r="LR136" s="34"/>
      <c r="LS136" s="34"/>
      <c r="LT136" s="34"/>
      <c r="LU136" s="34"/>
      <c r="LV136" s="34"/>
      <c r="LW136" s="34"/>
      <c r="LX136" s="34"/>
      <c r="LY136" s="34"/>
      <c r="LZ136" s="34"/>
      <c r="MA136" s="34"/>
      <c r="MB136" s="34"/>
      <c r="MC136" s="34"/>
      <c r="MD136" s="34"/>
      <c r="ME136" s="34"/>
      <c r="MF136" s="34"/>
      <c r="MG136" s="34"/>
      <c r="MH136" s="34"/>
      <c r="MI136" s="34"/>
      <c r="MJ136" s="34"/>
      <c r="MK136" s="34"/>
      <c r="ML136" s="34"/>
      <c r="MM136" s="34"/>
      <c r="MN136" s="34"/>
      <c r="MO136" s="34"/>
      <c r="MP136" s="34"/>
      <c r="MQ136" s="34"/>
      <c r="MR136" s="34"/>
      <c r="MS136" s="34"/>
      <c r="MT136" s="34"/>
      <c r="MU136" s="34"/>
      <c r="MV136" s="34"/>
      <c r="MW136" s="34"/>
      <c r="MX136" s="34"/>
      <c r="MY136" s="34"/>
      <c r="MZ136" s="34"/>
      <c r="NA136" s="34"/>
      <c r="NB136" s="34"/>
      <c r="NC136" s="34"/>
      <c r="ND136" s="34"/>
      <c r="NE136" s="34"/>
      <c r="NF136" s="34"/>
      <c r="NG136" s="34"/>
      <c r="NH136" s="34"/>
      <c r="NI136" s="34"/>
      <c r="NJ136" s="34"/>
      <c r="NK136" s="34"/>
      <c r="NL136" s="34"/>
      <c r="NM136" s="34"/>
      <c r="NN136" s="34"/>
      <c r="NO136" s="34"/>
      <c r="NP136" s="34"/>
      <c r="NQ136" s="34"/>
      <c r="NR136" s="34"/>
      <c r="NS136" s="34"/>
      <c r="NT136" s="7">
        <f>COUNTIF(F136:NS136,"x")</f>
        <v>0</v>
      </c>
      <c r="NU136" s="81"/>
      <c r="NV136" s="32" t="str">
        <f>IF(NX136=0,"0",NX136/NX135)</f>
        <v>0</v>
      </c>
      <c r="NW136" s="37">
        <f t="shared" si="271"/>
        <v>0</v>
      </c>
      <c r="NX136" s="36">
        <f>COUNTIF(F136:AU136,"x")</f>
        <v>0</v>
      </c>
      <c r="NY136" s="81"/>
      <c r="NZ136" s="32" t="str">
        <f>IF(OB136=0,"0",OB136/OB135)</f>
        <v>0</v>
      </c>
      <c r="OA136" s="37">
        <f t="shared" si="272"/>
        <v>0</v>
      </c>
      <c r="OB136" s="36">
        <f>COUNTIF(AV136:CK136,"x")</f>
        <v>0</v>
      </c>
      <c r="OC136" s="81"/>
      <c r="OD136" s="32" t="str">
        <f>IF(OF136=0,"0",OF136/OF135)</f>
        <v>0</v>
      </c>
      <c r="OE136" s="37">
        <f t="shared" si="273"/>
        <v>0</v>
      </c>
      <c r="OF136" s="36">
        <f>COUNTIF(CL136:EA136,"x")</f>
        <v>0</v>
      </c>
      <c r="OG136" s="81"/>
      <c r="OH136" s="32" t="str">
        <f>IF(OJ136=0,"0",OJ136/OJ135)</f>
        <v>0</v>
      </c>
      <c r="OI136" s="37">
        <f t="shared" si="274"/>
        <v>0</v>
      </c>
      <c r="OJ136" s="36">
        <f>COUNTIF(EB136:FQ136,"x")</f>
        <v>0</v>
      </c>
      <c r="OK136" s="74"/>
      <c r="OL136" s="32" t="str">
        <f>IF(ON136=0,"0",ON136/ON135)</f>
        <v>0</v>
      </c>
      <c r="OM136" s="37">
        <f t="shared" si="275"/>
        <v>0</v>
      </c>
      <c r="ON136" s="36">
        <f>COUNTIF(FR136:HG136,"x")</f>
        <v>0</v>
      </c>
      <c r="OO136" s="74"/>
      <c r="OP136" s="32" t="str">
        <f>IF(OR136=0,"0",OR136/OR135)</f>
        <v>0</v>
      </c>
      <c r="OQ136" s="37">
        <f t="shared" si="276"/>
        <v>0</v>
      </c>
      <c r="OR136" s="36">
        <f>COUNTIF(HH136:IW136,"x")</f>
        <v>0</v>
      </c>
      <c r="OS136" s="74"/>
      <c r="OT136" s="32" t="str">
        <f>IF(OV136=0,"0",OV136/OV135)</f>
        <v>0</v>
      </c>
      <c r="OU136" s="37">
        <f t="shared" si="277"/>
        <v>0</v>
      </c>
      <c r="OV136" s="36">
        <f>COUNTIF(IX136:KM136,"x")</f>
        <v>0</v>
      </c>
      <c r="OW136" s="74"/>
      <c r="OX136" s="32" t="str">
        <f>IF(OZ136=0,"0",OZ136/OZ135)</f>
        <v>0</v>
      </c>
      <c r="OY136" s="37">
        <f t="shared" si="278"/>
        <v>0</v>
      </c>
      <c r="OZ136" s="36">
        <f>COUNTIF(KN136:MC136,"x")</f>
        <v>0</v>
      </c>
      <c r="PA136" s="74"/>
      <c r="PB136" s="32" t="str">
        <f>IF(PD136=0,"0",PD136/PD135)</f>
        <v>0</v>
      </c>
      <c r="PC136" s="37">
        <f t="shared" si="279"/>
        <v>0</v>
      </c>
      <c r="PD136" s="36">
        <f>COUNTIF(MD136:NS136,"x")</f>
        <v>0</v>
      </c>
      <c r="PE136" s="74"/>
    </row>
    <row r="137" spans="3:421" ht="15.75" customHeight="1" outlineLevel="1" x14ac:dyDescent="0.25">
      <c r="C137" s="82" t="s">
        <v>35</v>
      </c>
      <c r="D137" s="71" t="s">
        <v>20</v>
      </c>
      <c r="E137" s="53" t="s">
        <v>8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69"/>
      <c r="Q137" s="33"/>
      <c r="R137" s="33"/>
      <c r="S137" s="33"/>
      <c r="T137" s="33"/>
      <c r="U137" s="33"/>
      <c r="V137" s="33"/>
      <c r="W137" s="69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  <c r="HI137" s="33"/>
      <c r="HJ137" s="33"/>
      <c r="HK137" s="33"/>
      <c r="HL137" s="33"/>
      <c r="HM137" s="33"/>
      <c r="HN137" s="33"/>
      <c r="HO137" s="33"/>
      <c r="HP137" s="33"/>
      <c r="HQ137" s="33"/>
      <c r="HR137" s="33"/>
      <c r="HS137" s="33"/>
      <c r="HT137" s="33"/>
      <c r="HU137" s="33"/>
      <c r="HV137" s="33"/>
      <c r="HW137" s="33"/>
      <c r="HX137" s="33"/>
      <c r="HY137" s="33"/>
      <c r="HZ137" s="33"/>
      <c r="IA137" s="33"/>
      <c r="IB137" s="33"/>
      <c r="IC137" s="33"/>
      <c r="ID137" s="33"/>
      <c r="IE137" s="33"/>
      <c r="IF137" s="33"/>
      <c r="IG137" s="33"/>
      <c r="IH137" s="33"/>
      <c r="II137" s="33"/>
      <c r="IJ137" s="33"/>
      <c r="IK137" s="33"/>
      <c r="IL137" s="33"/>
      <c r="IM137" s="33"/>
      <c r="IN137" s="33"/>
      <c r="IO137" s="33"/>
      <c r="IP137" s="33"/>
      <c r="IQ137" s="33"/>
      <c r="IR137" s="33"/>
      <c r="IS137" s="33"/>
      <c r="IT137" s="33"/>
      <c r="IU137" s="33"/>
      <c r="IV137" s="33"/>
      <c r="IW137" s="33"/>
      <c r="IX137" s="33"/>
      <c r="IY137" s="33"/>
      <c r="IZ137" s="33"/>
      <c r="JA137" s="33"/>
      <c r="JB137" s="33"/>
      <c r="JC137" s="33"/>
      <c r="JD137" s="33"/>
      <c r="JE137" s="33"/>
      <c r="JF137" s="33"/>
      <c r="JG137" s="33"/>
      <c r="JH137" s="33"/>
      <c r="JI137" s="33"/>
      <c r="JJ137" s="33"/>
      <c r="JK137" s="33"/>
      <c r="JL137" s="33"/>
      <c r="JM137" s="33"/>
      <c r="JN137" s="33"/>
      <c r="JO137" s="33"/>
      <c r="JP137" s="33"/>
      <c r="JQ137" s="33"/>
      <c r="JR137" s="33"/>
      <c r="JS137" s="33"/>
      <c r="JT137" s="33"/>
      <c r="JU137" s="33"/>
      <c r="JV137" s="33"/>
      <c r="JW137" s="33"/>
      <c r="JX137" s="33"/>
      <c r="JY137" s="33"/>
      <c r="JZ137" s="33"/>
      <c r="KA137" s="33"/>
      <c r="KB137" s="33"/>
      <c r="KC137" s="33"/>
      <c r="KD137" s="33"/>
      <c r="KE137" s="33"/>
      <c r="KF137" s="33"/>
      <c r="KG137" s="33"/>
      <c r="KH137" s="33"/>
      <c r="KI137" s="33"/>
      <c r="KJ137" s="33"/>
      <c r="KK137" s="33"/>
      <c r="KL137" s="33"/>
      <c r="KM137" s="33"/>
      <c r="KN137" s="33"/>
      <c r="KO137" s="33"/>
      <c r="KP137" s="33"/>
      <c r="KQ137" s="33"/>
      <c r="KR137" s="33"/>
      <c r="KS137" s="33"/>
      <c r="KT137" s="33"/>
      <c r="KU137" s="33"/>
      <c r="KV137" s="33"/>
      <c r="KW137" s="33"/>
      <c r="KX137" s="33"/>
      <c r="KY137" s="33"/>
      <c r="KZ137" s="33"/>
      <c r="LA137" s="33"/>
      <c r="LB137" s="33"/>
      <c r="LC137" s="33"/>
      <c r="LD137" s="33"/>
      <c r="LE137" s="33"/>
      <c r="LF137" s="33"/>
      <c r="LG137" s="33"/>
      <c r="LH137" s="33"/>
      <c r="LI137" s="33"/>
      <c r="LJ137" s="33"/>
      <c r="LK137" s="33"/>
      <c r="LL137" s="33"/>
      <c r="LM137" s="33"/>
      <c r="LN137" s="33"/>
      <c r="LO137" s="33"/>
      <c r="LP137" s="33"/>
      <c r="LQ137" s="33"/>
      <c r="LR137" s="33"/>
      <c r="LS137" s="33"/>
      <c r="LT137" s="33"/>
      <c r="LU137" s="33"/>
      <c r="LV137" s="33"/>
      <c r="LW137" s="33"/>
      <c r="LX137" s="33"/>
      <c r="LY137" s="33"/>
      <c r="LZ137" s="33"/>
      <c r="MA137" s="33"/>
      <c r="MB137" s="33"/>
      <c r="MC137" s="33"/>
      <c r="MD137" s="33"/>
      <c r="ME137" s="33"/>
      <c r="MF137" s="33"/>
      <c r="MG137" s="33"/>
      <c r="MH137" s="33"/>
      <c r="MI137" s="33"/>
      <c r="MJ137" s="33"/>
      <c r="MK137" s="33"/>
      <c r="ML137" s="33"/>
      <c r="MM137" s="33"/>
      <c r="MN137" s="33"/>
      <c r="MO137" s="33"/>
      <c r="MP137" s="33"/>
      <c r="MQ137" s="33"/>
      <c r="MR137" s="33"/>
      <c r="MS137" s="33"/>
      <c r="MT137" s="33"/>
      <c r="MU137" s="33"/>
      <c r="MV137" s="33"/>
      <c r="MW137" s="33"/>
      <c r="MX137" s="33"/>
      <c r="MY137" s="33"/>
      <c r="MZ137" s="33"/>
      <c r="NA137" s="33"/>
      <c r="NB137" s="33"/>
      <c r="NC137" s="33"/>
      <c r="ND137" s="33"/>
      <c r="NE137" s="33"/>
      <c r="NF137" s="33"/>
      <c r="NG137" s="33"/>
      <c r="NH137" s="33"/>
      <c r="NI137" s="33"/>
      <c r="NJ137" s="33"/>
      <c r="NK137" s="33"/>
      <c r="NL137" s="33"/>
      <c r="NM137" s="33"/>
      <c r="NN137" s="33"/>
      <c r="NO137" s="33"/>
      <c r="NP137" s="33"/>
      <c r="NQ137" s="33"/>
      <c r="NR137" s="33"/>
      <c r="NS137" s="33"/>
      <c r="NT137" s="31">
        <f>COUNTIF(F137:NS137,"1")</f>
        <v>0</v>
      </c>
      <c r="NU137" s="80" t="e">
        <f>NT138/NT137</f>
        <v>#DIV/0!</v>
      </c>
      <c r="NV137" s="29">
        <f>+IF(NX137&gt;=1,"1",0)</f>
        <v>0</v>
      </c>
      <c r="NW137" s="38">
        <f t="shared" si="271"/>
        <v>1</v>
      </c>
      <c r="NX137" s="35">
        <f>COUNTIF(F137:AU137,"1")</f>
        <v>0</v>
      </c>
      <c r="NY137" s="80" t="e">
        <f t="shared" si="270"/>
        <v>#DIV/0!</v>
      </c>
      <c r="NZ137" s="29">
        <f>+IF(OB137&gt;=1,"1",0)</f>
        <v>0</v>
      </c>
      <c r="OA137" s="38">
        <f t="shared" si="272"/>
        <v>1</v>
      </c>
      <c r="OB137" s="35">
        <f>COUNTIF(AV137:CK137,"1")</f>
        <v>0</v>
      </c>
      <c r="OC137" s="80" t="e">
        <f>OB138/OB137</f>
        <v>#DIV/0!</v>
      </c>
      <c r="OD137" s="29">
        <f>+IF(OF137&gt;=1,"1",0)</f>
        <v>0</v>
      </c>
      <c r="OE137" s="38">
        <f t="shared" si="273"/>
        <v>1</v>
      </c>
      <c r="OF137" s="35">
        <f>COUNTIF(CL137:EA137,"1")</f>
        <v>0</v>
      </c>
      <c r="OG137" s="80" t="e">
        <f>OF138/OF137</f>
        <v>#DIV/0!</v>
      </c>
      <c r="OH137" s="29">
        <f>+IF(OJ137&gt;=1,"1",0)</f>
        <v>0</v>
      </c>
      <c r="OI137" s="38">
        <f t="shared" si="274"/>
        <v>1</v>
      </c>
      <c r="OJ137" s="35">
        <f>COUNTIF(EB137:FQ137,"1")</f>
        <v>0</v>
      </c>
      <c r="OK137" s="79" t="e">
        <f>OJ138/OJ137</f>
        <v>#DIV/0!</v>
      </c>
      <c r="OL137" s="29">
        <f>+IF(ON137&gt;=1,"1",0)</f>
        <v>0</v>
      </c>
      <c r="OM137" s="38">
        <f t="shared" si="275"/>
        <v>1</v>
      </c>
      <c r="ON137" s="35">
        <f>COUNTIF(FR137:HG137,"1")</f>
        <v>0</v>
      </c>
      <c r="OO137" s="79" t="e">
        <f>ON138/ON137</f>
        <v>#DIV/0!</v>
      </c>
      <c r="OP137" s="29">
        <f>+IF(OR137&gt;=1,"1",0)</f>
        <v>0</v>
      </c>
      <c r="OQ137" s="38">
        <f t="shared" si="276"/>
        <v>1</v>
      </c>
      <c r="OR137" s="35">
        <f>COUNTIF(HH137:IW137,"1")</f>
        <v>0</v>
      </c>
      <c r="OS137" s="79" t="e">
        <f>OR138/OR137</f>
        <v>#DIV/0!</v>
      </c>
      <c r="OT137" s="29">
        <f>+IF(OV137&gt;=1,"1",0)</f>
        <v>0</v>
      </c>
      <c r="OU137" s="38">
        <f t="shared" si="277"/>
        <v>1</v>
      </c>
      <c r="OV137" s="35">
        <f>COUNTIF(IX137:KM137,"1")</f>
        <v>0</v>
      </c>
      <c r="OW137" s="79" t="e">
        <f>OV138/OV137</f>
        <v>#DIV/0!</v>
      </c>
      <c r="OX137" s="29">
        <f>+IF(OZ137&gt;=1,"1",0)</f>
        <v>0</v>
      </c>
      <c r="OY137" s="38">
        <f t="shared" si="278"/>
        <v>1</v>
      </c>
      <c r="OZ137" s="35">
        <f>COUNTIF(KN137:MC137,"1")</f>
        <v>0</v>
      </c>
      <c r="PA137" s="79" t="e">
        <f>OZ138/OZ137</f>
        <v>#DIV/0!</v>
      </c>
      <c r="PB137" s="29">
        <f>+IF(PD137&gt;=1,"1",0)</f>
        <v>0</v>
      </c>
      <c r="PC137" s="38">
        <f t="shared" si="279"/>
        <v>1</v>
      </c>
      <c r="PD137" s="35">
        <f>COUNTIF(MD137:NS137,"1")</f>
        <v>0</v>
      </c>
      <c r="PE137" s="79" t="e">
        <f>PD138/PD137</f>
        <v>#DIV/0!</v>
      </c>
    </row>
    <row r="138" spans="3:421" ht="15.75" customHeight="1" outlineLevel="1" thickBot="1" x14ac:dyDescent="0.3">
      <c r="C138" s="83"/>
      <c r="D138" s="72"/>
      <c r="E138" s="54" t="s">
        <v>9</v>
      </c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70"/>
      <c r="Q138" s="34"/>
      <c r="R138" s="34"/>
      <c r="S138" s="34"/>
      <c r="T138" s="34"/>
      <c r="U138" s="34"/>
      <c r="V138" s="34"/>
      <c r="W138" s="70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  <c r="HI138" s="34"/>
      <c r="HJ138" s="34"/>
      <c r="HK138" s="34"/>
      <c r="HL138" s="34"/>
      <c r="HM138" s="34"/>
      <c r="HN138" s="34"/>
      <c r="HO138" s="34"/>
      <c r="HP138" s="34"/>
      <c r="HQ138" s="34"/>
      <c r="HR138" s="34"/>
      <c r="HS138" s="34"/>
      <c r="HT138" s="34"/>
      <c r="HU138" s="34"/>
      <c r="HV138" s="34"/>
      <c r="HW138" s="34"/>
      <c r="HX138" s="34"/>
      <c r="HY138" s="34"/>
      <c r="HZ138" s="34"/>
      <c r="IA138" s="34"/>
      <c r="IB138" s="34"/>
      <c r="IC138" s="34"/>
      <c r="ID138" s="34"/>
      <c r="IE138" s="34"/>
      <c r="IF138" s="34"/>
      <c r="IG138" s="34"/>
      <c r="IH138" s="34"/>
      <c r="II138" s="34"/>
      <c r="IJ138" s="34"/>
      <c r="IK138" s="34"/>
      <c r="IL138" s="34"/>
      <c r="IM138" s="34"/>
      <c r="IN138" s="34"/>
      <c r="IO138" s="34"/>
      <c r="IP138" s="34"/>
      <c r="IQ138" s="34"/>
      <c r="IR138" s="34"/>
      <c r="IS138" s="34"/>
      <c r="IT138" s="34"/>
      <c r="IU138" s="34"/>
      <c r="IV138" s="34"/>
      <c r="IW138" s="34"/>
      <c r="IX138" s="34"/>
      <c r="IY138" s="34"/>
      <c r="IZ138" s="34"/>
      <c r="JA138" s="34"/>
      <c r="JB138" s="34"/>
      <c r="JC138" s="34"/>
      <c r="JD138" s="34"/>
      <c r="JE138" s="34"/>
      <c r="JF138" s="34"/>
      <c r="JG138" s="34"/>
      <c r="JH138" s="34"/>
      <c r="JI138" s="34"/>
      <c r="JJ138" s="34"/>
      <c r="JK138" s="34"/>
      <c r="JL138" s="34"/>
      <c r="JM138" s="34"/>
      <c r="JN138" s="34"/>
      <c r="JO138" s="34"/>
      <c r="JP138" s="34"/>
      <c r="JQ138" s="34"/>
      <c r="JR138" s="34"/>
      <c r="JS138" s="34"/>
      <c r="JT138" s="34"/>
      <c r="JU138" s="34"/>
      <c r="JV138" s="34"/>
      <c r="JW138" s="34"/>
      <c r="JX138" s="34"/>
      <c r="JY138" s="34"/>
      <c r="JZ138" s="34"/>
      <c r="KA138" s="34"/>
      <c r="KB138" s="34"/>
      <c r="KC138" s="34"/>
      <c r="KD138" s="34"/>
      <c r="KE138" s="34"/>
      <c r="KF138" s="34"/>
      <c r="KG138" s="34"/>
      <c r="KH138" s="34"/>
      <c r="KI138" s="34"/>
      <c r="KJ138" s="34"/>
      <c r="KK138" s="34"/>
      <c r="KL138" s="34"/>
      <c r="KM138" s="34"/>
      <c r="KN138" s="34"/>
      <c r="KO138" s="34"/>
      <c r="KP138" s="34"/>
      <c r="KQ138" s="34"/>
      <c r="KR138" s="34"/>
      <c r="KS138" s="34"/>
      <c r="KT138" s="34"/>
      <c r="KU138" s="34"/>
      <c r="KV138" s="34"/>
      <c r="KW138" s="34"/>
      <c r="KX138" s="34"/>
      <c r="KY138" s="34"/>
      <c r="KZ138" s="34"/>
      <c r="LA138" s="34"/>
      <c r="LB138" s="34"/>
      <c r="LC138" s="34"/>
      <c r="LD138" s="34"/>
      <c r="LE138" s="34"/>
      <c r="LF138" s="34"/>
      <c r="LG138" s="34"/>
      <c r="LH138" s="34"/>
      <c r="LI138" s="34"/>
      <c r="LJ138" s="34"/>
      <c r="LK138" s="34"/>
      <c r="LL138" s="34"/>
      <c r="LM138" s="34"/>
      <c r="LN138" s="34"/>
      <c r="LO138" s="34"/>
      <c r="LP138" s="34"/>
      <c r="LQ138" s="34"/>
      <c r="LR138" s="34"/>
      <c r="LS138" s="34"/>
      <c r="LT138" s="34"/>
      <c r="LU138" s="34"/>
      <c r="LV138" s="34"/>
      <c r="LW138" s="34"/>
      <c r="LX138" s="34"/>
      <c r="LY138" s="34"/>
      <c r="LZ138" s="34"/>
      <c r="MA138" s="34"/>
      <c r="MB138" s="34"/>
      <c r="MC138" s="34"/>
      <c r="MD138" s="34"/>
      <c r="ME138" s="34"/>
      <c r="MF138" s="34"/>
      <c r="MG138" s="34"/>
      <c r="MH138" s="34"/>
      <c r="MI138" s="34"/>
      <c r="MJ138" s="34"/>
      <c r="MK138" s="34"/>
      <c r="ML138" s="34"/>
      <c r="MM138" s="34"/>
      <c r="MN138" s="34"/>
      <c r="MO138" s="34"/>
      <c r="MP138" s="34"/>
      <c r="MQ138" s="34"/>
      <c r="MR138" s="34"/>
      <c r="MS138" s="34"/>
      <c r="MT138" s="34"/>
      <c r="MU138" s="34"/>
      <c r="MV138" s="34"/>
      <c r="MW138" s="34"/>
      <c r="MX138" s="34"/>
      <c r="MY138" s="34"/>
      <c r="MZ138" s="34"/>
      <c r="NA138" s="34"/>
      <c r="NB138" s="34"/>
      <c r="NC138" s="34"/>
      <c r="ND138" s="34"/>
      <c r="NE138" s="34"/>
      <c r="NF138" s="34"/>
      <c r="NG138" s="34"/>
      <c r="NH138" s="34"/>
      <c r="NI138" s="34"/>
      <c r="NJ138" s="34"/>
      <c r="NK138" s="34"/>
      <c r="NL138" s="34"/>
      <c r="NM138" s="34"/>
      <c r="NN138" s="34"/>
      <c r="NO138" s="34"/>
      <c r="NP138" s="34"/>
      <c r="NQ138" s="34"/>
      <c r="NR138" s="34"/>
      <c r="NS138" s="34"/>
      <c r="NT138" s="7">
        <f>COUNTIF(F138:NS138,"x")</f>
        <v>0</v>
      </c>
      <c r="NU138" s="81"/>
      <c r="NV138" s="32" t="str">
        <f>IF(NX138=0,"0",NX138/NX137)</f>
        <v>0</v>
      </c>
      <c r="NW138" s="37">
        <f t="shared" si="271"/>
        <v>0</v>
      </c>
      <c r="NX138" s="36">
        <f>COUNTIF(F138:AU138,"x")</f>
        <v>0</v>
      </c>
      <c r="NY138" s="81"/>
      <c r="NZ138" s="32" t="str">
        <f>IF(OB138=0,"0",OB138/OB137)</f>
        <v>0</v>
      </c>
      <c r="OA138" s="37">
        <f t="shared" si="272"/>
        <v>0</v>
      </c>
      <c r="OB138" s="36">
        <f>COUNTIF(AV138:CK138,"x")</f>
        <v>0</v>
      </c>
      <c r="OC138" s="81"/>
      <c r="OD138" s="32" t="str">
        <f>IF(OF138=0,"0",OF138/OF137)</f>
        <v>0</v>
      </c>
      <c r="OE138" s="37">
        <f t="shared" si="273"/>
        <v>0</v>
      </c>
      <c r="OF138" s="36">
        <f>COUNTIF(CL138:EA138,"x")</f>
        <v>0</v>
      </c>
      <c r="OG138" s="81"/>
      <c r="OH138" s="32" t="str">
        <f>IF(OJ138=0,"0",OJ138/OJ137)</f>
        <v>0</v>
      </c>
      <c r="OI138" s="37">
        <f t="shared" si="274"/>
        <v>0</v>
      </c>
      <c r="OJ138" s="36">
        <f>COUNTIF(EB138:FQ138,"x")</f>
        <v>0</v>
      </c>
      <c r="OK138" s="74"/>
      <c r="OL138" s="32" t="str">
        <f>IF(ON138=0,"0",ON138/ON137)</f>
        <v>0</v>
      </c>
      <c r="OM138" s="37">
        <f t="shared" si="275"/>
        <v>0</v>
      </c>
      <c r="ON138" s="36">
        <f>COUNTIF(FR138:HG138,"x")</f>
        <v>0</v>
      </c>
      <c r="OO138" s="74"/>
      <c r="OP138" s="32" t="str">
        <f>IF(OR138=0,"0",OR138/OR137)</f>
        <v>0</v>
      </c>
      <c r="OQ138" s="37">
        <f t="shared" si="276"/>
        <v>0</v>
      </c>
      <c r="OR138" s="36">
        <f>COUNTIF(HH138:IW138,"x")</f>
        <v>0</v>
      </c>
      <c r="OS138" s="74"/>
      <c r="OT138" s="32" t="str">
        <f>IF(OV138=0,"0",OV138/OV137)</f>
        <v>0</v>
      </c>
      <c r="OU138" s="37">
        <f t="shared" si="277"/>
        <v>0</v>
      </c>
      <c r="OV138" s="36">
        <f>COUNTIF(IX138:KM138,"x")</f>
        <v>0</v>
      </c>
      <c r="OW138" s="74"/>
      <c r="OX138" s="32" t="str">
        <f>IF(OZ138=0,"0",OZ138/OZ137)</f>
        <v>0</v>
      </c>
      <c r="OY138" s="37">
        <f t="shared" si="278"/>
        <v>0</v>
      </c>
      <c r="OZ138" s="36">
        <f>COUNTIF(KN138:MC138,"x")</f>
        <v>0</v>
      </c>
      <c r="PA138" s="74"/>
      <c r="PB138" s="32" t="str">
        <f>IF(PD138=0,"0",PD138/PD137)</f>
        <v>0</v>
      </c>
      <c r="PC138" s="37">
        <f t="shared" si="279"/>
        <v>0</v>
      </c>
      <c r="PD138" s="36">
        <f>COUNTIF(MD138:NS138,"x")</f>
        <v>0</v>
      </c>
      <c r="PE138" s="74"/>
    </row>
    <row r="139" spans="3:421" ht="15.75" customHeight="1" outlineLevel="1" x14ac:dyDescent="0.25">
      <c r="C139" s="82" t="s">
        <v>36</v>
      </c>
      <c r="D139" s="71" t="s">
        <v>20</v>
      </c>
      <c r="E139" s="53" t="s">
        <v>8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69"/>
      <c r="Q139" s="33"/>
      <c r="R139" s="33"/>
      <c r="S139" s="33"/>
      <c r="T139" s="33"/>
      <c r="U139" s="33"/>
      <c r="V139" s="33"/>
      <c r="W139" s="69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  <c r="HI139" s="33"/>
      <c r="HJ139" s="33"/>
      <c r="HK139" s="33"/>
      <c r="HL139" s="33"/>
      <c r="HM139" s="33"/>
      <c r="HN139" s="33"/>
      <c r="HO139" s="33"/>
      <c r="HP139" s="33"/>
      <c r="HQ139" s="33"/>
      <c r="HR139" s="33"/>
      <c r="HS139" s="33"/>
      <c r="HT139" s="33"/>
      <c r="HU139" s="33"/>
      <c r="HV139" s="33"/>
      <c r="HW139" s="33"/>
      <c r="HX139" s="33"/>
      <c r="HY139" s="33"/>
      <c r="HZ139" s="33"/>
      <c r="IA139" s="33"/>
      <c r="IB139" s="33"/>
      <c r="IC139" s="33"/>
      <c r="ID139" s="33"/>
      <c r="IE139" s="33"/>
      <c r="IF139" s="33"/>
      <c r="IG139" s="33"/>
      <c r="IH139" s="33"/>
      <c r="II139" s="33"/>
      <c r="IJ139" s="33"/>
      <c r="IK139" s="33"/>
      <c r="IL139" s="33"/>
      <c r="IM139" s="33"/>
      <c r="IN139" s="33"/>
      <c r="IO139" s="33"/>
      <c r="IP139" s="33"/>
      <c r="IQ139" s="33"/>
      <c r="IR139" s="33"/>
      <c r="IS139" s="33"/>
      <c r="IT139" s="33"/>
      <c r="IU139" s="33"/>
      <c r="IV139" s="33"/>
      <c r="IW139" s="33"/>
      <c r="IX139" s="33"/>
      <c r="IY139" s="33"/>
      <c r="IZ139" s="33"/>
      <c r="JA139" s="33"/>
      <c r="JB139" s="33"/>
      <c r="JC139" s="33"/>
      <c r="JD139" s="33"/>
      <c r="JE139" s="33"/>
      <c r="JF139" s="33"/>
      <c r="JG139" s="33"/>
      <c r="JH139" s="33"/>
      <c r="JI139" s="33"/>
      <c r="JJ139" s="33"/>
      <c r="JK139" s="33"/>
      <c r="JL139" s="33"/>
      <c r="JM139" s="33"/>
      <c r="JN139" s="33"/>
      <c r="JO139" s="33"/>
      <c r="JP139" s="33"/>
      <c r="JQ139" s="33"/>
      <c r="JR139" s="33"/>
      <c r="JS139" s="33"/>
      <c r="JT139" s="33"/>
      <c r="JU139" s="33"/>
      <c r="JV139" s="33"/>
      <c r="JW139" s="33"/>
      <c r="JX139" s="33"/>
      <c r="JY139" s="33"/>
      <c r="JZ139" s="33"/>
      <c r="KA139" s="33"/>
      <c r="KB139" s="33"/>
      <c r="KC139" s="33"/>
      <c r="KD139" s="33"/>
      <c r="KE139" s="33"/>
      <c r="KF139" s="33"/>
      <c r="KG139" s="33"/>
      <c r="KH139" s="33"/>
      <c r="KI139" s="33"/>
      <c r="KJ139" s="33"/>
      <c r="KK139" s="33"/>
      <c r="KL139" s="33"/>
      <c r="KM139" s="33"/>
      <c r="KN139" s="33"/>
      <c r="KO139" s="33"/>
      <c r="KP139" s="33"/>
      <c r="KQ139" s="33"/>
      <c r="KR139" s="33"/>
      <c r="KS139" s="33"/>
      <c r="KT139" s="33"/>
      <c r="KU139" s="33"/>
      <c r="KV139" s="33"/>
      <c r="KW139" s="33"/>
      <c r="KX139" s="33"/>
      <c r="KY139" s="33"/>
      <c r="KZ139" s="33"/>
      <c r="LA139" s="33"/>
      <c r="LB139" s="33"/>
      <c r="LC139" s="33"/>
      <c r="LD139" s="33"/>
      <c r="LE139" s="33"/>
      <c r="LF139" s="33"/>
      <c r="LG139" s="33"/>
      <c r="LH139" s="33"/>
      <c r="LI139" s="33"/>
      <c r="LJ139" s="33"/>
      <c r="LK139" s="33"/>
      <c r="LL139" s="33"/>
      <c r="LM139" s="33"/>
      <c r="LN139" s="33"/>
      <c r="LO139" s="33"/>
      <c r="LP139" s="33"/>
      <c r="LQ139" s="33"/>
      <c r="LR139" s="33"/>
      <c r="LS139" s="33"/>
      <c r="LT139" s="33"/>
      <c r="LU139" s="33"/>
      <c r="LV139" s="33"/>
      <c r="LW139" s="33"/>
      <c r="LX139" s="33"/>
      <c r="LY139" s="33"/>
      <c r="LZ139" s="33"/>
      <c r="MA139" s="33"/>
      <c r="MB139" s="33"/>
      <c r="MC139" s="33"/>
      <c r="MD139" s="33"/>
      <c r="ME139" s="33"/>
      <c r="MF139" s="33"/>
      <c r="MG139" s="33"/>
      <c r="MH139" s="33"/>
      <c r="MI139" s="33"/>
      <c r="MJ139" s="33"/>
      <c r="MK139" s="33"/>
      <c r="ML139" s="33"/>
      <c r="MM139" s="33"/>
      <c r="MN139" s="33"/>
      <c r="MO139" s="33"/>
      <c r="MP139" s="33"/>
      <c r="MQ139" s="33"/>
      <c r="MR139" s="33"/>
      <c r="MS139" s="33"/>
      <c r="MT139" s="33"/>
      <c r="MU139" s="33"/>
      <c r="MV139" s="33"/>
      <c r="MW139" s="33"/>
      <c r="MX139" s="33"/>
      <c r="MY139" s="33"/>
      <c r="MZ139" s="33"/>
      <c r="NA139" s="33"/>
      <c r="NB139" s="33"/>
      <c r="NC139" s="33"/>
      <c r="ND139" s="33"/>
      <c r="NE139" s="33"/>
      <c r="NF139" s="33"/>
      <c r="NG139" s="33"/>
      <c r="NH139" s="33"/>
      <c r="NI139" s="33"/>
      <c r="NJ139" s="33"/>
      <c r="NK139" s="33"/>
      <c r="NL139" s="33"/>
      <c r="NM139" s="33"/>
      <c r="NN139" s="33"/>
      <c r="NO139" s="33"/>
      <c r="NP139" s="33"/>
      <c r="NQ139" s="33"/>
      <c r="NR139" s="33"/>
      <c r="NS139" s="33"/>
      <c r="NT139" s="31">
        <f>COUNTIF(F139:NS139,"1")</f>
        <v>0</v>
      </c>
      <c r="NU139" s="80" t="e">
        <f>NT140/NT139</f>
        <v>#DIV/0!</v>
      </c>
      <c r="NV139" s="29">
        <f>+IF(NX139&gt;=1,"1",0)</f>
        <v>0</v>
      </c>
      <c r="NW139" s="38">
        <f t="shared" si="271"/>
        <v>1</v>
      </c>
      <c r="NX139" s="35">
        <f>COUNTIF(F139:AU139,"1")</f>
        <v>0</v>
      </c>
      <c r="NY139" s="80" t="e">
        <f t="shared" si="270"/>
        <v>#DIV/0!</v>
      </c>
      <c r="NZ139" s="29">
        <f>+IF(OB139&gt;=1,"1",0)</f>
        <v>0</v>
      </c>
      <c r="OA139" s="38">
        <f t="shared" si="272"/>
        <v>1</v>
      </c>
      <c r="OB139" s="35">
        <f>COUNTIF(AV139:CK139,"1")</f>
        <v>0</v>
      </c>
      <c r="OC139" s="80" t="e">
        <f>OB140/OB139</f>
        <v>#DIV/0!</v>
      </c>
      <c r="OD139" s="29">
        <f>+IF(OF139&gt;=1,"1",0)</f>
        <v>0</v>
      </c>
      <c r="OE139" s="38">
        <f t="shared" si="273"/>
        <v>1</v>
      </c>
      <c r="OF139" s="35">
        <f>COUNTIF(CL139:EA139,"1")</f>
        <v>0</v>
      </c>
      <c r="OG139" s="80" t="e">
        <f>OF140/OF139</f>
        <v>#DIV/0!</v>
      </c>
      <c r="OH139" s="29">
        <f>+IF(OJ139&gt;=1,"1",0)</f>
        <v>0</v>
      </c>
      <c r="OI139" s="38">
        <f t="shared" si="274"/>
        <v>1</v>
      </c>
      <c r="OJ139" s="35">
        <f>COUNTIF(EB139:FQ139,"1")</f>
        <v>0</v>
      </c>
      <c r="OK139" s="79" t="e">
        <f>OJ140/OJ139</f>
        <v>#DIV/0!</v>
      </c>
      <c r="OL139" s="29">
        <f>+IF(ON139&gt;=1,"1",0)</f>
        <v>0</v>
      </c>
      <c r="OM139" s="38">
        <f t="shared" si="275"/>
        <v>1</v>
      </c>
      <c r="ON139" s="35">
        <f>COUNTIF(FR139:HG139,"1")</f>
        <v>0</v>
      </c>
      <c r="OO139" s="79" t="e">
        <f>ON140/ON139</f>
        <v>#DIV/0!</v>
      </c>
      <c r="OP139" s="29">
        <f>+IF(OR139&gt;=1,"1",0)</f>
        <v>0</v>
      </c>
      <c r="OQ139" s="38">
        <f t="shared" si="276"/>
        <v>1</v>
      </c>
      <c r="OR139" s="35">
        <f>COUNTIF(HH139:IW139,"1")</f>
        <v>0</v>
      </c>
      <c r="OS139" s="79" t="e">
        <f>OR140/OR139</f>
        <v>#DIV/0!</v>
      </c>
      <c r="OT139" s="29">
        <f>+IF(OV139&gt;=1,"1",0)</f>
        <v>0</v>
      </c>
      <c r="OU139" s="38">
        <f t="shared" si="277"/>
        <v>1</v>
      </c>
      <c r="OV139" s="35">
        <f>COUNTIF(IX139:KM139,"1")</f>
        <v>0</v>
      </c>
      <c r="OW139" s="79" t="e">
        <f>OV140/OV139</f>
        <v>#DIV/0!</v>
      </c>
      <c r="OX139" s="29">
        <f>+IF(OZ139&gt;=1,"1",0)</f>
        <v>0</v>
      </c>
      <c r="OY139" s="38">
        <f t="shared" si="278"/>
        <v>1</v>
      </c>
      <c r="OZ139" s="35">
        <f>COUNTIF(KN139:MC139,"1")</f>
        <v>0</v>
      </c>
      <c r="PA139" s="79" t="e">
        <f>OZ140/OZ139</f>
        <v>#DIV/0!</v>
      </c>
      <c r="PB139" s="29">
        <f>+IF(PD139&gt;=1,"1",0)</f>
        <v>0</v>
      </c>
      <c r="PC139" s="38">
        <f t="shared" si="279"/>
        <v>1</v>
      </c>
      <c r="PD139" s="35">
        <f>COUNTIF(MD139:NS139,"1")</f>
        <v>0</v>
      </c>
      <c r="PE139" s="79" t="e">
        <f>PD140/PD139</f>
        <v>#DIV/0!</v>
      </c>
    </row>
    <row r="140" spans="3:421" ht="15.75" customHeight="1" outlineLevel="1" thickBot="1" x14ac:dyDescent="0.3">
      <c r="C140" s="83"/>
      <c r="D140" s="72"/>
      <c r="E140" s="54" t="s">
        <v>9</v>
      </c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70"/>
      <c r="Q140" s="34"/>
      <c r="R140" s="34"/>
      <c r="S140" s="34"/>
      <c r="T140" s="34"/>
      <c r="U140" s="34"/>
      <c r="V140" s="34"/>
      <c r="W140" s="70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  <c r="HI140" s="34"/>
      <c r="HJ140" s="34"/>
      <c r="HK140" s="34"/>
      <c r="HL140" s="34"/>
      <c r="HM140" s="34"/>
      <c r="HN140" s="34"/>
      <c r="HO140" s="34"/>
      <c r="HP140" s="34"/>
      <c r="HQ140" s="34"/>
      <c r="HR140" s="34"/>
      <c r="HS140" s="34"/>
      <c r="HT140" s="34"/>
      <c r="HU140" s="34"/>
      <c r="HV140" s="34"/>
      <c r="HW140" s="34"/>
      <c r="HX140" s="34"/>
      <c r="HY140" s="34"/>
      <c r="HZ140" s="34"/>
      <c r="IA140" s="34"/>
      <c r="IB140" s="34"/>
      <c r="IC140" s="34"/>
      <c r="ID140" s="34"/>
      <c r="IE140" s="34"/>
      <c r="IF140" s="34"/>
      <c r="IG140" s="34"/>
      <c r="IH140" s="34"/>
      <c r="II140" s="34"/>
      <c r="IJ140" s="34"/>
      <c r="IK140" s="34"/>
      <c r="IL140" s="34"/>
      <c r="IM140" s="34"/>
      <c r="IN140" s="34"/>
      <c r="IO140" s="34"/>
      <c r="IP140" s="34"/>
      <c r="IQ140" s="34"/>
      <c r="IR140" s="34"/>
      <c r="IS140" s="34"/>
      <c r="IT140" s="34"/>
      <c r="IU140" s="34"/>
      <c r="IV140" s="34"/>
      <c r="IW140" s="34"/>
      <c r="IX140" s="34"/>
      <c r="IY140" s="34"/>
      <c r="IZ140" s="34"/>
      <c r="JA140" s="34"/>
      <c r="JB140" s="34"/>
      <c r="JC140" s="34"/>
      <c r="JD140" s="34"/>
      <c r="JE140" s="34"/>
      <c r="JF140" s="34"/>
      <c r="JG140" s="34"/>
      <c r="JH140" s="34"/>
      <c r="JI140" s="34"/>
      <c r="JJ140" s="34"/>
      <c r="JK140" s="34"/>
      <c r="JL140" s="34"/>
      <c r="JM140" s="34"/>
      <c r="JN140" s="34"/>
      <c r="JO140" s="34"/>
      <c r="JP140" s="34"/>
      <c r="JQ140" s="34"/>
      <c r="JR140" s="34"/>
      <c r="JS140" s="34"/>
      <c r="JT140" s="34"/>
      <c r="JU140" s="34"/>
      <c r="JV140" s="34"/>
      <c r="JW140" s="34"/>
      <c r="JX140" s="34"/>
      <c r="JY140" s="34"/>
      <c r="JZ140" s="34"/>
      <c r="KA140" s="34"/>
      <c r="KB140" s="34"/>
      <c r="KC140" s="34"/>
      <c r="KD140" s="34"/>
      <c r="KE140" s="34"/>
      <c r="KF140" s="34"/>
      <c r="KG140" s="34"/>
      <c r="KH140" s="34"/>
      <c r="KI140" s="34"/>
      <c r="KJ140" s="34"/>
      <c r="KK140" s="34"/>
      <c r="KL140" s="34"/>
      <c r="KM140" s="34"/>
      <c r="KN140" s="34"/>
      <c r="KO140" s="34"/>
      <c r="KP140" s="34"/>
      <c r="KQ140" s="34"/>
      <c r="KR140" s="34"/>
      <c r="KS140" s="34"/>
      <c r="KT140" s="34"/>
      <c r="KU140" s="34"/>
      <c r="KV140" s="34"/>
      <c r="KW140" s="34"/>
      <c r="KX140" s="34"/>
      <c r="KY140" s="34"/>
      <c r="KZ140" s="34"/>
      <c r="LA140" s="34"/>
      <c r="LB140" s="34"/>
      <c r="LC140" s="34"/>
      <c r="LD140" s="34"/>
      <c r="LE140" s="34"/>
      <c r="LF140" s="34"/>
      <c r="LG140" s="34"/>
      <c r="LH140" s="34"/>
      <c r="LI140" s="34"/>
      <c r="LJ140" s="34"/>
      <c r="LK140" s="34"/>
      <c r="LL140" s="34"/>
      <c r="LM140" s="34"/>
      <c r="LN140" s="34"/>
      <c r="LO140" s="34"/>
      <c r="LP140" s="34"/>
      <c r="LQ140" s="34"/>
      <c r="LR140" s="34"/>
      <c r="LS140" s="34"/>
      <c r="LT140" s="34"/>
      <c r="LU140" s="34"/>
      <c r="LV140" s="34"/>
      <c r="LW140" s="34"/>
      <c r="LX140" s="34"/>
      <c r="LY140" s="34"/>
      <c r="LZ140" s="34"/>
      <c r="MA140" s="34"/>
      <c r="MB140" s="34"/>
      <c r="MC140" s="34"/>
      <c r="MD140" s="34"/>
      <c r="ME140" s="34"/>
      <c r="MF140" s="34"/>
      <c r="MG140" s="34"/>
      <c r="MH140" s="34"/>
      <c r="MI140" s="34"/>
      <c r="MJ140" s="34"/>
      <c r="MK140" s="34"/>
      <c r="ML140" s="34"/>
      <c r="MM140" s="34"/>
      <c r="MN140" s="34"/>
      <c r="MO140" s="34"/>
      <c r="MP140" s="34"/>
      <c r="MQ140" s="34"/>
      <c r="MR140" s="34"/>
      <c r="MS140" s="34"/>
      <c r="MT140" s="34"/>
      <c r="MU140" s="34"/>
      <c r="MV140" s="34"/>
      <c r="MW140" s="34"/>
      <c r="MX140" s="34"/>
      <c r="MY140" s="34"/>
      <c r="MZ140" s="34"/>
      <c r="NA140" s="34"/>
      <c r="NB140" s="34"/>
      <c r="NC140" s="34"/>
      <c r="ND140" s="34"/>
      <c r="NE140" s="34"/>
      <c r="NF140" s="34"/>
      <c r="NG140" s="34"/>
      <c r="NH140" s="34"/>
      <c r="NI140" s="34"/>
      <c r="NJ140" s="34"/>
      <c r="NK140" s="34"/>
      <c r="NL140" s="34"/>
      <c r="NM140" s="34"/>
      <c r="NN140" s="34"/>
      <c r="NO140" s="34"/>
      <c r="NP140" s="34"/>
      <c r="NQ140" s="34"/>
      <c r="NR140" s="34"/>
      <c r="NS140" s="34"/>
      <c r="NT140" s="7">
        <f>COUNTIF(F140:NS140,"x")</f>
        <v>0</v>
      </c>
      <c r="NU140" s="81"/>
      <c r="NV140" s="32" t="str">
        <f>IF(NX140=0,"0",NX140/NX139)</f>
        <v>0</v>
      </c>
      <c r="NW140" s="37">
        <f t="shared" si="271"/>
        <v>0</v>
      </c>
      <c r="NX140" s="36">
        <f>COUNTIF(F140:AU140,"x")</f>
        <v>0</v>
      </c>
      <c r="NY140" s="81"/>
      <c r="NZ140" s="32" t="str">
        <f>IF(OB140=0,"0",OB140/OB139)</f>
        <v>0</v>
      </c>
      <c r="OA140" s="37">
        <f t="shared" si="272"/>
        <v>0</v>
      </c>
      <c r="OB140" s="36">
        <f>COUNTIF(AV140:CK140,"x")</f>
        <v>0</v>
      </c>
      <c r="OC140" s="81"/>
      <c r="OD140" s="32" t="str">
        <f>IF(OF140=0,"0",OF140/OF139)</f>
        <v>0</v>
      </c>
      <c r="OE140" s="37">
        <f t="shared" si="273"/>
        <v>0</v>
      </c>
      <c r="OF140" s="36">
        <f>COUNTIF(CL140:EA140,"x")</f>
        <v>0</v>
      </c>
      <c r="OG140" s="81"/>
      <c r="OH140" s="32" t="str">
        <f>IF(OJ140=0,"0",OJ140/OJ139)</f>
        <v>0</v>
      </c>
      <c r="OI140" s="37">
        <f t="shared" si="274"/>
        <v>0</v>
      </c>
      <c r="OJ140" s="36">
        <f>COUNTIF(EB140:FQ140,"x")</f>
        <v>0</v>
      </c>
      <c r="OK140" s="74"/>
      <c r="OL140" s="32" t="str">
        <f>IF(ON140=0,"0",ON140/ON139)</f>
        <v>0</v>
      </c>
      <c r="OM140" s="37">
        <f t="shared" si="275"/>
        <v>0</v>
      </c>
      <c r="ON140" s="36">
        <f>COUNTIF(FR140:HG140,"x")</f>
        <v>0</v>
      </c>
      <c r="OO140" s="74"/>
      <c r="OP140" s="32" t="str">
        <f>IF(OR140=0,"0",OR140/OR139)</f>
        <v>0</v>
      </c>
      <c r="OQ140" s="37">
        <f t="shared" si="276"/>
        <v>0</v>
      </c>
      <c r="OR140" s="36">
        <f>COUNTIF(HH140:IW140,"x")</f>
        <v>0</v>
      </c>
      <c r="OS140" s="74"/>
      <c r="OT140" s="32" t="str">
        <f>IF(OV140=0,"0",OV140/OV139)</f>
        <v>0</v>
      </c>
      <c r="OU140" s="37">
        <f t="shared" si="277"/>
        <v>0</v>
      </c>
      <c r="OV140" s="36">
        <f>COUNTIF(IX140:KM140,"x")</f>
        <v>0</v>
      </c>
      <c r="OW140" s="74"/>
      <c r="OX140" s="32" t="str">
        <f>IF(OZ140=0,"0",OZ140/OZ139)</f>
        <v>0</v>
      </c>
      <c r="OY140" s="37">
        <f t="shared" si="278"/>
        <v>0</v>
      </c>
      <c r="OZ140" s="36">
        <f>COUNTIF(KN140:MC140,"x")</f>
        <v>0</v>
      </c>
      <c r="PA140" s="74"/>
      <c r="PB140" s="32" t="str">
        <f>IF(PD140=0,"0",PD140/PD139)</f>
        <v>0</v>
      </c>
      <c r="PC140" s="37">
        <f t="shared" si="279"/>
        <v>0</v>
      </c>
      <c r="PD140" s="36">
        <f>COUNTIF(MD140:NS140,"x")</f>
        <v>0</v>
      </c>
      <c r="PE140" s="74"/>
    </row>
    <row r="141" spans="3:421" ht="15.75" customHeight="1" outlineLevel="1" x14ac:dyDescent="0.25">
      <c r="C141" s="82" t="s">
        <v>37</v>
      </c>
      <c r="D141" s="71" t="s">
        <v>20</v>
      </c>
      <c r="E141" s="53" t="s">
        <v>8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69"/>
      <c r="Q141" s="33"/>
      <c r="R141" s="33"/>
      <c r="S141" s="33"/>
      <c r="T141" s="33"/>
      <c r="U141" s="33"/>
      <c r="V141" s="33"/>
      <c r="W141" s="69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  <c r="HI141" s="33"/>
      <c r="HJ141" s="33"/>
      <c r="HK141" s="33"/>
      <c r="HL141" s="33"/>
      <c r="HM141" s="33"/>
      <c r="HN141" s="33"/>
      <c r="HO141" s="33"/>
      <c r="HP141" s="33"/>
      <c r="HQ141" s="33"/>
      <c r="HR141" s="33"/>
      <c r="HS141" s="33"/>
      <c r="HT141" s="33"/>
      <c r="HU141" s="33"/>
      <c r="HV141" s="33"/>
      <c r="HW141" s="33"/>
      <c r="HX141" s="33"/>
      <c r="HY141" s="33"/>
      <c r="HZ141" s="33"/>
      <c r="IA141" s="33"/>
      <c r="IB141" s="33"/>
      <c r="IC141" s="33"/>
      <c r="ID141" s="33"/>
      <c r="IE141" s="33"/>
      <c r="IF141" s="33"/>
      <c r="IG141" s="33"/>
      <c r="IH141" s="33"/>
      <c r="II141" s="33"/>
      <c r="IJ141" s="33"/>
      <c r="IK141" s="33"/>
      <c r="IL141" s="33"/>
      <c r="IM141" s="33"/>
      <c r="IN141" s="33"/>
      <c r="IO141" s="33"/>
      <c r="IP141" s="33"/>
      <c r="IQ141" s="33"/>
      <c r="IR141" s="33"/>
      <c r="IS141" s="33"/>
      <c r="IT141" s="33"/>
      <c r="IU141" s="33"/>
      <c r="IV141" s="33"/>
      <c r="IW141" s="33"/>
      <c r="IX141" s="33"/>
      <c r="IY141" s="33"/>
      <c r="IZ141" s="33"/>
      <c r="JA141" s="33"/>
      <c r="JB141" s="33"/>
      <c r="JC141" s="33"/>
      <c r="JD141" s="33"/>
      <c r="JE141" s="33"/>
      <c r="JF141" s="33"/>
      <c r="JG141" s="33"/>
      <c r="JH141" s="33"/>
      <c r="JI141" s="33"/>
      <c r="JJ141" s="33"/>
      <c r="JK141" s="33"/>
      <c r="JL141" s="33"/>
      <c r="JM141" s="33"/>
      <c r="JN141" s="33"/>
      <c r="JO141" s="33"/>
      <c r="JP141" s="33"/>
      <c r="JQ141" s="33"/>
      <c r="JR141" s="33"/>
      <c r="JS141" s="33"/>
      <c r="JT141" s="33"/>
      <c r="JU141" s="33"/>
      <c r="JV141" s="33"/>
      <c r="JW141" s="33"/>
      <c r="JX141" s="33"/>
      <c r="JY141" s="33"/>
      <c r="JZ141" s="33"/>
      <c r="KA141" s="33"/>
      <c r="KB141" s="33"/>
      <c r="KC141" s="33"/>
      <c r="KD141" s="33"/>
      <c r="KE141" s="33"/>
      <c r="KF141" s="33"/>
      <c r="KG141" s="33"/>
      <c r="KH141" s="33"/>
      <c r="KI141" s="33"/>
      <c r="KJ141" s="33"/>
      <c r="KK141" s="33"/>
      <c r="KL141" s="33"/>
      <c r="KM141" s="33"/>
      <c r="KN141" s="33"/>
      <c r="KO141" s="33"/>
      <c r="KP141" s="33"/>
      <c r="KQ141" s="33"/>
      <c r="KR141" s="33"/>
      <c r="KS141" s="33"/>
      <c r="KT141" s="33"/>
      <c r="KU141" s="33"/>
      <c r="KV141" s="33"/>
      <c r="KW141" s="33"/>
      <c r="KX141" s="33"/>
      <c r="KY141" s="33"/>
      <c r="KZ141" s="33"/>
      <c r="LA141" s="33"/>
      <c r="LB141" s="33"/>
      <c r="LC141" s="33"/>
      <c r="LD141" s="33"/>
      <c r="LE141" s="33"/>
      <c r="LF141" s="33"/>
      <c r="LG141" s="33"/>
      <c r="LH141" s="33"/>
      <c r="LI141" s="33"/>
      <c r="LJ141" s="33"/>
      <c r="LK141" s="33"/>
      <c r="LL141" s="33"/>
      <c r="LM141" s="33"/>
      <c r="LN141" s="33"/>
      <c r="LO141" s="33"/>
      <c r="LP141" s="33"/>
      <c r="LQ141" s="33"/>
      <c r="LR141" s="33"/>
      <c r="LS141" s="33"/>
      <c r="LT141" s="33"/>
      <c r="LU141" s="33"/>
      <c r="LV141" s="33"/>
      <c r="LW141" s="33"/>
      <c r="LX141" s="33"/>
      <c r="LY141" s="33"/>
      <c r="LZ141" s="33"/>
      <c r="MA141" s="33"/>
      <c r="MB141" s="33"/>
      <c r="MC141" s="33"/>
      <c r="MD141" s="33"/>
      <c r="ME141" s="33"/>
      <c r="MF141" s="33"/>
      <c r="MG141" s="33"/>
      <c r="MH141" s="33"/>
      <c r="MI141" s="33"/>
      <c r="MJ141" s="33"/>
      <c r="MK141" s="33"/>
      <c r="ML141" s="33"/>
      <c r="MM141" s="33"/>
      <c r="MN141" s="33"/>
      <c r="MO141" s="33"/>
      <c r="MP141" s="33"/>
      <c r="MQ141" s="33"/>
      <c r="MR141" s="33"/>
      <c r="MS141" s="33"/>
      <c r="MT141" s="33"/>
      <c r="MU141" s="33"/>
      <c r="MV141" s="33"/>
      <c r="MW141" s="33"/>
      <c r="MX141" s="33"/>
      <c r="MY141" s="33"/>
      <c r="MZ141" s="33"/>
      <c r="NA141" s="33"/>
      <c r="NB141" s="33"/>
      <c r="NC141" s="33"/>
      <c r="ND141" s="33"/>
      <c r="NE141" s="33"/>
      <c r="NF141" s="33"/>
      <c r="NG141" s="33"/>
      <c r="NH141" s="33"/>
      <c r="NI141" s="33"/>
      <c r="NJ141" s="33"/>
      <c r="NK141" s="33"/>
      <c r="NL141" s="33"/>
      <c r="NM141" s="33"/>
      <c r="NN141" s="33"/>
      <c r="NO141" s="33"/>
      <c r="NP141" s="33"/>
      <c r="NQ141" s="33"/>
      <c r="NR141" s="33"/>
      <c r="NS141" s="33"/>
      <c r="NT141" s="31">
        <f>COUNTIF(F141:NS141,"1")</f>
        <v>0</v>
      </c>
      <c r="NU141" s="80" t="e">
        <f>NT142/NT141</f>
        <v>#DIV/0!</v>
      </c>
      <c r="NV141" s="29">
        <f>+IF(NX141&gt;=1,"1",0)</f>
        <v>0</v>
      </c>
      <c r="NW141" s="38">
        <f t="shared" si="271"/>
        <v>1</v>
      </c>
      <c r="NX141" s="35">
        <f>COUNTIF(F141:AU141,"1")</f>
        <v>0</v>
      </c>
      <c r="NY141" s="80" t="e">
        <f t="shared" si="270"/>
        <v>#DIV/0!</v>
      </c>
      <c r="NZ141" s="29">
        <f>+IF(OB141&gt;=1,"1",0)</f>
        <v>0</v>
      </c>
      <c r="OA141" s="38">
        <f t="shared" si="272"/>
        <v>1</v>
      </c>
      <c r="OB141" s="35">
        <f>COUNTIF(AV141:CK141,"1")</f>
        <v>0</v>
      </c>
      <c r="OC141" s="80" t="e">
        <f>OB142/OB141</f>
        <v>#DIV/0!</v>
      </c>
      <c r="OD141" s="29">
        <f>+IF(OF141&gt;=1,"1",0)</f>
        <v>0</v>
      </c>
      <c r="OE141" s="38">
        <f t="shared" si="273"/>
        <v>1</v>
      </c>
      <c r="OF141" s="35">
        <f>COUNTIF(CL141:EA141,"1")</f>
        <v>0</v>
      </c>
      <c r="OG141" s="80" t="e">
        <f>OF142/OF141</f>
        <v>#DIV/0!</v>
      </c>
      <c r="OH141" s="29">
        <f>+IF(OJ141&gt;=1,"1",0)</f>
        <v>0</v>
      </c>
      <c r="OI141" s="38">
        <f t="shared" si="274"/>
        <v>1</v>
      </c>
      <c r="OJ141" s="35">
        <f>COUNTIF(EB141:FQ141,"1")</f>
        <v>0</v>
      </c>
      <c r="OK141" s="79" t="e">
        <f>OJ142/OJ141</f>
        <v>#DIV/0!</v>
      </c>
      <c r="OL141" s="29">
        <f>+IF(ON141&gt;=1,"1",0)</f>
        <v>0</v>
      </c>
      <c r="OM141" s="38">
        <f t="shared" si="275"/>
        <v>1</v>
      </c>
      <c r="ON141" s="35">
        <f>COUNTIF(FR141:HG141,"1")</f>
        <v>0</v>
      </c>
      <c r="OO141" s="79" t="e">
        <f>ON142/ON141</f>
        <v>#DIV/0!</v>
      </c>
      <c r="OP141" s="29">
        <f>+IF(OR141&gt;=1,"1",0)</f>
        <v>0</v>
      </c>
      <c r="OQ141" s="38">
        <f t="shared" si="276"/>
        <v>1</v>
      </c>
      <c r="OR141" s="35">
        <f>COUNTIF(HH141:IW141,"1")</f>
        <v>0</v>
      </c>
      <c r="OS141" s="79" t="e">
        <f>OR142/OR141</f>
        <v>#DIV/0!</v>
      </c>
      <c r="OT141" s="29">
        <f>+IF(OV141&gt;=1,"1",0)</f>
        <v>0</v>
      </c>
      <c r="OU141" s="38">
        <f t="shared" si="277"/>
        <v>1</v>
      </c>
      <c r="OV141" s="35">
        <f>COUNTIF(IX141:KM141,"1")</f>
        <v>0</v>
      </c>
      <c r="OW141" s="79" t="e">
        <f>OV142/OV141</f>
        <v>#DIV/0!</v>
      </c>
      <c r="OX141" s="29">
        <f>+IF(OZ141&gt;=1,"1",0)</f>
        <v>0</v>
      </c>
      <c r="OY141" s="38">
        <f t="shared" si="278"/>
        <v>1</v>
      </c>
      <c r="OZ141" s="35">
        <f>COUNTIF(KN141:MC141,"1")</f>
        <v>0</v>
      </c>
      <c r="PA141" s="79" t="e">
        <f>OZ142/OZ141</f>
        <v>#DIV/0!</v>
      </c>
      <c r="PB141" s="29">
        <f>+IF(PD141&gt;=1,"1",0)</f>
        <v>0</v>
      </c>
      <c r="PC141" s="38">
        <f t="shared" si="279"/>
        <v>1</v>
      </c>
      <c r="PD141" s="35">
        <f>COUNTIF(MD141:NS141,"1")</f>
        <v>0</v>
      </c>
      <c r="PE141" s="79" t="e">
        <f>PD142/PD141</f>
        <v>#DIV/0!</v>
      </c>
    </row>
    <row r="142" spans="3:421" ht="15.75" customHeight="1" outlineLevel="1" thickBot="1" x14ac:dyDescent="0.3">
      <c r="C142" s="83"/>
      <c r="D142" s="72"/>
      <c r="E142" s="54" t="s">
        <v>9</v>
      </c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70"/>
      <c r="Q142" s="34"/>
      <c r="R142" s="34"/>
      <c r="S142" s="34"/>
      <c r="T142" s="34"/>
      <c r="U142" s="34"/>
      <c r="V142" s="34"/>
      <c r="W142" s="70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  <c r="HB142" s="34"/>
      <c r="HC142" s="34"/>
      <c r="HD142" s="34"/>
      <c r="HE142" s="34"/>
      <c r="HF142" s="34"/>
      <c r="HG142" s="34"/>
      <c r="HH142" s="34"/>
      <c r="HI142" s="34"/>
      <c r="HJ142" s="34"/>
      <c r="HK142" s="34"/>
      <c r="HL142" s="34"/>
      <c r="HM142" s="34"/>
      <c r="HN142" s="34"/>
      <c r="HO142" s="34"/>
      <c r="HP142" s="34"/>
      <c r="HQ142" s="34"/>
      <c r="HR142" s="34"/>
      <c r="HS142" s="34"/>
      <c r="HT142" s="34"/>
      <c r="HU142" s="34"/>
      <c r="HV142" s="34"/>
      <c r="HW142" s="34"/>
      <c r="HX142" s="34"/>
      <c r="HY142" s="34"/>
      <c r="HZ142" s="34"/>
      <c r="IA142" s="34"/>
      <c r="IB142" s="34"/>
      <c r="IC142" s="34"/>
      <c r="ID142" s="34"/>
      <c r="IE142" s="34"/>
      <c r="IF142" s="34"/>
      <c r="IG142" s="34"/>
      <c r="IH142" s="34"/>
      <c r="II142" s="34"/>
      <c r="IJ142" s="34"/>
      <c r="IK142" s="34"/>
      <c r="IL142" s="34"/>
      <c r="IM142" s="34"/>
      <c r="IN142" s="34"/>
      <c r="IO142" s="34"/>
      <c r="IP142" s="34"/>
      <c r="IQ142" s="34"/>
      <c r="IR142" s="34"/>
      <c r="IS142" s="34"/>
      <c r="IT142" s="34"/>
      <c r="IU142" s="34"/>
      <c r="IV142" s="34"/>
      <c r="IW142" s="34"/>
      <c r="IX142" s="34"/>
      <c r="IY142" s="34"/>
      <c r="IZ142" s="34"/>
      <c r="JA142" s="34"/>
      <c r="JB142" s="34"/>
      <c r="JC142" s="34"/>
      <c r="JD142" s="34"/>
      <c r="JE142" s="34"/>
      <c r="JF142" s="34"/>
      <c r="JG142" s="34"/>
      <c r="JH142" s="34"/>
      <c r="JI142" s="34"/>
      <c r="JJ142" s="34"/>
      <c r="JK142" s="34"/>
      <c r="JL142" s="34"/>
      <c r="JM142" s="34"/>
      <c r="JN142" s="34"/>
      <c r="JO142" s="34"/>
      <c r="JP142" s="34"/>
      <c r="JQ142" s="34"/>
      <c r="JR142" s="34"/>
      <c r="JS142" s="34"/>
      <c r="JT142" s="34"/>
      <c r="JU142" s="34"/>
      <c r="JV142" s="34"/>
      <c r="JW142" s="34"/>
      <c r="JX142" s="34"/>
      <c r="JY142" s="34"/>
      <c r="JZ142" s="34"/>
      <c r="KA142" s="34"/>
      <c r="KB142" s="34"/>
      <c r="KC142" s="34"/>
      <c r="KD142" s="34"/>
      <c r="KE142" s="34"/>
      <c r="KF142" s="34"/>
      <c r="KG142" s="34"/>
      <c r="KH142" s="34"/>
      <c r="KI142" s="34"/>
      <c r="KJ142" s="34"/>
      <c r="KK142" s="34"/>
      <c r="KL142" s="34"/>
      <c r="KM142" s="34"/>
      <c r="KN142" s="34"/>
      <c r="KO142" s="34"/>
      <c r="KP142" s="34"/>
      <c r="KQ142" s="34"/>
      <c r="KR142" s="34"/>
      <c r="KS142" s="34"/>
      <c r="KT142" s="34"/>
      <c r="KU142" s="34"/>
      <c r="KV142" s="34"/>
      <c r="KW142" s="34"/>
      <c r="KX142" s="34"/>
      <c r="KY142" s="34"/>
      <c r="KZ142" s="34"/>
      <c r="LA142" s="34"/>
      <c r="LB142" s="34"/>
      <c r="LC142" s="34"/>
      <c r="LD142" s="34"/>
      <c r="LE142" s="34"/>
      <c r="LF142" s="34"/>
      <c r="LG142" s="34"/>
      <c r="LH142" s="34"/>
      <c r="LI142" s="34"/>
      <c r="LJ142" s="34"/>
      <c r="LK142" s="34"/>
      <c r="LL142" s="34"/>
      <c r="LM142" s="34"/>
      <c r="LN142" s="34"/>
      <c r="LO142" s="34"/>
      <c r="LP142" s="34"/>
      <c r="LQ142" s="34"/>
      <c r="LR142" s="34"/>
      <c r="LS142" s="34"/>
      <c r="LT142" s="34"/>
      <c r="LU142" s="34"/>
      <c r="LV142" s="34"/>
      <c r="LW142" s="34"/>
      <c r="LX142" s="34"/>
      <c r="LY142" s="34"/>
      <c r="LZ142" s="34"/>
      <c r="MA142" s="34"/>
      <c r="MB142" s="34"/>
      <c r="MC142" s="34"/>
      <c r="MD142" s="34"/>
      <c r="ME142" s="34"/>
      <c r="MF142" s="34"/>
      <c r="MG142" s="34"/>
      <c r="MH142" s="34"/>
      <c r="MI142" s="34"/>
      <c r="MJ142" s="34"/>
      <c r="MK142" s="34"/>
      <c r="ML142" s="34"/>
      <c r="MM142" s="34"/>
      <c r="MN142" s="34"/>
      <c r="MO142" s="34"/>
      <c r="MP142" s="34"/>
      <c r="MQ142" s="34"/>
      <c r="MR142" s="34"/>
      <c r="MS142" s="34"/>
      <c r="MT142" s="34"/>
      <c r="MU142" s="34"/>
      <c r="MV142" s="34"/>
      <c r="MW142" s="34"/>
      <c r="MX142" s="34"/>
      <c r="MY142" s="34"/>
      <c r="MZ142" s="34"/>
      <c r="NA142" s="34"/>
      <c r="NB142" s="34"/>
      <c r="NC142" s="34"/>
      <c r="ND142" s="34"/>
      <c r="NE142" s="34"/>
      <c r="NF142" s="34"/>
      <c r="NG142" s="34"/>
      <c r="NH142" s="34"/>
      <c r="NI142" s="34"/>
      <c r="NJ142" s="34"/>
      <c r="NK142" s="34"/>
      <c r="NL142" s="34"/>
      <c r="NM142" s="34"/>
      <c r="NN142" s="34"/>
      <c r="NO142" s="34"/>
      <c r="NP142" s="34"/>
      <c r="NQ142" s="34"/>
      <c r="NR142" s="34"/>
      <c r="NS142" s="34"/>
      <c r="NT142" s="7">
        <f>COUNTIF(F142:NS142,"x")</f>
        <v>0</v>
      </c>
      <c r="NU142" s="81"/>
      <c r="NV142" s="32" t="str">
        <f>IF(NX142=0,"0",NX142/NX141)</f>
        <v>0</v>
      </c>
      <c r="NW142" s="37">
        <f t="shared" si="271"/>
        <v>0</v>
      </c>
      <c r="NX142" s="36">
        <f>COUNTIF(F142:AU142,"x")</f>
        <v>0</v>
      </c>
      <c r="NY142" s="81"/>
      <c r="NZ142" s="32" t="str">
        <f>IF(OB142=0,"0",OB142/OB141)</f>
        <v>0</v>
      </c>
      <c r="OA142" s="37">
        <f t="shared" si="272"/>
        <v>0</v>
      </c>
      <c r="OB142" s="36">
        <f>COUNTIF(AV142:CK142,"x")</f>
        <v>0</v>
      </c>
      <c r="OC142" s="81"/>
      <c r="OD142" s="32" t="str">
        <f>IF(OF142=0,"0",OF142/OF141)</f>
        <v>0</v>
      </c>
      <c r="OE142" s="37">
        <f t="shared" si="273"/>
        <v>0</v>
      </c>
      <c r="OF142" s="36">
        <f>COUNTIF(CL142:EA142,"x")</f>
        <v>0</v>
      </c>
      <c r="OG142" s="81"/>
      <c r="OH142" s="32" t="str">
        <f>IF(OJ142=0,"0",OJ142/OJ141)</f>
        <v>0</v>
      </c>
      <c r="OI142" s="37">
        <f t="shared" si="274"/>
        <v>0</v>
      </c>
      <c r="OJ142" s="36">
        <f>COUNTIF(EB142:FQ142,"x")</f>
        <v>0</v>
      </c>
      <c r="OK142" s="74"/>
      <c r="OL142" s="32" t="str">
        <f>IF(ON142=0,"0",ON142/ON141)</f>
        <v>0</v>
      </c>
      <c r="OM142" s="37">
        <f t="shared" si="275"/>
        <v>0</v>
      </c>
      <c r="ON142" s="36">
        <f>COUNTIF(FR142:HG142,"x")</f>
        <v>0</v>
      </c>
      <c r="OO142" s="74"/>
      <c r="OP142" s="32" t="str">
        <f>IF(OR142=0,"0",OR142/OR141)</f>
        <v>0</v>
      </c>
      <c r="OQ142" s="37">
        <f t="shared" si="276"/>
        <v>0</v>
      </c>
      <c r="OR142" s="36">
        <f>COUNTIF(HH142:IW142,"x")</f>
        <v>0</v>
      </c>
      <c r="OS142" s="74"/>
      <c r="OT142" s="32" t="str">
        <f>IF(OV142=0,"0",OV142/OV141)</f>
        <v>0</v>
      </c>
      <c r="OU142" s="37">
        <f t="shared" si="277"/>
        <v>0</v>
      </c>
      <c r="OV142" s="36">
        <f>COUNTIF(IX142:KM142,"x")</f>
        <v>0</v>
      </c>
      <c r="OW142" s="74"/>
      <c r="OX142" s="32" t="str">
        <f>IF(OZ142=0,"0",OZ142/OZ141)</f>
        <v>0</v>
      </c>
      <c r="OY142" s="37">
        <f t="shared" si="278"/>
        <v>0</v>
      </c>
      <c r="OZ142" s="36">
        <f>COUNTIF(KN142:MC142,"x")</f>
        <v>0</v>
      </c>
      <c r="PA142" s="74"/>
      <c r="PB142" s="32" t="str">
        <f>IF(PD142=0,"0",PD142/PD141)</f>
        <v>0</v>
      </c>
      <c r="PC142" s="37">
        <f t="shared" si="279"/>
        <v>0</v>
      </c>
      <c r="PD142" s="36">
        <f>COUNTIF(MD142:NS142,"x")</f>
        <v>0</v>
      </c>
      <c r="PE142" s="74"/>
    </row>
    <row r="143" spans="3:421" ht="15.75" customHeight="1" outlineLevel="1" x14ac:dyDescent="0.25">
      <c r="C143" s="82" t="s">
        <v>24</v>
      </c>
      <c r="D143" s="71" t="s">
        <v>71</v>
      </c>
      <c r="E143" s="53" t="s">
        <v>8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69"/>
      <c r="Q143" s="33"/>
      <c r="R143" s="33"/>
      <c r="S143" s="33"/>
      <c r="T143" s="33"/>
      <c r="U143" s="33"/>
      <c r="V143" s="33"/>
      <c r="W143" s="69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  <c r="HI143" s="33"/>
      <c r="HJ143" s="33"/>
      <c r="HK143" s="33"/>
      <c r="HL143" s="33"/>
      <c r="HM143" s="33"/>
      <c r="HN143" s="33"/>
      <c r="HO143" s="33"/>
      <c r="HP143" s="33"/>
      <c r="HQ143" s="33"/>
      <c r="HR143" s="33"/>
      <c r="HS143" s="33"/>
      <c r="HT143" s="33"/>
      <c r="HU143" s="33"/>
      <c r="HV143" s="33"/>
      <c r="HW143" s="33"/>
      <c r="HX143" s="33"/>
      <c r="HY143" s="33"/>
      <c r="HZ143" s="33"/>
      <c r="IA143" s="33"/>
      <c r="IB143" s="33"/>
      <c r="IC143" s="33"/>
      <c r="ID143" s="33"/>
      <c r="IE143" s="33"/>
      <c r="IF143" s="33"/>
      <c r="IG143" s="33"/>
      <c r="IH143" s="33"/>
      <c r="II143" s="33"/>
      <c r="IJ143" s="33"/>
      <c r="IK143" s="33"/>
      <c r="IL143" s="33"/>
      <c r="IM143" s="33"/>
      <c r="IN143" s="33"/>
      <c r="IO143" s="33"/>
      <c r="IP143" s="33"/>
      <c r="IQ143" s="33"/>
      <c r="IR143" s="33"/>
      <c r="IS143" s="33"/>
      <c r="IT143" s="33"/>
      <c r="IU143" s="33"/>
      <c r="IV143" s="33"/>
      <c r="IW143" s="33"/>
      <c r="IX143" s="33"/>
      <c r="IY143" s="33"/>
      <c r="IZ143" s="33"/>
      <c r="JA143" s="33"/>
      <c r="JB143" s="33"/>
      <c r="JC143" s="33"/>
      <c r="JD143" s="33"/>
      <c r="JE143" s="33"/>
      <c r="JF143" s="33"/>
      <c r="JG143" s="33"/>
      <c r="JH143" s="33"/>
      <c r="JI143" s="33"/>
      <c r="JJ143" s="33"/>
      <c r="JK143" s="33"/>
      <c r="JL143" s="33"/>
      <c r="JM143" s="33"/>
      <c r="JN143" s="33"/>
      <c r="JO143" s="33"/>
      <c r="JP143" s="33"/>
      <c r="JQ143" s="33"/>
      <c r="JR143" s="33"/>
      <c r="JS143" s="33"/>
      <c r="JT143" s="33"/>
      <c r="JU143" s="33"/>
      <c r="JV143" s="33"/>
      <c r="JW143" s="33"/>
      <c r="JX143" s="33"/>
      <c r="JY143" s="33"/>
      <c r="JZ143" s="33"/>
      <c r="KA143" s="33"/>
      <c r="KB143" s="33"/>
      <c r="KC143" s="33"/>
      <c r="KD143" s="33"/>
      <c r="KE143" s="33"/>
      <c r="KF143" s="33"/>
      <c r="KG143" s="33"/>
      <c r="KH143" s="33"/>
      <c r="KI143" s="33"/>
      <c r="KJ143" s="33"/>
      <c r="KK143" s="33"/>
      <c r="KL143" s="33"/>
      <c r="KM143" s="33"/>
      <c r="KN143" s="33"/>
      <c r="KO143" s="33"/>
      <c r="KP143" s="33"/>
      <c r="KQ143" s="33"/>
      <c r="KR143" s="33"/>
      <c r="KS143" s="33"/>
      <c r="KT143" s="33"/>
      <c r="KU143" s="33"/>
      <c r="KV143" s="33"/>
      <c r="KW143" s="33"/>
      <c r="KX143" s="33"/>
      <c r="KY143" s="33"/>
      <c r="KZ143" s="33"/>
      <c r="LA143" s="33"/>
      <c r="LB143" s="33"/>
      <c r="LC143" s="33"/>
      <c r="LD143" s="33"/>
      <c r="LE143" s="33"/>
      <c r="LF143" s="33"/>
      <c r="LG143" s="33"/>
      <c r="LH143" s="33"/>
      <c r="LI143" s="33"/>
      <c r="LJ143" s="33"/>
      <c r="LK143" s="33"/>
      <c r="LL143" s="33"/>
      <c r="LM143" s="33"/>
      <c r="LN143" s="33"/>
      <c r="LO143" s="33"/>
      <c r="LP143" s="33"/>
      <c r="LQ143" s="33"/>
      <c r="LR143" s="33"/>
      <c r="LS143" s="33"/>
      <c r="LT143" s="33"/>
      <c r="LU143" s="33"/>
      <c r="LV143" s="33"/>
      <c r="LW143" s="33"/>
      <c r="LX143" s="33"/>
      <c r="LY143" s="33"/>
      <c r="LZ143" s="33"/>
      <c r="MA143" s="33"/>
      <c r="MB143" s="33"/>
      <c r="MC143" s="33"/>
      <c r="MD143" s="33"/>
      <c r="ME143" s="33"/>
      <c r="MF143" s="33"/>
      <c r="MG143" s="33"/>
      <c r="MH143" s="33"/>
      <c r="MI143" s="33"/>
      <c r="MJ143" s="33"/>
      <c r="MK143" s="33"/>
      <c r="ML143" s="33"/>
      <c r="MM143" s="33"/>
      <c r="MN143" s="33"/>
      <c r="MO143" s="33"/>
      <c r="MP143" s="33"/>
      <c r="MQ143" s="33"/>
      <c r="MR143" s="33"/>
      <c r="MS143" s="33"/>
      <c r="MT143" s="33"/>
      <c r="MU143" s="33"/>
      <c r="MV143" s="33"/>
      <c r="MW143" s="33"/>
      <c r="MX143" s="33"/>
      <c r="MY143" s="33"/>
      <c r="MZ143" s="33"/>
      <c r="NA143" s="33"/>
      <c r="NB143" s="33"/>
      <c r="NC143" s="33"/>
      <c r="ND143" s="33"/>
      <c r="NE143" s="33"/>
      <c r="NF143" s="33"/>
      <c r="NG143" s="33"/>
      <c r="NH143" s="33"/>
      <c r="NI143" s="33"/>
      <c r="NJ143" s="33"/>
      <c r="NK143" s="33"/>
      <c r="NL143" s="33"/>
      <c r="NM143" s="33"/>
      <c r="NN143" s="33"/>
      <c r="NO143" s="33"/>
      <c r="NP143" s="33"/>
      <c r="NQ143" s="33"/>
      <c r="NR143" s="33"/>
      <c r="NS143" s="33"/>
      <c r="NT143" s="31">
        <f>COUNTIF(F143:NS143,"1")</f>
        <v>0</v>
      </c>
      <c r="NU143" s="80" t="e">
        <f>NT144/NT143</f>
        <v>#DIV/0!</v>
      </c>
      <c r="NV143" s="29">
        <f>+IF(NX143&gt;=1,"1",0)</f>
        <v>0</v>
      </c>
      <c r="NW143" s="38">
        <f t="shared" si="271"/>
        <v>1</v>
      </c>
      <c r="NX143" s="35">
        <f>COUNTIF(F143:AU143,"1")</f>
        <v>0</v>
      </c>
      <c r="NY143" s="80" t="e">
        <f t="shared" si="270"/>
        <v>#DIV/0!</v>
      </c>
      <c r="NZ143" s="29">
        <f>+IF(OB143&gt;=1,"1",0)</f>
        <v>0</v>
      </c>
      <c r="OA143" s="38">
        <f t="shared" si="272"/>
        <v>1</v>
      </c>
      <c r="OB143" s="35">
        <f>COUNTIF(AV143:CK143,"1")</f>
        <v>0</v>
      </c>
      <c r="OC143" s="80" t="e">
        <f>OB144/OB143</f>
        <v>#DIV/0!</v>
      </c>
      <c r="OD143" s="29">
        <f>+IF(OF143&gt;=1,"1",0)</f>
        <v>0</v>
      </c>
      <c r="OE143" s="38">
        <f t="shared" si="273"/>
        <v>1</v>
      </c>
      <c r="OF143" s="35">
        <f>COUNTIF(CL143:EA143,"1")</f>
        <v>0</v>
      </c>
      <c r="OG143" s="80" t="e">
        <f>OF144/OF143</f>
        <v>#DIV/0!</v>
      </c>
      <c r="OH143" s="29">
        <f>+IF(OJ143&gt;=1,"1",0)</f>
        <v>0</v>
      </c>
      <c r="OI143" s="38">
        <f t="shared" si="274"/>
        <v>1</v>
      </c>
      <c r="OJ143" s="35">
        <f>COUNTIF(EB143:FQ143,"1")</f>
        <v>0</v>
      </c>
      <c r="OK143" s="79" t="e">
        <f>OJ144/OJ143</f>
        <v>#DIV/0!</v>
      </c>
      <c r="OL143" s="29">
        <f>+IF(ON143&gt;=1,"1",0)</f>
        <v>0</v>
      </c>
      <c r="OM143" s="38">
        <f t="shared" si="275"/>
        <v>1</v>
      </c>
      <c r="ON143" s="35">
        <f>COUNTIF(FR143:HG143,"1")</f>
        <v>0</v>
      </c>
      <c r="OO143" s="79" t="e">
        <f>ON144/ON143</f>
        <v>#DIV/0!</v>
      </c>
      <c r="OP143" s="29">
        <f>+IF(OR143&gt;=1,"1",0)</f>
        <v>0</v>
      </c>
      <c r="OQ143" s="38">
        <f t="shared" si="276"/>
        <v>1</v>
      </c>
      <c r="OR143" s="35">
        <f>COUNTIF(HH143:IW143,"1")</f>
        <v>0</v>
      </c>
      <c r="OS143" s="79" t="e">
        <f>OR144/OR143</f>
        <v>#DIV/0!</v>
      </c>
      <c r="OT143" s="29">
        <f>+IF(OV143&gt;=1,"1",0)</f>
        <v>0</v>
      </c>
      <c r="OU143" s="38">
        <f t="shared" si="277"/>
        <v>1</v>
      </c>
      <c r="OV143" s="35">
        <f>COUNTIF(IX143:KM143,"1")</f>
        <v>0</v>
      </c>
      <c r="OW143" s="79" t="e">
        <f>OV144/OV143</f>
        <v>#DIV/0!</v>
      </c>
      <c r="OX143" s="29">
        <f>+IF(OZ143&gt;=1,"1",0)</f>
        <v>0</v>
      </c>
      <c r="OY143" s="38">
        <f t="shared" si="278"/>
        <v>1</v>
      </c>
      <c r="OZ143" s="35">
        <f>COUNTIF(KN143:MC143,"1")</f>
        <v>0</v>
      </c>
      <c r="PA143" s="79" t="e">
        <f>OZ144/OZ143</f>
        <v>#DIV/0!</v>
      </c>
      <c r="PB143" s="29">
        <f>+IF(PD143&gt;=1,"1",0)</f>
        <v>0</v>
      </c>
      <c r="PC143" s="38">
        <f t="shared" si="279"/>
        <v>1</v>
      </c>
      <c r="PD143" s="35">
        <f>COUNTIF(MD143:NS143,"1")</f>
        <v>0</v>
      </c>
      <c r="PE143" s="79" t="e">
        <f>PD144/PD143</f>
        <v>#DIV/0!</v>
      </c>
    </row>
    <row r="144" spans="3:421" ht="15.75" customHeight="1" outlineLevel="1" thickBot="1" x14ac:dyDescent="0.3">
      <c r="C144" s="83"/>
      <c r="D144" s="72"/>
      <c r="E144" s="54" t="s">
        <v>9</v>
      </c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70"/>
      <c r="Q144" s="34"/>
      <c r="R144" s="34"/>
      <c r="S144" s="34"/>
      <c r="T144" s="34"/>
      <c r="U144" s="34"/>
      <c r="V144" s="34"/>
      <c r="W144" s="70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  <c r="HI144" s="34"/>
      <c r="HJ144" s="34"/>
      <c r="HK144" s="34"/>
      <c r="HL144" s="34"/>
      <c r="HM144" s="34"/>
      <c r="HN144" s="34"/>
      <c r="HO144" s="34"/>
      <c r="HP144" s="34"/>
      <c r="HQ144" s="34"/>
      <c r="HR144" s="34"/>
      <c r="HS144" s="34"/>
      <c r="HT144" s="34"/>
      <c r="HU144" s="34"/>
      <c r="HV144" s="34"/>
      <c r="HW144" s="34"/>
      <c r="HX144" s="34"/>
      <c r="HY144" s="34"/>
      <c r="HZ144" s="34"/>
      <c r="IA144" s="34"/>
      <c r="IB144" s="34"/>
      <c r="IC144" s="34"/>
      <c r="ID144" s="34"/>
      <c r="IE144" s="34"/>
      <c r="IF144" s="34"/>
      <c r="IG144" s="34"/>
      <c r="IH144" s="34"/>
      <c r="II144" s="34"/>
      <c r="IJ144" s="34"/>
      <c r="IK144" s="34"/>
      <c r="IL144" s="34"/>
      <c r="IM144" s="34"/>
      <c r="IN144" s="34"/>
      <c r="IO144" s="34"/>
      <c r="IP144" s="34"/>
      <c r="IQ144" s="34"/>
      <c r="IR144" s="34"/>
      <c r="IS144" s="34"/>
      <c r="IT144" s="34"/>
      <c r="IU144" s="34"/>
      <c r="IV144" s="34"/>
      <c r="IW144" s="34"/>
      <c r="IX144" s="34"/>
      <c r="IY144" s="34"/>
      <c r="IZ144" s="34"/>
      <c r="JA144" s="34"/>
      <c r="JB144" s="34"/>
      <c r="JC144" s="34"/>
      <c r="JD144" s="34"/>
      <c r="JE144" s="34"/>
      <c r="JF144" s="34"/>
      <c r="JG144" s="34"/>
      <c r="JH144" s="34"/>
      <c r="JI144" s="34"/>
      <c r="JJ144" s="34"/>
      <c r="JK144" s="34"/>
      <c r="JL144" s="34"/>
      <c r="JM144" s="34"/>
      <c r="JN144" s="34"/>
      <c r="JO144" s="34"/>
      <c r="JP144" s="34"/>
      <c r="JQ144" s="34"/>
      <c r="JR144" s="34"/>
      <c r="JS144" s="34"/>
      <c r="JT144" s="34"/>
      <c r="JU144" s="34"/>
      <c r="JV144" s="34"/>
      <c r="JW144" s="34"/>
      <c r="JX144" s="34"/>
      <c r="JY144" s="34"/>
      <c r="JZ144" s="34"/>
      <c r="KA144" s="34"/>
      <c r="KB144" s="34"/>
      <c r="KC144" s="34"/>
      <c r="KD144" s="34"/>
      <c r="KE144" s="34"/>
      <c r="KF144" s="34"/>
      <c r="KG144" s="34"/>
      <c r="KH144" s="34"/>
      <c r="KI144" s="34"/>
      <c r="KJ144" s="34"/>
      <c r="KK144" s="34"/>
      <c r="KL144" s="34"/>
      <c r="KM144" s="34"/>
      <c r="KN144" s="34"/>
      <c r="KO144" s="34"/>
      <c r="KP144" s="34"/>
      <c r="KQ144" s="34"/>
      <c r="KR144" s="34"/>
      <c r="KS144" s="34"/>
      <c r="KT144" s="34"/>
      <c r="KU144" s="34"/>
      <c r="KV144" s="34"/>
      <c r="KW144" s="34"/>
      <c r="KX144" s="34"/>
      <c r="KY144" s="34"/>
      <c r="KZ144" s="34"/>
      <c r="LA144" s="34"/>
      <c r="LB144" s="34"/>
      <c r="LC144" s="34"/>
      <c r="LD144" s="34"/>
      <c r="LE144" s="34"/>
      <c r="LF144" s="34"/>
      <c r="LG144" s="34"/>
      <c r="LH144" s="34"/>
      <c r="LI144" s="34"/>
      <c r="LJ144" s="34"/>
      <c r="LK144" s="34"/>
      <c r="LL144" s="34"/>
      <c r="LM144" s="34"/>
      <c r="LN144" s="34"/>
      <c r="LO144" s="34"/>
      <c r="LP144" s="34"/>
      <c r="LQ144" s="34"/>
      <c r="LR144" s="34"/>
      <c r="LS144" s="34"/>
      <c r="LT144" s="34"/>
      <c r="LU144" s="34"/>
      <c r="LV144" s="34"/>
      <c r="LW144" s="34"/>
      <c r="LX144" s="34"/>
      <c r="LY144" s="34"/>
      <c r="LZ144" s="34"/>
      <c r="MA144" s="34"/>
      <c r="MB144" s="34"/>
      <c r="MC144" s="34"/>
      <c r="MD144" s="34"/>
      <c r="ME144" s="34"/>
      <c r="MF144" s="34"/>
      <c r="MG144" s="34"/>
      <c r="MH144" s="34"/>
      <c r="MI144" s="34"/>
      <c r="MJ144" s="34"/>
      <c r="MK144" s="34"/>
      <c r="ML144" s="34"/>
      <c r="MM144" s="34"/>
      <c r="MN144" s="34"/>
      <c r="MO144" s="34"/>
      <c r="MP144" s="34"/>
      <c r="MQ144" s="34"/>
      <c r="MR144" s="34"/>
      <c r="MS144" s="34"/>
      <c r="MT144" s="34"/>
      <c r="MU144" s="34"/>
      <c r="MV144" s="34"/>
      <c r="MW144" s="34"/>
      <c r="MX144" s="34"/>
      <c r="MY144" s="34"/>
      <c r="MZ144" s="34"/>
      <c r="NA144" s="34"/>
      <c r="NB144" s="34"/>
      <c r="NC144" s="34"/>
      <c r="ND144" s="34"/>
      <c r="NE144" s="34"/>
      <c r="NF144" s="34"/>
      <c r="NG144" s="34"/>
      <c r="NH144" s="34"/>
      <c r="NI144" s="34"/>
      <c r="NJ144" s="34"/>
      <c r="NK144" s="34"/>
      <c r="NL144" s="34"/>
      <c r="NM144" s="34"/>
      <c r="NN144" s="34"/>
      <c r="NO144" s="34"/>
      <c r="NP144" s="34"/>
      <c r="NQ144" s="34"/>
      <c r="NR144" s="34"/>
      <c r="NS144" s="34"/>
      <c r="NT144" s="7">
        <f>COUNTIF(F144:NS144,"x")</f>
        <v>0</v>
      </c>
      <c r="NU144" s="81"/>
      <c r="NV144" s="32" t="str">
        <f>IF(NX144=0,"0",NX144/NX143)</f>
        <v>0</v>
      </c>
      <c r="NW144" s="37">
        <f t="shared" si="271"/>
        <v>0</v>
      </c>
      <c r="NX144" s="36">
        <f>COUNTIF(F144:AU144,"x")</f>
        <v>0</v>
      </c>
      <c r="NY144" s="81"/>
      <c r="NZ144" s="32" t="str">
        <f>IF(OB144=0,"0",OB144/OB143)</f>
        <v>0</v>
      </c>
      <c r="OA144" s="37">
        <f t="shared" si="272"/>
        <v>0</v>
      </c>
      <c r="OB144" s="36">
        <f>COUNTIF(AV144:CK144,"x")</f>
        <v>0</v>
      </c>
      <c r="OC144" s="81"/>
      <c r="OD144" s="32" t="str">
        <f>IF(OF144=0,"0",OF144/OF143)</f>
        <v>0</v>
      </c>
      <c r="OE144" s="37">
        <f t="shared" si="273"/>
        <v>0</v>
      </c>
      <c r="OF144" s="36">
        <f>COUNTIF(CL144:EA144,"x")</f>
        <v>0</v>
      </c>
      <c r="OG144" s="81"/>
      <c r="OH144" s="32" t="str">
        <f>IF(OJ144=0,"0",OJ144/OJ143)</f>
        <v>0</v>
      </c>
      <c r="OI144" s="37">
        <f t="shared" si="274"/>
        <v>0</v>
      </c>
      <c r="OJ144" s="36">
        <f>COUNTIF(EB144:FQ144,"x")</f>
        <v>0</v>
      </c>
      <c r="OK144" s="74"/>
      <c r="OL144" s="32" t="str">
        <f>IF(ON144=0,"0",ON144/ON143)</f>
        <v>0</v>
      </c>
      <c r="OM144" s="37">
        <f t="shared" si="275"/>
        <v>0</v>
      </c>
      <c r="ON144" s="36">
        <f>COUNTIF(FR144:HG144,"x")</f>
        <v>0</v>
      </c>
      <c r="OO144" s="74"/>
      <c r="OP144" s="32" t="str">
        <f>IF(OR144=0,"0",OR144/OR143)</f>
        <v>0</v>
      </c>
      <c r="OQ144" s="37">
        <f t="shared" si="276"/>
        <v>0</v>
      </c>
      <c r="OR144" s="36">
        <f>COUNTIF(HH144:IW144,"x")</f>
        <v>0</v>
      </c>
      <c r="OS144" s="74"/>
      <c r="OT144" s="32" t="str">
        <f>IF(OV144=0,"0",OV144/OV143)</f>
        <v>0</v>
      </c>
      <c r="OU144" s="37">
        <f t="shared" si="277"/>
        <v>0</v>
      </c>
      <c r="OV144" s="36">
        <f>COUNTIF(IX144:KM144,"x")</f>
        <v>0</v>
      </c>
      <c r="OW144" s="74"/>
      <c r="OX144" s="32" t="str">
        <f>IF(OZ144=0,"0",OZ144/OZ143)</f>
        <v>0</v>
      </c>
      <c r="OY144" s="37">
        <f t="shared" si="278"/>
        <v>0</v>
      </c>
      <c r="OZ144" s="36">
        <f>COUNTIF(KN144:MC144,"x")</f>
        <v>0</v>
      </c>
      <c r="PA144" s="74"/>
      <c r="PB144" s="32" t="str">
        <f>IF(PD144=0,"0",PD144/PD143)</f>
        <v>0</v>
      </c>
      <c r="PC144" s="37">
        <f t="shared" si="279"/>
        <v>0</v>
      </c>
      <c r="PD144" s="36">
        <f>COUNTIF(MD144:NS144,"x")</f>
        <v>0</v>
      </c>
      <c r="PE144" s="74"/>
    </row>
    <row r="145" spans="1:421" ht="15.75" customHeight="1" outlineLevel="1" x14ac:dyDescent="0.25">
      <c r="C145" s="82"/>
      <c r="D145" s="71"/>
      <c r="E145" s="53" t="s">
        <v>8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69"/>
      <c r="Q145" s="33"/>
      <c r="R145" s="33"/>
      <c r="S145" s="33"/>
      <c r="T145" s="33"/>
      <c r="U145" s="33"/>
      <c r="V145" s="33"/>
      <c r="W145" s="69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  <c r="HI145" s="33"/>
      <c r="HJ145" s="33"/>
      <c r="HK145" s="33"/>
      <c r="HL145" s="33"/>
      <c r="HM145" s="33"/>
      <c r="HN145" s="33"/>
      <c r="HO145" s="33"/>
      <c r="HP145" s="33"/>
      <c r="HQ145" s="33"/>
      <c r="HR145" s="33"/>
      <c r="HS145" s="33"/>
      <c r="HT145" s="33"/>
      <c r="HU145" s="33"/>
      <c r="HV145" s="33"/>
      <c r="HW145" s="33"/>
      <c r="HX145" s="33"/>
      <c r="HY145" s="33"/>
      <c r="HZ145" s="33"/>
      <c r="IA145" s="33"/>
      <c r="IB145" s="33"/>
      <c r="IC145" s="33"/>
      <c r="ID145" s="33"/>
      <c r="IE145" s="33"/>
      <c r="IF145" s="33"/>
      <c r="IG145" s="33"/>
      <c r="IH145" s="33"/>
      <c r="II145" s="33"/>
      <c r="IJ145" s="33"/>
      <c r="IK145" s="33"/>
      <c r="IL145" s="33"/>
      <c r="IM145" s="33"/>
      <c r="IN145" s="33"/>
      <c r="IO145" s="33"/>
      <c r="IP145" s="33"/>
      <c r="IQ145" s="33"/>
      <c r="IR145" s="33"/>
      <c r="IS145" s="33"/>
      <c r="IT145" s="33"/>
      <c r="IU145" s="33"/>
      <c r="IV145" s="33"/>
      <c r="IW145" s="33"/>
      <c r="IX145" s="33"/>
      <c r="IY145" s="33"/>
      <c r="IZ145" s="33"/>
      <c r="JA145" s="33"/>
      <c r="JB145" s="33"/>
      <c r="JC145" s="33"/>
      <c r="JD145" s="33"/>
      <c r="JE145" s="33"/>
      <c r="JF145" s="33"/>
      <c r="JG145" s="33"/>
      <c r="JH145" s="33"/>
      <c r="JI145" s="33"/>
      <c r="JJ145" s="33"/>
      <c r="JK145" s="33"/>
      <c r="JL145" s="33"/>
      <c r="JM145" s="33"/>
      <c r="JN145" s="33"/>
      <c r="JO145" s="33"/>
      <c r="JP145" s="33"/>
      <c r="JQ145" s="33"/>
      <c r="JR145" s="33"/>
      <c r="JS145" s="33"/>
      <c r="JT145" s="33"/>
      <c r="JU145" s="33"/>
      <c r="JV145" s="33"/>
      <c r="JW145" s="33"/>
      <c r="JX145" s="33"/>
      <c r="JY145" s="33"/>
      <c r="JZ145" s="33"/>
      <c r="KA145" s="33"/>
      <c r="KB145" s="33"/>
      <c r="KC145" s="33"/>
      <c r="KD145" s="33"/>
      <c r="KE145" s="33"/>
      <c r="KF145" s="33"/>
      <c r="KG145" s="33"/>
      <c r="KH145" s="33"/>
      <c r="KI145" s="33"/>
      <c r="KJ145" s="33"/>
      <c r="KK145" s="33"/>
      <c r="KL145" s="33"/>
      <c r="KM145" s="33"/>
      <c r="KN145" s="33"/>
      <c r="KO145" s="33"/>
      <c r="KP145" s="33"/>
      <c r="KQ145" s="33"/>
      <c r="KR145" s="33"/>
      <c r="KS145" s="33"/>
      <c r="KT145" s="33"/>
      <c r="KU145" s="33"/>
      <c r="KV145" s="33"/>
      <c r="KW145" s="33"/>
      <c r="KX145" s="33"/>
      <c r="KY145" s="33"/>
      <c r="KZ145" s="33"/>
      <c r="LA145" s="33"/>
      <c r="LB145" s="33"/>
      <c r="LC145" s="33"/>
      <c r="LD145" s="33"/>
      <c r="LE145" s="33"/>
      <c r="LF145" s="33"/>
      <c r="LG145" s="33"/>
      <c r="LH145" s="33"/>
      <c r="LI145" s="33"/>
      <c r="LJ145" s="33"/>
      <c r="LK145" s="33"/>
      <c r="LL145" s="33"/>
      <c r="LM145" s="33"/>
      <c r="LN145" s="33"/>
      <c r="LO145" s="33"/>
      <c r="LP145" s="33"/>
      <c r="LQ145" s="33"/>
      <c r="LR145" s="33"/>
      <c r="LS145" s="33"/>
      <c r="LT145" s="33"/>
      <c r="LU145" s="33"/>
      <c r="LV145" s="33"/>
      <c r="LW145" s="33"/>
      <c r="LX145" s="33"/>
      <c r="LY145" s="33"/>
      <c r="LZ145" s="33"/>
      <c r="MA145" s="33"/>
      <c r="MB145" s="33"/>
      <c r="MC145" s="33"/>
      <c r="MD145" s="33"/>
      <c r="ME145" s="33"/>
      <c r="MF145" s="33"/>
      <c r="MG145" s="33"/>
      <c r="MH145" s="33"/>
      <c r="MI145" s="33"/>
      <c r="MJ145" s="33"/>
      <c r="MK145" s="33"/>
      <c r="ML145" s="33"/>
      <c r="MM145" s="33"/>
      <c r="MN145" s="33"/>
      <c r="MO145" s="33"/>
      <c r="MP145" s="33"/>
      <c r="MQ145" s="33"/>
      <c r="MR145" s="33"/>
      <c r="MS145" s="33"/>
      <c r="MT145" s="33"/>
      <c r="MU145" s="33"/>
      <c r="MV145" s="33"/>
      <c r="MW145" s="33"/>
      <c r="MX145" s="33"/>
      <c r="MY145" s="33"/>
      <c r="MZ145" s="33"/>
      <c r="NA145" s="33"/>
      <c r="NB145" s="33"/>
      <c r="NC145" s="33"/>
      <c r="ND145" s="33"/>
      <c r="NE145" s="33"/>
      <c r="NF145" s="33"/>
      <c r="NG145" s="33"/>
      <c r="NH145" s="33"/>
      <c r="NI145" s="33"/>
      <c r="NJ145" s="33"/>
      <c r="NK145" s="33"/>
      <c r="NL145" s="33"/>
      <c r="NM145" s="33"/>
      <c r="NN145" s="33"/>
      <c r="NO145" s="33"/>
      <c r="NP145" s="33"/>
      <c r="NQ145" s="33"/>
      <c r="NR145" s="33"/>
      <c r="NS145" s="33"/>
      <c r="NT145" s="31">
        <f>COUNTIF(F145:NS145,"1")</f>
        <v>0</v>
      </c>
      <c r="NU145" s="80" t="e">
        <f>NT146/NT145</f>
        <v>#DIV/0!</v>
      </c>
      <c r="NV145" s="29">
        <f>+IF(NX145&gt;=1,"1",0)</f>
        <v>0</v>
      </c>
      <c r="NW145" s="38">
        <f t="shared" ref="NW145:NW148" si="280">MOD(ROW(NW145),2)</f>
        <v>1</v>
      </c>
      <c r="NX145" s="35">
        <f>COUNTIF(F145:AU145,"1")</f>
        <v>0</v>
      </c>
      <c r="NY145" s="80" t="e">
        <f t="shared" si="270"/>
        <v>#DIV/0!</v>
      </c>
      <c r="NZ145" s="29">
        <f>+IF(OB145&gt;=1,"1",0)</f>
        <v>0</v>
      </c>
      <c r="OA145" s="38">
        <f t="shared" ref="OA145:OA148" si="281">MOD(ROW(OA145),2)</f>
        <v>1</v>
      </c>
      <c r="OB145" s="35">
        <f>COUNTIF(AV145:CK145,"1")</f>
        <v>0</v>
      </c>
      <c r="OC145" s="80" t="e">
        <f>OB146/OB145</f>
        <v>#DIV/0!</v>
      </c>
      <c r="OD145" s="29">
        <f>+IF(OF145&gt;=1,"1",0)</f>
        <v>0</v>
      </c>
      <c r="OE145" s="38">
        <f t="shared" ref="OE145:OE148" si="282">MOD(ROW(OE145),2)</f>
        <v>1</v>
      </c>
      <c r="OF145" s="35">
        <f>COUNTIF(CL145:EA145,"1")</f>
        <v>0</v>
      </c>
      <c r="OG145" s="80" t="e">
        <f>OF146/OF145</f>
        <v>#DIV/0!</v>
      </c>
      <c r="OH145" s="29">
        <f>+IF(OJ145&gt;=1,"1",0)</f>
        <v>0</v>
      </c>
      <c r="OI145" s="38">
        <f t="shared" ref="OI145:OI148" si="283">MOD(ROW(OI145),2)</f>
        <v>1</v>
      </c>
      <c r="OJ145" s="35">
        <f>COUNTIF(EB145:FQ145,"1")</f>
        <v>0</v>
      </c>
      <c r="OK145" s="79" t="e">
        <f>OJ146/OJ145</f>
        <v>#DIV/0!</v>
      </c>
      <c r="OL145" s="29">
        <f>+IF(ON145&gt;=1,"1",0)</f>
        <v>0</v>
      </c>
      <c r="OM145" s="38">
        <f t="shared" ref="OM145:OM148" si="284">MOD(ROW(OM145),2)</f>
        <v>1</v>
      </c>
      <c r="ON145" s="35">
        <f>COUNTIF(FR145:HG145,"1")</f>
        <v>0</v>
      </c>
      <c r="OO145" s="79" t="e">
        <f>ON146/ON145</f>
        <v>#DIV/0!</v>
      </c>
      <c r="OP145" s="29">
        <f>+IF(OR145&gt;=1,"1",0)</f>
        <v>0</v>
      </c>
      <c r="OQ145" s="38">
        <f t="shared" ref="OQ145:OQ148" si="285">MOD(ROW(OQ145),2)</f>
        <v>1</v>
      </c>
      <c r="OR145" s="35">
        <f>COUNTIF(HH145:IW145,"1")</f>
        <v>0</v>
      </c>
      <c r="OS145" s="79" t="e">
        <f>OR146/OR145</f>
        <v>#DIV/0!</v>
      </c>
      <c r="OT145" s="29">
        <f>+IF(OV145&gt;=1,"1",0)</f>
        <v>0</v>
      </c>
      <c r="OU145" s="38">
        <f t="shared" ref="OU145:OU148" si="286">MOD(ROW(OU145),2)</f>
        <v>1</v>
      </c>
      <c r="OV145" s="35">
        <f>COUNTIF(IX145:KM145,"1")</f>
        <v>0</v>
      </c>
      <c r="OW145" s="79" t="e">
        <f>OV146/OV145</f>
        <v>#DIV/0!</v>
      </c>
      <c r="OX145" s="29">
        <f>+IF(OZ145&gt;=1,"1",0)</f>
        <v>0</v>
      </c>
      <c r="OY145" s="38">
        <f t="shared" ref="OY145:OY148" si="287">MOD(ROW(OY145),2)</f>
        <v>1</v>
      </c>
      <c r="OZ145" s="35">
        <f>COUNTIF(KN145:MC145,"1")</f>
        <v>0</v>
      </c>
      <c r="PA145" s="79" t="e">
        <f>OZ146/OZ145</f>
        <v>#DIV/0!</v>
      </c>
      <c r="PB145" s="29">
        <f>+IF(PD145&gt;=1,"1",0)</f>
        <v>0</v>
      </c>
      <c r="PC145" s="38">
        <f t="shared" ref="PC145:PC148" si="288">MOD(ROW(PC145),2)</f>
        <v>1</v>
      </c>
      <c r="PD145" s="35">
        <f>COUNTIF(MD145:NS145,"1")</f>
        <v>0</v>
      </c>
      <c r="PE145" s="79" t="e">
        <f>PD146/PD145</f>
        <v>#DIV/0!</v>
      </c>
    </row>
    <row r="146" spans="1:421" ht="15.75" customHeight="1" outlineLevel="1" thickBot="1" x14ac:dyDescent="0.3">
      <c r="C146" s="83"/>
      <c r="D146" s="72"/>
      <c r="E146" s="54" t="s">
        <v>9</v>
      </c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70"/>
      <c r="Q146" s="34"/>
      <c r="R146" s="34"/>
      <c r="S146" s="34"/>
      <c r="T146" s="34"/>
      <c r="U146" s="34"/>
      <c r="V146" s="34"/>
      <c r="W146" s="70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  <c r="HB146" s="34"/>
      <c r="HC146" s="34"/>
      <c r="HD146" s="34"/>
      <c r="HE146" s="34"/>
      <c r="HF146" s="34"/>
      <c r="HG146" s="34"/>
      <c r="HH146" s="34"/>
      <c r="HI146" s="34"/>
      <c r="HJ146" s="34"/>
      <c r="HK146" s="34"/>
      <c r="HL146" s="34"/>
      <c r="HM146" s="34"/>
      <c r="HN146" s="34"/>
      <c r="HO146" s="34"/>
      <c r="HP146" s="34"/>
      <c r="HQ146" s="34"/>
      <c r="HR146" s="34"/>
      <c r="HS146" s="34"/>
      <c r="HT146" s="34"/>
      <c r="HU146" s="34"/>
      <c r="HV146" s="34"/>
      <c r="HW146" s="34"/>
      <c r="HX146" s="34"/>
      <c r="HY146" s="34"/>
      <c r="HZ146" s="34"/>
      <c r="IA146" s="34"/>
      <c r="IB146" s="34"/>
      <c r="IC146" s="34"/>
      <c r="ID146" s="34"/>
      <c r="IE146" s="34"/>
      <c r="IF146" s="34"/>
      <c r="IG146" s="34"/>
      <c r="IH146" s="34"/>
      <c r="II146" s="34"/>
      <c r="IJ146" s="34"/>
      <c r="IK146" s="34"/>
      <c r="IL146" s="34"/>
      <c r="IM146" s="34"/>
      <c r="IN146" s="34"/>
      <c r="IO146" s="34"/>
      <c r="IP146" s="34"/>
      <c r="IQ146" s="34"/>
      <c r="IR146" s="34"/>
      <c r="IS146" s="34"/>
      <c r="IT146" s="34"/>
      <c r="IU146" s="34"/>
      <c r="IV146" s="34"/>
      <c r="IW146" s="34"/>
      <c r="IX146" s="34"/>
      <c r="IY146" s="34"/>
      <c r="IZ146" s="34"/>
      <c r="JA146" s="34"/>
      <c r="JB146" s="34"/>
      <c r="JC146" s="34"/>
      <c r="JD146" s="34"/>
      <c r="JE146" s="34"/>
      <c r="JF146" s="34"/>
      <c r="JG146" s="34"/>
      <c r="JH146" s="34"/>
      <c r="JI146" s="34"/>
      <c r="JJ146" s="34"/>
      <c r="JK146" s="34"/>
      <c r="JL146" s="34"/>
      <c r="JM146" s="34"/>
      <c r="JN146" s="34"/>
      <c r="JO146" s="34"/>
      <c r="JP146" s="34"/>
      <c r="JQ146" s="34"/>
      <c r="JR146" s="34"/>
      <c r="JS146" s="34"/>
      <c r="JT146" s="34"/>
      <c r="JU146" s="34"/>
      <c r="JV146" s="34"/>
      <c r="JW146" s="34"/>
      <c r="JX146" s="34"/>
      <c r="JY146" s="34"/>
      <c r="JZ146" s="34"/>
      <c r="KA146" s="34"/>
      <c r="KB146" s="34"/>
      <c r="KC146" s="34"/>
      <c r="KD146" s="34"/>
      <c r="KE146" s="34"/>
      <c r="KF146" s="34"/>
      <c r="KG146" s="34"/>
      <c r="KH146" s="34"/>
      <c r="KI146" s="34"/>
      <c r="KJ146" s="34"/>
      <c r="KK146" s="34"/>
      <c r="KL146" s="34"/>
      <c r="KM146" s="34"/>
      <c r="KN146" s="34"/>
      <c r="KO146" s="34"/>
      <c r="KP146" s="34"/>
      <c r="KQ146" s="34"/>
      <c r="KR146" s="34"/>
      <c r="KS146" s="34"/>
      <c r="KT146" s="34"/>
      <c r="KU146" s="34"/>
      <c r="KV146" s="34"/>
      <c r="KW146" s="34"/>
      <c r="KX146" s="34"/>
      <c r="KY146" s="34"/>
      <c r="KZ146" s="34"/>
      <c r="LA146" s="34"/>
      <c r="LB146" s="34"/>
      <c r="LC146" s="34"/>
      <c r="LD146" s="34"/>
      <c r="LE146" s="34"/>
      <c r="LF146" s="34"/>
      <c r="LG146" s="34"/>
      <c r="LH146" s="34"/>
      <c r="LI146" s="34"/>
      <c r="LJ146" s="34"/>
      <c r="LK146" s="34"/>
      <c r="LL146" s="34"/>
      <c r="LM146" s="34"/>
      <c r="LN146" s="34"/>
      <c r="LO146" s="34"/>
      <c r="LP146" s="34"/>
      <c r="LQ146" s="34"/>
      <c r="LR146" s="34"/>
      <c r="LS146" s="34"/>
      <c r="LT146" s="34"/>
      <c r="LU146" s="34"/>
      <c r="LV146" s="34"/>
      <c r="LW146" s="34"/>
      <c r="LX146" s="34"/>
      <c r="LY146" s="34"/>
      <c r="LZ146" s="34"/>
      <c r="MA146" s="34"/>
      <c r="MB146" s="34"/>
      <c r="MC146" s="34"/>
      <c r="MD146" s="34"/>
      <c r="ME146" s="34"/>
      <c r="MF146" s="34"/>
      <c r="MG146" s="34"/>
      <c r="MH146" s="34"/>
      <c r="MI146" s="34"/>
      <c r="MJ146" s="34"/>
      <c r="MK146" s="34"/>
      <c r="ML146" s="34"/>
      <c r="MM146" s="34"/>
      <c r="MN146" s="34"/>
      <c r="MO146" s="34"/>
      <c r="MP146" s="34"/>
      <c r="MQ146" s="34"/>
      <c r="MR146" s="34"/>
      <c r="MS146" s="34"/>
      <c r="MT146" s="34"/>
      <c r="MU146" s="34"/>
      <c r="MV146" s="34"/>
      <c r="MW146" s="34"/>
      <c r="MX146" s="34"/>
      <c r="MY146" s="34"/>
      <c r="MZ146" s="34"/>
      <c r="NA146" s="34"/>
      <c r="NB146" s="34"/>
      <c r="NC146" s="34"/>
      <c r="ND146" s="34"/>
      <c r="NE146" s="34"/>
      <c r="NF146" s="34"/>
      <c r="NG146" s="34"/>
      <c r="NH146" s="34"/>
      <c r="NI146" s="34"/>
      <c r="NJ146" s="34"/>
      <c r="NK146" s="34"/>
      <c r="NL146" s="34"/>
      <c r="NM146" s="34"/>
      <c r="NN146" s="34"/>
      <c r="NO146" s="34"/>
      <c r="NP146" s="34"/>
      <c r="NQ146" s="34"/>
      <c r="NR146" s="34"/>
      <c r="NS146" s="34"/>
      <c r="NT146" s="7">
        <f>COUNTIF(F146:NS146,"x")</f>
        <v>0</v>
      </c>
      <c r="NU146" s="81"/>
      <c r="NV146" s="32" t="str">
        <f>IF(NX146=0,"0",NX146/NX145)</f>
        <v>0</v>
      </c>
      <c r="NW146" s="37">
        <f t="shared" si="280"/>
        <v>0</v>
      </c>
      <c r="NX146" s="36">
        <f>COUNTIF(F146:AU146,"x")</f>
        <v>0</v>
      </c>
      <c r="NY146" s="81"/>
      <c r="NZ146" s="32" t="str">
        <f>IF(OB146=0,"0",OB146/OB145)</f>
        <v>0</v>
      </c>
      <c r="OA146" s="37">
        <f t="shared" si="281"/>
        <v>0</v>
      </c>
      <c r="OB146" s="36">
        <f>COUNTIF(AV146:CK146,"x")</f>
        <v>0</v>
      </c>
      <c r="OC146" s="81"/>
      <c r="OD146" s="32" t="str">
        <f>IF(OF146=0,"0",OF146/OF145)</f>
        <v>0</v>
      </c>
      <c r="OE146" s="37">
        <f t="shared" si="282"/>
        <v>0</v>
      </c>
      <c r="OF146" s="36">
        <f>COUNTIF(CL146:EA146,"x")</f>
        <v>0</v>
      </c>
      <c r="OG146" s="81"/>
      <c r="OH146" s="32" t="str">
        <f>IF(OJ146=0,"0",OJ146/OJ145)</f>
        <v>0</v>
      </c>
      <c r="OI146" s="37">
        <f t="shared" si="283"/>
        <v>0</v>
      </c>
      <c r="OJ146" s="36">
        <f>COUNTIF(EB146:FQ146,"x")</f>
        <v>0</v>
      </c>
      <c r="OK146" s="74"/>
      <c r="OL146" s="32" t="str">
        <f>IF(ON146=0,"0",ON146/ON145)</f>
        <v>0</v>
      </c>
      <c r="OM146" s="37">
        <f t="shared" si="284"/>
        <v>0</v>
      </c>
      <c r="ON146" s="36">
        <f>COUNTIF(FR146:HG146,"x")</f>
        <v>0</v>
      </c>
      <c r="OO146" s="74"/>
      <c r="OP146" s="32" t="str">
        <f>IF(OR146=0,"0",OR146/OR145)</f>
        <v>0</v>
      </c>
      <c r="OQ146" s="37">
        <f t="shared" si="285"/>
        <v>0</v>
      </c>
      <c r="OR146" s="36">
        <f>COUNTIF(HH146:IW146,"x")</f>
        <v>0</v>
      </c>
      <c r="OS146" s="74"/>
      <c r="OT146" s="32" t="str">
        <f>IF(OV146=0,"0",OV146/OV145)</f>
        <v>0</v>
      </c>
      <c r="OU146" s="37">
        <f t="shared" si="286"/>
        <v>0</v>
      </c>
      <c r="OV146" s="36">
        <f>COUNTIF(IX146:KM146,"x")</f>
        <v>0</v>
      </c>
      <c r="OW146" s="74"/>
      <c r="OX146" s="32" t="str">
        <f>IF(OZ146=0,"0",OZ146/OZ145)</f>
        <v>0</v>
      </c>
      <c r="OY146" s="37">
        <f t="shared" si="287"/>
        <v>0</v>
      </c>
      <c r="OZ146" s="36">
        <f>COUNTIF(KN146:MC146,"x")</f>
        <v>0</v>
      </c>
      <c r="PA146" s="74"/>
      <c r="PB146" s="32" t="str">
        <f>IF(PD146=0,"0",PD146/PD145)</f>
        <v>0</v>
      </c>
      <c r="PC146" s="37">
        <f t="shared" si="288"/>
        <v>0</v>
      </c>
      <c r="PD146" s="36">
        <f>COUNTIF(MD146:NS146,"x")</f>
        <v>0</v>
      </c>
      <c r="PE146" s="74"/>
    </row>
    <row r="147" spans="1:421" ht="15.75" customHeight="1" outlineLevel="1" x14ac:dyDescent="0.25">
      <c r="C147" s="82"/>
      <c r="D147" s="71"/>
      <c r="E147" s="53" t="s">
        <v>8</v>
      </c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69"/>
      <c r="Q147" s="33"/>
      <c r="R147" s="33"/>
      <c r="S147" s="33"/>
      <c r="T147" s="33"/>
      <c r="U147" s="33"/>
      <c r="V147" s="33"/>
      <c r="W147" s="69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  <c r="HI147" s="33"/>
      <c r="HJ147" s="33"/>
      <c r="HK147" s="33"/>
      <c r="HL147" s="33"/>
      <c r="HM147" s="33"/>
      <c r="HN147" s="33"/>
      <c r="HO147" s="33"/>
      <c r="HP147" s="33"/>
      <c r="HQ147" s="33"/>
      <c r="HR147" s="33"/>
      <c r="HS147" s="33"/>
      <c r="HT147" s="33"/>
      <c r="HU147" s="33"/>
      <c r="HV147" s="33"/>
      <c r="HW147" s="33"/>
      <c r="HX147" s="33"/>
      <c r="HY147" s="33"/>
      <c r="HZ147" s="33"/>
      <c r="IA147" s="33"/>
      <c r="IB147" s="33"/>
      <c r="IC147" s="33"/>
      <c r="ID147" s="33"/>
      <c r="IE147" s="33"/>
      <c r="IF147" s="33"/>
      <c r="IG147" s="33"/>
      <c r="IH147" s="33"/>
      <c r="II147" s="33"/>
      <c r="IJ147" s="33"/>
      <c r="IK147" s="33"/>
      <c r="IL147" s="33"/>
      <c r="IM147" s="33"/>
      <c r="IN147" s="33"/>
      <c r="IO147" s="33"/>
      <c r="IP147" s="33"/>
      <c r="IQ147" s="33"/>
      <c r="IR147" s="33"/>
      <c r="IS147" s="33"/>
      <c r="IT147" s="33"/>
      <c r="IU147" s="33"/>
      <c r="IV147" s="33"/>
      <c r="IW147" s="33"/>
      <c r="IX147" s="33"/>
      <c r="IY147" s="33"/>
      <c r="IZ147" s="33"/>
      <c r="JA147" s="33"/>
      <c r="JB147" s="33"/>
      <c r="JC147" s="33"/>
      <c r="JD147" s="33"/>
      <c r="JE147" s="33"/>
      <c r="JF147" s="33"/>
      <c r="JG147" s="33"/>
      <c r="JH147" s="33"/>
      <c r="JI147" s="33"/>
      <c r="JJ147" s="33"/>
      <c r="JK147" s="33"/>
      <c r="JL147" s="33"/>
      <c r="JM147" s="33"/>
      <c r="JN147" s="33"/>
      <c r="JO147" s="33"/>
      <c r="JP147" s="33"/>
      <c r="JQ147" s="33"/>
      <c r="JR147" s="33"/>
      <c r="JS147" s="33"/>
      <c r="JT147" s="33"/>
      <c r="JU147" s="33"/>
      <c r="JV147" s="33"/>
      <c r="JW147" s="33"/>
      <c r="JX147" s="33"/>
      <c r="JY147" s="33"/>
      <c r="JZ147" s="33"/>
      <c r="KA147" s="33"/>
      <c r="KB147" s="33"/>
      <c r="KC147" s="33"/>
      <c r="KD147" s="33"/>
      <c r="KE147" s="33"/>
      <c r="KF147" s="33"/>
      <c r="KG147" s="33"/>
      <c r="KH147" s="33"/>
      <c r="KI147" s="33"/>
      <c r="KJ147" s="33"/>
      <c r="KK147" s="33"/>
      <c r="KL147" s="33"/>
      <c r="KM147" s="33"/>
      <c r="KN147" s="33"/>
      <c r="KO147" s="33"/>
      <c r="KP147" s="33"/>
      <c r="KQ147" s="33"/>
      <c r="KR147" s="33"/>
      <c r="KS147" s="33"/>
      <c r="KT147" s="33"/>
      <c r="KU147" s="33"/>
      <c r="KV147" s="33"/>
      <c r="KW147" s="33"/>
      <c r="KX147" s="33"/>
      <c r="KY147" s="33"/>
      <c r="KZ147" s="33"/>
      <c r="LA147" s="33"/>
      <c r="LB147" s="33"/>
      <c r="LC147" s="33"/>
      <c r="LD147" s="33"/>
      <c r="LE147" s="33"/>
      <c r="LF147" s="33"/>
      <c r="LG147" s="33"/>
      <c r="LH147" s="33"/>
      <c r="LI147" s="33"/>
      <c r="LJ147" s="33"/>
      <c r="LK147" s="33"/>
      <c r="LL147" s="33"/>
      <c r="LM147" s="33"/>
      <c r="LN147" s="33"/>
      <c r="LO147" s="33"/>
      <c r="LP147" s="33"/>
      <c r="LQ147" s="33"/>
      <c r="LR147" s="33"/>
      <c r="LS147" s="33"/>
      <c r="LT147" s="33"/>
      <c r="LU147" s="33"/>
      <c r="LV147" s="33"/>
      <c r="LW147" s="33"/>
      <c r="LX147" s="33"/>
      <c r="LY147" s="33"/>
      <c r="LZ147" s="33"/>
      <c r="MA147" s="33"/>
      <c r="MB147" s="33"/>
      <c r="MC147" s="33"/>
      <c r="MD147" s="33"/>
      <c r="ME147" s="33"/>
      <c r="MF147" s="33"/>
      <c r="MG147" s="33"/>
      <c r="MH147" s="33"/>
      <c r="MI147" s="33"/>
      <c r="MJ147" s="33"/>
      <c r="MK147" s="33"/>
      <c r="ML147" s="33"/>
      <c r="MM147" s="33"/>
      <c r="MN147" s="33"/>
      <c r="MO147" s="33"/>
      <c r="MP147" s="33"/>
      <c r="MQ147" s="33"/>
      <c r="MR147" s="33"/>
      <c r="MS147" s="33"/>
      <c r="MT147" s="33"/>
      <c r="MU147" s="33"/>
      <c r="MV147" s="33"/>
      <c r="MW147" s="33"/>
      <c r="MX147" s="33"/>
      <c r="MY147" s="33"/>
      <c r="MZ147" s="33"/>
      <c r="NA147" s="33"/>
      <c r="NB147" s="33"/>
      <c r="NC147" s="33"/>
      <c r="ND147" s="33"/>
      <c r="NE147" s="33"/>
      <c r="NF147" s="33"/>
      <c r="NG147" s="33"/>
      <c r="NH147" s="33"/>
      <c r="NI147" s="33"/>
      <c r="NJ147" s="33"/>
      <c r="NK147" s="33"/>
      <c r="NL147" s="33"/>
      <c r="NM147" s="33"/>
      <c r="NN147" s="33"/>
      <c r="NO147" s="33"/>
      <c r="NP147" s="33"/>
      <c r="NQ147" s="33"/>
      <c r="NR147" s="33"/>
      <c r="NS147" s="33"/>
      <c r="NT147" s="31">
        <f>COUNTIF(F147:NS147,"1")</f>
        <v>0</v>
      </c>
      <c r="NU147" s="80" t="e">
        <f>NT148/NT147</f>
        <v>#DIV/0!</v>
      </c>
      <c r="NV147" s="29">
        <f>+IF(NX147&gt;=1,"1",0)</f>
        <v>0</v>
      </c>
      <c r="NW147" s="38">
        <f t="shared" si="280"/>
        <v>1</v>
      </c>
      <c r="NX147" s="35">
        <f>COUNTIF(F147:AU147,"1")</f>
        <v>0</v>
      </c>
      <c r="NY147" s="80" t="e">
        <f t="shared" si="270"/>
        <v>#DIV/0!</v>
      </c>
      <c r="NZ147" s="29">
        <f>+IF(OB147&gt;=1,"1",0)</f>
        <v>0</v>
      </c>
      <c r="OA147" s="38">
        <f t="shared" si="281"/>
        <v>1</v>
      </c>
      <c r="OB147" s="35">
        <f>COUNTIF(AV147:CK147,"1")</f>
        <v>0</v>
      </c>
      <c r="OC147" s="80" t="e">
        <f>OB148/OB147</f>
        <v>#DIV/0!</v>
      </c>
      <c r="OD147" s="29">
        <f>+IF(OF147&gt;=1,"1",0)</f>
        <v>0</v>
      </c>
      <c r="OE147" s="38">
        <f t="shared" si="282"/>
        <v>1</v>
      </c>
      <c r="OF147" s="35">
        <f>COUNTIF(CL147:EA147,"1")</f>
        <v>0</v>
      </c>
      <c r="OG147" s="80" t="e">
        <f>OF148/OF147</f>
        <v>#DIV/0!</v>
      </c>
      <c r="OH147" s="29">
        <f>+IF(OJ147&gt;=1,"1",0)</f>
        <v>0</v>
      </c>
      <c r="OI147" s="38">
        <f t="shared" si="283"/>
        <v>1</v>
      </c>
      <c r="OJ147" s="35">
        <f>COUNTIF(EB147:FQ147,"1")</f>
        <v>0</v>
      </c>
      <c r="OK147" s="79" t="e">
        <f>OJ148/OJ147</f>
        <v>#DIV/0!</v>
      </c>
      <c r="OL147" s="29">
        <f>+IF(ON147&gt;=1,"1",0)</f>
        <v>0</v>
      </c>
      <c r="OM147" s="38">
        <f t="shared" si="284"/>
        <v>1</v>
      </c>
      <c r="ON147" s="35">
        <f>COUNTIF(FR147:HG147,"1")</f>
        <v>0</v>
      </c>
      <c r="OO147" s="79" t="e">
        <f>ON148/ON147</f>
        <v>#DIV/0!</v>
      </c>
      <c r="OP147" s="29">
        <f>+IF(OR147&gt;=1,"1",0)</f>
        <v>0</v>
      </c>
      <c r="OQ147" s="38">
        <f t="shared" si="285"/>
        <v>1</v>
      </c>
      <c r="OR147" s="35">
        <f>COUNTIF(HH147:IW147,"1")</f>
        <v>0</v>
      </c>
      <c r="OS147" s="79" t="e">
        <f>OR148/OR147</f>
        <v>#DIV/0!</v>
      </c>
      <c r="OT147" s="29">
        <f>+IF(OV147&gt;=1,"1",0)</f>
        <v>0</v>
      </c>
      <c r="OU147" s="38">
        <f t="shared" si="286"/>
        <v>1</v>
      </c>
      <c r="OV147" s="35">
        <f>COUNTIF(IX147:KM147,"1")</f>
        <v>0</v>
      </c>
      <c r="OW147" s="79" t="e">
        <f>OV148/OV147</f>
        <v>#DIV/0!</v>
      </c>
      <c r="OX147" s="29">
        <f>+IF(OZ147&gt;=1,"1",0)</f>
        <v>0</v>
      </c>
      <c r="OY147" s="38">
        <f t="shared" si="287"/>
        <v>1</v>
      </c>
      <c r="OZ147" s="35">
        <f>COUNTIF(KN147:MC147,"1")</f>
        <v>0</v>
      </c>
      <c r="PA147" s="79" t="e">
        <f>OZ148/OZ147</f>
        <v>#DIV/0!</v>
      </c>
      <c r="PB147" s="29">
        <f>+IF(PD147&gt;=1,"1",0)</f>
        <v>0</v>
      </c>
      <c r="PC147" s="38">
        <f t="shared" si="288"/>
        <v>1</v>
      </c>
      <c r="PD147" s="35">
        <f>COUNTIF(MD147:NS147,"1")</f>
        <v>0</v>
      </c>
      <c r="PE147" s="79" t="e">
        <f>PD148/PD147</f>
        <v>#DIV/0!</v>
      </c>
    </row>
    <row r="148" spans="1:421" ht="15.75" customHeight="1" outlineLevel="1" thickBot="1" x14ac:dyDescent="0.3">
      <c r="C148" s="83"/>
      <c r="D148" s="72"/>
      <c r="E148" s="54" t="s">
        <v>9</v>
      </c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70"/>
      <c r="Q148" s="34"/>
      <c r="R148" s="34"/>
      <c r="S148" s="34"/>
      <c r="T148" s="34"/>
      <c r="U148" s="34"/>
      <c r="V148" s="34"/>
      <c r="W148" s="70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  <c r="HB148" s="34"/>
      <c r="HC148" s="34"/>
      <c r="HD148" s="34"/>
      <c r="HE148" s="34"/>
      <c r="HF148" s="34"/>
      <c r="HG148" s="34"/>
      <c r="HH148" s="34"/>
      <c r="HI148" s="34"/>
      <c r="HJ148" s="34"/>
      <c r="HK148" s="34"/>
      <c r="HL148" s="34"/>
      <c r="HM148" s="34"/>
      <c r="HN148" s="34"/>
      <c r="HO148" s="34"/>
      <c r="HP148" s="34"/>
      <c r="HQ148" s="34"/>
      <c r="HR148" s="34"/>
      <c r="HS148" s="34"/>
      <c r="HT148" s="34"/>
      <c r="HU148" s="34"/>
      <c r="HV148" s="34"/>
      <c r="HW148" s="34"/>
      <c r="HX148" s="34"/>
      <c r="HY148" s="34"/>
      <c r="HZ148" s="34"/>
      <c r="IA148" s="34"/>
      <c r="IB148" s="34"/>
      <c r="IC148" s="34"/>
      <c r="ID148" s="34"/>
      <c r="IE148" s="34"/>
      <c r="IF148" s="34"/>
      <c r="IG148" s="34"/>
      <c r="IH148" s="34"/>
      <c r="II148" s="34"/>
      <c r="IJ148" s="34"/>
      <c r="IK148" s="34"/>
      <c r="IL148" s="34"/>
      <c r="IM148" s="34"/>
      <c r="IN148" s="34"/>
      <c r="IO148" s="34"/>
      <c r="IP148" s="34"/>
      <c r="IQ148" s="34"/>
      <c r="IR148" s="34"/>
      <c r="IS148" s="34"/>
      <c r="IT148" s="34"/>
      <c r="IU148" s="34"/>
      <c r="IV148" s="34"/>
      <c r="IW148" s="34"/>
      <c r="IX148" s="34"/>
      <c r="IY148" s="34"/>
      <c r="IZ148" s="34"/>
      <c r="JA148" s="34"/>
      <c r="JB148" s="34"/>
      <c r="JC148" s="34"/>
      <c r="JD148" s="34"/>
      <c r="JE148" s="34"/>
      <c r="JF148" s="34"/>
      <c r="JG148" s="34"/>
      <c r="JH148" s="34"/>
      <c r="JI148" s="34"/>
      <c r="JJ148" s="34"/>
      <c r="JK148" s="34"/>
      <c r="JL148" s="34"/>
      <c r="JM148" s="34"/>
      <c r="JN148" s="34"/>
      <c r="JO148" s="34"/>
      <c r="JP148" s="34"/>
      <c r="JQ148" s="34"/>
      <c r="JR148" s="34"/>
      <c r="JS148" s="34"/>
      <c r="JT148" s="34"/>
      <c r="JU148" s="34"/>
      <c r="JV148" s="34"/>
      <c r="JW148" s="34"/>
      <c r="JX148" s="34"/>
      <c r="JY148" s="34"/>
      <c r="JZ148" s="34"/>
      <c r="KA148" s="34"/>
      <c r="KB148" s="34"/>
      <c r="KC148" s="34"/>
      <c r="KD148" s="34"/>
      <c r="KE148" s="34"/>
      <c r="KF148" s="34"/>
      <c r="KG148" s="34"/>
      <c r="KH148" s="34"/>
      <c r="KI148" s="34"/>
      <c r="KJ148" s="34"/>
      <c r="KK148" s="34"/>
      <c r="KL148" s="34"/>
      <c r="KM148" s="34"/>
      <c r="KN148" s="34"/>
      <c r="KO148" s="34"/>
      <c r="KP148" s="34"/>
      <c r="KQ148" s="34"/>
      <c r="KR148" s="34"/>
      <c r="KS148" s="34"/>
      <c r="KT148" s="34"/>
      <c r="KU148" s="34"/>
      <c r="KV148" s="34"/>
      <c r="KW148" s="34"/>
      <c r="KX148" s="34"/>
      <c r="KY148" s="34"/>
      <c r="KZ148" s="34"/>
      <c r="LA148" s="34"/>
      <c r="LB148" s="34"/>
      <c r="LC148" s="34"/>
      <c r="LD148" s="34"/>
      <c r="LE148" s="34"/>
      <c r="LF148" s="34"/>
      <c r="LG148" s="34"/>
      <c r="LH148" s="34"/>
      <c r="LI148" s="34"/>
      <c r="LJ148" s="34"/>
      <c r="LK148" s="34"/>
      <c r="LL148" s="34"/>
      <c r="LM148" s="34"/>
      <c r="LN148" s="34"/>
      <c r="LO148" s="34"/>
      <c r="LP148" s="34"/>
      <c r="LQ148" s="34"/>
      <c r="LR148" s="34"/>
      <c r="LS148" s="34"/>
      <c r="LT148" s="34"/>
      <c r="LU148" s="34"/>
      <c r="LV148" s="34"/>
      <c r="LW148" s="34"/>
      <c r="LX148" s="34"/>
      <c r="LY148" s="34"/>
      <c r="LZ148" s="34"/>
      <c r="MA148" s="34"/>
      <c r="MB148" s="34"/>
      <c r="MC148" s="34"/>
      <c r="MD148" s="34"/>
      <c r="ME148" s="34"/>
      <c r="MF148" s="34"/>
      <c r="MG148" s="34"/>
      <c r="MH148" s="34"/>
      <c r="MI148" s="34"/>
      <c r="MJ148" s="34"/>
      <c r="MK148" s="34"/>
      <c r="ML148" s="34"/>
      <c r="MM148" s="34"/>
      <c r="MN148" s="34"/>
      <c r="MO148" s="34"/>
      <c r="MP148" s="34"/>
      <c r="MQ148" s="34"/>
      <c r="MR148" s="34"/>
      <c r="MS148" s="34"/>
      <c r="MT148" s="34"/>
      <c r="MU148" s="34"/>
      <c r="MV148" s="34"/>
      <c r="MW148" s="34"/>
      <c r="MX148" s="34"/>
      <c r="MY148" s="34"/>
      <c r="MZ148" s="34"/>
      <c r="NA148" s="34"/>
      <c r="NB148" s="34"/>
      <c r="NC148" s="34"/>
      <c r="ND148" s="34"/>
      <c r="NE148" s="34"/>
      <c r="NF148" s="34"/>
      <c r="NG148" s="34"/>
      <c r="NH148" s="34"/>
      <c r="NI148" s="34"/>
      <c r="NJ148" s="34"/>
      <c r="NK148" s="34"/>
      <c r="NL148" s="34"/>
      <c r="NM148" s="34"/>
      <c r="NN148" s="34"/>
      <c r="NO148" s="34"/>
      <c r="NP148" s="34"/>
      <c r="NQ148" s="34"/>
      <c r="NR148" s="34"/>
      <c r="NS148" s="34"/>
      <c r="NT148" s="7">
        <f>COUNTIF(F148:NS148,"x")</f>
        <v>0</v>
      </c>
      <c r="NU148" s="81"/>
      <c r="NV148" s="32" t="str">
        <f>IF(NX148=0,"0",NX148/NX147)</f>
        <v>0</v>
      </c>
      <c r="NW148" s="37">
        <f t="shared" si="280"/>
        <v>0</v>
      </c>
      <c r="NX148" s="36">
        <f>COUNTIF(F148:AU148,"x")</f>
        <v>0</v>
      </c>
      <c r="NY148" s="81"/>
      <c r="NZ148" s="32" t="str">
        <f>IF(OB148=0,"0",OB148/OB147)</f>
        <v>0</v>
      </c>
      <c r="OA148" s="37">
        <f t="shared" si="281"/>
        <v>0</v>
      </c>
      <c r="OB148" s="36">
        <f>COUNTIF(AV148:CK148,"x")</f>
        <v>0</v>
      </c>
      <c r="OC148" s="81"/>
      <c r="OD148" s="32" t="str">
        <f>IF(OF148=0,"0",OF148/OF147)</f>
        <v>0</v>
      </c>
      <c r="OE148" s="37">
        <f t="shared" si="282"/>
        <v>0</v>
      </c>
      <c r="OF148" s="36">
        <f>COUNTIF(CL148:EA148,"x")</f>
        <v>0</v>
      </c>
      <c r="OG148" s="81"/>
      <c r="OH148" s="32" t="str">
        <f>IF(OJ148=0,"0",OJ148/OJ147)</f>
        <v>0</v>
      </c>
      <c r="OI148" s="37">
        <f t="shared" si="283"/>
        <v>0</v>
      </c>
      <c r="OJ148" s="36">
        <f>COUNTIF(EB148:FQ148,"x")</f>
        <v>0</v>
      </c>
      <c r="OK148" s="74"/>
      <c r="OL148" s="32" t="str">
        <f>IF(ON148=0,"0",ON148/ON147)</f>
        <v>0</v>
      </c>
      <c r="OM148" s="37">
        <f t="shared" si="284"/>
        <v>0</v>
      </c>
      <c r="ON148" s="36">
        <f>COUNTIF(FR148:HG148,"x")</f>
        <v>0</v>
      </c>
      <c r="OO148" s="74"/>
      <c r="OP148" s="32" t="str">
        <f>IF(OR148=0,"0",OR148/OR147)</f>
        <v>0</v>
      </c>
      <c r="OQ148" s="37">
        <f t="shared" si="285"/>
        <v>0</v>
      </c>
      <c r="OR148" s="36">
        <f>COUNTIF(HH148:IW148,"x")</f>
        <v>0</v>
      </c>
      <c r="OS148" s="74"/>
      <c r="OT148" s="32" t="str">
        <f>IF(OV148=0,"0",OV148/OV147)</f>
        <v>0</v>
      </c>
      <c r="OU148" s="37">
        <f t="shared" si="286"/>
        <v>0</v>
      </c>
      <c r="OV148" s="36">
        <f>COUNTIF(IX148:KM148,"x")</f>
        <v>0</v>
      </c>
      <c r="OW148" s="74"/>
      <c r="OX148" s="32" t="str">
        <f>IF(OZ148=0,"0",OZ148/OZ147)</f>
        <v>0</v>
      </c>
      <c r="OY148" s="37">
        <f t="shared" si="287"/>
        <v>0</v>
      </c>
      <c r="OZ148" s="36">
        <f>COUNTIF(KN148:MC148,"x")</f>
        <v>0</v>
      </c>
      <c r="PA148" s="74"/>
      <c r="PB148" s="32" t="str">
        <f>IF(PD148=0,"0",PD148/PD147)</f>
        <v>0</v>
      </c>
      <c r="PC148" s="37">
        <f t="shared" si="288"/>
        <v>0</v>
      </c>
      <c r="PD148" s="36">
        <f>COUNTIF(MD148:NS148,"x")</f>
        <v>0</v>
      </c>
      <c r="PE148" s="74"/>
    </row>
    <row r="149" spans="1:421" ht="15.75" customHeight="1" x14ac:dyDescent="0.25">
      <c r="A149" s="18"/>
      <c r="B149" s="18"/>
      <c r="C149" s="94" t="s">
        <v>42</v>
      </c>
      <c r="D149" s="57"/>
      <c r="E149" s="51" t="s">
        <v>8</v>
      </c>
      <c r="F149" s="12">
        <f>COUNTIF(F151:F156,"1")</f>
        <v>0</v>
      </c>
      <c r="G149" s="12">
        <f>COUNTIF(G151:G156,"1")</f>
        <v>0</v>
      </c>
      <c r="H149" s="12">
        <f>COUNTIF(H151:H156,"1")</f>
        <v>0</v>
      </c>
      <c r="I149" s="12">
        <f>COUNTIF(I151:I156,"1")</f>
        <v>0</v>
      </c>
      <c r="J149" s="12">
        <f>COUNTIF(J151:J156,"1")</f>
        <v>0</v>
      </c>
      <c r="K149" s="12">
        <f>COUNTIF(K151:K156,"1")</f>
        <v>0</v>
      </c>
      <c r="L149" s="12">
        <f>COUNTIF(L151:L156,"1")</f>
        <v>0</v>
      </c>
      <c r="M149" s="12">
        <f>COUNTIF(M151:M156,"1")</f>
        <v>0</v>
      </c>
      <c r="N149" s="12">
        <f>COUNTIF(N151:N156,"1")</f>
        <v>0</v>
      </c>
      <c r="O149" s="12">
        <f>COUNTIF(O151:O156,"1")</f>
        <v>0</v>
      </c>
      <c r="P149" s="69">
        <f>COUNTIF(P151:P156,"1")</f>
        <v>0</v>
      </c>
      <c r="Q149" s="12">
        <f>COUNTIF(Q151:Q156,"1")</f>
        <v>1</v>
      </c>
      <c r="R149" s="12">
        <f>COUNTIF(R151:R156,"1")</f>
        <v>1</v>
      </c>
      <c r="S149" s="12">
        <f>COUNTIF(S151:S156,"1")</f>
        <v>0</v>
      </c>
      <c r="T149" s="12">
        <f>COUNTIF(T151:T156,"1")</f>
        <v>0</v>
      </c>
      <c r="U149" s="12">
        <f>COUNTIF(U151:U156,"1")</f>
        <v>0</v>
      </c>
      <c r="V149" s="12">
        <f>COUNTIF(V151:V156,"1")</f>
        <v>0</v>
      </c>
      <c r="W149" s="69">
        <f>COUNTIF(W151:W156,"1")</f>
        <v>0</v>
      </c>
      <c r="X149" s="12">
        <f>COUNTIF(X151:X156,"1")</f>
        <v>0</v>
      </c>
      <c r="Y149" s="12">
        <f>COUNTIF(Y151:Y156,"1")</f>
        <v>1</v>
      </c>
      <c r="Z149" s="12">
        <f>COUNTIF(Z151:Z156,"1")</f>
        <v>1</v>
      </c>
      <c r="AA149" s="12">
        <f>COUNTIF(AA151:AA156,"1")</f>
        <v>1</v>
      </c>
      <c r="AB149" s="12">
        <f>COUNTIF(AB151:AB156,"1")</f>
        <v>0</v>
      </c>
      <c r="AC149" s="12">
        <f>COUNTIF(AC151:AC156,"1")</f>
        <v>0</v>
      </c>
      <c r="AD149" s="12">
        <f>COUNTIF(AD151:AD156,"1")</f>
        <v>0</v>
      </c>
      <c r="AE149" s="12">
        <f>COUNTIF(AE151:AE156,"1")</f>
        <v>0</v>
      </c>
      <c r="AF149" s="12">
        <f>COUNTIF(AF151:AF156,"1")</f>
        <v>0</v>
      </c>
      <c r="AG149" s="12">
        <f>COUNTIF(AG151:AG156,"1")</f>
        <v>0</v>
      </c>
      <c r="AH149" s="12">
        <f>COUNTIF(AH151:AH156,"1")</f>
        <v>0</v>
      </c>
      <c r="AI149" s="12">
        <f>COUNTIF(AI151:AI156,"1")</f>
        <v>0</v>
      </c>
      <c r="AJ149" s="12">
        <f>COUNTIF(AJ151:AJ156,"1")</f>
        <v>0</v>
      </c>
      <c r="AK149" s="12">
        <f>COUNTIF(AK151:AK156,"1")</f>
        <v>0</v>
      </c>
      <c r="AL149" s="12">
        <f>COUNTIF(AL151:AL156,"1")</f>
        <v>0</v>
      </c>
      <c r="AM149" s="12">
        <f>COUNTIF(AM151:AM156,"1")</f>
        <v>0</v>
      </c>
      <c r="AN149" s="12">
        <f>COUNTIF(AN151:AN156,"1")</f>
        <v>0</v>
      </c>
      <c r="AO149" s="12">
        <f>COUNTIF(AO151:AO156,"1")</f>
        <v>0</v>
      </c>
      <c r="AP149" s="12">
        <f>COUNTIF(AP151:AP156,"1")</f>
        <v>0</v>
      </c>
      <c r="AQ149" s="12">
        <f>COUNTIF(AQ151:AQ156,"1")</f>
        <v>0</v>
      </c>
      <c r="AR149" s="12">
        <f>COUNTIF(AR151:AR156,"1")</f>
        <v>0</v>
      </c>
      <c r="AS149" s="12">
        <f>COUNTIF(AS151:AS156,"1")</f>
        <v>0</v>
      </c>
      <c r="AT149" s="12">
        <f>COUNTIF(AT151:AT156,"1")</f>
        <v>0</v>
      </c>
      <c r="AU149" s="12">
        <f>COUNTIF(AU151:AU156,"1")</f>
        <v>0</v>
      </c>
      <c r="AV149" s="12">
        <f>COUNTIF(AV151:AV156,"1")</f>
        <v>0</v>
      </c>
      <c r="AW149" s="12">
        <f>COUNTIF(AW151:AW156,"1")</f>
        <v>0</v>
      </c>
      <c r="AX149" s="12">
        <f>COUNTIF(AX151:AX156,"1")</f>
        <v>0</v>
      </c>
      <c r="AY149" s="12">
        <f>COUNTIF(AY151:AY156,"1")</f>
        <v>0</v>
      </c>
      <c r="AZ149" s="12">
        <f>COUNTIF(AZ151:AZ156,"1")</f>
        <v>0</v>
      </c>
      <c r="BA149" s="12">
        <f>COUNTIF(BA151:BA156,"1")</f>
        <v>0</v>
      </c>
      <c r="BB149" s="12">
        <f>COUNTIF(BB151:BB156,"1")</f>
        <v>0</v>
      </c>
      <c r="BC149" s="12">
        <f>COUNTIF(BC151:BC156,"1")</f>
        <v>0</v>
      </c>
      <c r="BD149" s="12">
        <f>COUNTIF(BD151:BD156,"1")</f>
        <v>0</v>
      </c>
      <c r="BE149" s="12">
        <f>COUNTIF(BE151:BE156,"1")</f>
        <v>0</v>
      </c>
      <c r="BF149" s="12">
        <f>COUNTIF(BF151:BF156,"1")</f>
        <v>0</v>
      </c>
      <c r="BG149" s="12">
        <f>COUNTIF(BG151:BG156,"1")</f>
        <v>0</v>
      </c>
      <c r="BH149" s="12">
        <f>COUNTIF(BH151:BH156,"1")</f>
        <v>0</v>
      </c>
      <c r="BI149" s="12">
        <f>COUNTIF(BI151:BI156,"1")</f>
        <v>0</v>
      </c>
      <c r="BJ149" s="12">
        <f>COUNTIF(BJ151:BJ156,"1")</f>
        <v>0</v>
      </c>
      <c r="BK149" s="12">
        <f>COUNTIF(BK151:BK156,"1")</f>
        <v>0</v>
      </c>
      <c r="BL149" s="12">
        <f>COUNTIF(BL151:BL156,"1")</f>
        <v>0</v>
      </c>
      <c r="BM149" s="12">
        <f>COUNTIF(BM151:BM156,"1")</f>
        <v>0</v>
      </c>
      <c r="BN149" s="12">
        <f>COUNTIF(BN151:BN156,"1")</f>
        <v>0</v>
      </c>
      <c r="BO149" s="12">
        <f>COUNTIF(BO151:BO156,"1")</f>
        <v>0</v>
      </c>
      <c r="BP149" s="12">
        <f>COUNTIF(BP151:BP156,"1")</f>
        <v>0</v>
      </c>
      <c r="BQ149" s="12">
        <f>COUNTIF(BQ151:BQ156,"1")</f>
        <v>0</v>
      </c>
      <c r="BR149" s="12">
        <f>COUNTIF(BR151:BR156,"1")</f>
        <v>0</v>
      </c>
      <c r="BS149" s="12">
        <f>COUNTIF(BS151:BS156,"1")</f>
        <v>0</v>
      </c>
      <c r="BT149" s="12">
        <f>COUNTIF(BT151:BT156,"1")</f>
        <v>0</v>
      </c>
      <c r="BU149" s="12">
        <f>COUNTIF(BU151:BU156,"1")</f>
        <v>0</v>
      </c>
      <c r="BV149" s="12">
        <f>COUNTIF(BV151:BV156,"1")</f>
        <v>0</v>
      </c>
      <c r="BW149" s="12">
        <f>COUNTIF(BW151:BW156,"1")</f>
        <v>0</v>
      </c>
      <c r="BX149" s="12">
        <f>COUNTIF(BX151:BX156,"1")</f>
        <v>0</v>
      </c>
      <c r="BY149" s="12">
        <f>COUNTIF(BY151:BY156,"1")</f>
        <v>0</v>
      </c>
      <c r="BZ149" s="12">
        <f>COUNTIF(BZ151:BZ156,"1")</f>
        <v>0</v>
      </c>
      <c r="CA149" s="12">
        <f>COUNTIF(CA151:CA156,"1")</f>
        <v>0</v>
      </c>
      <c r="CB149" s="12">
        <f>COUNTIF(CB151:CB156,"1")</f>
        <v>0</v>
      </c>
      <c r="CC149" s="12">
        <f>COUNTIF(CC151:CC156,"1")</f>
        <v>0</v>
      </c>
      <c r="CD149" s="12">
        <f>COUNTIF(CD151:CD156,"1")</f>
        <v>0</v>
      </c>
      <c r="CE149" s="12">
        <f>COUNTIF(CE151:CE156,"1")</f>
        <v>0</v>
      </c>
      <c r="CF149" s="12">
        <f>COUNTIF(CF151:CF156,"1")</f>
        <v>0</v>
      </c>
      <c r="CG149" s="12">
        <f>COUNTIF(CG151:CG156,"1")</f>
        <v>0</v>
      </c>
      <c r="CH149" s="12">
        <f>COUNTIF(CH151:CH156,"1")</f>
        <v>0</v>
      </c>
      <c r="CI149" s="12">
        <f>COUNTIF(CI151:CI156,"1")</f>
        <v>0</v>
      </c>
      <c r="CJ149" s="12">
        <f>COUNTIF(CJ151:CJ156,"1")</f>
        <v>0</v>
      </c>
      <c r="CK149" s="12">
        <f>COUNTIF(CK151:CK156,"1")</f>
        <v>0</v>
      </c>
      <c r="CL149" s="12">
        <f>COUNTIF(CL151:CL156,"1")</f>
        <v>0</v>
      </c>
      <c r="CM149" s="12">
        <f>COUNTIF(CM151:CM156,"1")</f>
        <v>0</v>
      </c>
      <c r="CN149" s="12">
        <f>COUNTIF(CN151:CN156,"1")</f>
        <v>0</v>
      </c>
      <c r="CO149" s="12">
        <f>COUNTIF(CO151:CO156,"1")</f>
        <v>0</v>
      </c>
      <c r="CP149" s="12">
        <f>COUNTIF(CP151:CP156,"1")</f>
        <v>0</v>
      </c>
      <c r="CQ149" s="12">
        <f>COUNTIF(CQ151:CQ156,"1")</f>
        <v>0</v>
      </c>
      <c r="CR149" s="12">
        <f>COUNTIF(CR151:CR156,"1")</f>
        <v>0</v>
      </c>
      <c r="CS149" s="12">
        <f>COUNTIF(CS151:CS156,"1")</f>
        <v>0</v>
      </c>
      <c r="CT149" s="12">
        <f>COUNTIF(CT151:CT156,"1")</f>
        <v>0</v>
      </c>
      <c r="CU149" s="12">
        <f>COUNTIF(CU151:CU156,"1")</f>
        <v>0</v>
      </c>
      <c r="CV149" s="12">
        <f>COUNTIF(CV151:CV156,"1")</f>
        <v>0</v>
      </c>
      <c r="CW149" s="12">
        <f>COUNTIF(CW151:CW156,"1")</f>
        <v>0</v>
      </c>
      <c r="CX149" s="12">
        <f>COUNTIF(CX151:CX156,"1")</f>
        <v>0</v>
      </c>
      <c r="CY149" s="12">
        <f>COUNTIF(CY151:CY156,"1")</f>
        <v>0</v>
      </c>
      <c r="CZ149" s="12">
        <f>COUNTIF(CZ151:CZ156,"1")</f>
        <v>0</v>
      </c>
      <c r="DA149" s="12">
        <f>COUNTIF(DA151:DA156,"1")</f>
        <v>0</v>
      </c>
      <c r="DB149" s="12">
        <f>COUNTIF(DB151:DB156,"1")</f>
        <v>0</v>
      </c>
      <c r="DC149" s="12">
        <f>COUNTIF(DC151:DC156,"1")</f>
        <v>0</v>
      </c>
      <c r="DD149" s="12">
        <f>COUNTIF(DD151:DD156,"1")</f>
        <v>0</v>
      </c>
      <c r="DE149" s="12">
        <f>COUNTIF(DE151:DE156,"1")</f>
        <v>0</v>
      </c>
      <c r="DF149" s="12">
        <f>COUNTIF(DF151:DF156,"1")</f>
        <v>0</v>
      </c>
      <c r="DG149" s="12">
        <f>COUNTIF(DG151:DG156,"1")</f>
        <v>0</v>
      </c>
      <c r="DH149" s="12">
        <f>COUNTIF(DH151:DH156,"1")</f>
        <v>0</v>
      </c>
      <c r="DI149" s="12">
        <f>COUNTIF(DI151:DI156,"1")</f>
        <v>0</v>
      </c>
      <c r="DJ149" s="12">
        <f>COUNTIF(DJ151:DJ156,"1")</f>
        <v>0</v>
      </c>
      <c r="DK149" s="12">
        <f>COUNTIF(DK151:DK156,"1")</f>
        <v>0</v>
      </c>
      <c r="DL149" s="12">
        <f>COUNTIF(DL151:DL156,"1")</f>
        <v>0</v>
      </c>
      <c r="DM149" s="12">
        <f>COUNTIF(DM151:DM156,"1")</f>
        <v>0</v>
      </c>
      <c r="DN149" s="12">
        <f>COUNTIF(DN151:DN156,"1")</f>
        <v>0</v>
      </c>
      <c r="DO149" s="12">
        <f>COUNTIF(DO151:DO156,"1")</f>
        <v>0</v>
      </c>
      <c r="DP149" s="12">
        <f>COUNTIF(DP151:DP156,"1")</f>
        <v>0</v>
      </c>
      <c r="DQ149" s="12">
        <f>COUNTIF(DQ151:DQ156,"1")</f>
        <v>0</v>
      </c>
      <c r="DR149" s="12">
        <f>COUNTIF(DR151:DR156,"1")</f>
        <v>0</v>
      </c>
      <c r="DS149" s="12">
        <f>COUNTIF(DS151:DS156,"1")</f>
        <v>0</v>
      </c>
      <c r="DT149" s="12">
        <f>COUNTIF(DT151:DT156,"1")</f>
        <v>0</v>
      </c>
      <c r="DU149" s="12">
        <f>COUNTIF(DU151:DU156,"1")</f>
        <v>0</v>
      </c>
      <c r="DV149" s="12">
        <f>COUNTIF(DV151:DV156,"1")</f>
        <v>0</v>
      </c>
      <c r="DW149" s="12">
        <f>COUNTIF(DW151:DW156,"1")</f>
        <v>0</v>
      </c>
      <c r="DX149" s="12">
        <f>COUNTIF(DX151:DX156,"1")</f>
        <v>0</v>
      </c>
      <c r="DY149" s="12">
        <f>COUNTIF(DY151:DY156,"1")</f>
        <v>0</v>
      </c>
      <c r="DZ149" s="12">
        <f>COUNTIF(DZ151:DZ156,"1")</f>
        <v>0</v>
      </c>
      <c r="EA149" s="12">
        <f>COUNTIF(EA151:EA156,"1")</f>
        <v>0</v>
      </c>
      <c r="EB149" s="12">
        <f>COUNTIF(EB151:EB156,"1")</f>
        <v>0</v>
      </c>
      <c r="EC149" s="12">
        <f>COUNTIF(EC151:EC156,"1")</f>
        <v>0</v>
      </c>
      <c r="ED149" s="12">
        <f>COUNTIF(ED151:ED156,"1")</f>
        <v>0</v>
      </c>
      <c r="EE149" s="12">
        <f>COUNTIF(EE151:EE156,"1")</f>
        <v>0</v>
      </c>
      <c r="EF149" s="12">
        <f>COUNTIF(EF151:EF156,"1")</f>
        <v>0</v>
      </c>
      <c r="EG149" s="12">
        <f>COUNTIF(EG151:EG156,"1")</f>
        <v>0</v>
      </c>
      <c r="EH149" s="12">
        <f>COUNTIF(EH151:EH156,"1")</f>
        <v>0</v>
      </c>
      <c r="EI149" s="12">
        <f>COUNTIF(EI151:EI156,"1")</f>
        <v>0</v>
      </c>
      <c r="EJ149" s="12">
        <f>COUNTIF(EJ151:EJ156,"1")</f>
        <v>0</v>
      </c>
      <c r="EK149" s="12">
        <f>COUNTIF(EK151:EK156,"1")</f>
        <v>0</v>
      </c>
      <c r="EL149" s="12">
        <f>COUNTIF(EL151:EL156,"1")</f>
        <v>0</v>
      </c>
      <c r="EM149" s="12">
        <f>COUNTIF(EM151:EM156,"1")</f>
        <v>0</v>
      </c>
      <c r="EN149" s="12">
        <f>COUNTIF(EN151:EN156,"1")</f>
        <v>0</v>
      </c>
      <c r="EO149" s="12">
        <f>COUNTIF(EO151:EO156,"1")</f>
        <v>0</v>
      </c>
      <c r="EP149" s="12">
        <f>COUNTIF(EP151:EP156,"1")</f>
        <v>0</v>
      </c>
      <c r="EQ149" s="12">
        <f>COUNTIF(EQ151:EQ156,"1")</f>
        <v>0</v>
      </c>
      <c r="ER149" s="12">
        <f>COUNTIF(ER151:ER156,"1")</f>
        <v>0</v>
      </c>
      <c r="ES149" s="12">
        <f>COUNTIF(ES151:ES156,"1")</f>
        <v>0</v>
      </c>
      <c r="ET149" s="12">
        <f>COUNTIF(ET151:ET156,"1")</f>
        <v>0</v>
      </c>
      <c r="EU149" s="12">
        <f>COUNTIF(EU151:EU156,"1")</f>
        <v>0</v>
      </c>
      <c r="EV149" s="12">
        <f>COUNTIF(EV151:EV156,"1")</f>
        <v>0</v>
      </c>
      <c r="EW149" s="12">
        <f>COUNTIF(EW151:EW156,"1")</f>
        <v>0</v>
      </c>
      <c r="EX149" s="12">
        <f>COUNTIF(EX151:EX156,"1")</f>
        <v>0</v>
      </c>
      <c r="EY149" s="12">
        <f>COUNTIF(EY151:EY156,"1")</f>
        <v>0</v>
      </c>
      <c r="EZ149" s="12">
        <f>COUNTIF(EZ151:EZ156,"1")</f>
        <v>0</v>
      </c>
      <c r="FA149" s="12">
        <f>COUNTIF(FA151:FA156,"1")</f>
        <v>0</v>
      </c>
      <c r="FB149" s="12">
        <f>COUNTIF(FB151:FB156,"1")</f>
        <v>0</v>
      </c>
      <c r="FC149" s="12">
        <f>COUNTIF(FC151:FC156,"1")</f>
        <v>0</v>
      </c>
      <c r="FD149" s="12">
        <f>COUNTIF(FD151:FD156,"1")</f>
        <v>0</v>
      </c>
      <c r="FE149" s="12">
        <f>COUNTIF(FE151:FE156,"1")</f>
        <v>0</v>
      </c>
      <c r="FF149" s="12">
        <f>COUNTIF(FF151:FF156,"1")</f>
        <v>0</v>
      </c>
      <c r="FG149" s="12">
        <f>COUNTIF(FG151:FG156,"1")</f>
        <v>0</v>
      </c>
      <c r="FH149" s="12">
        <f>COUNTIF(FH151:FH156,"1")</f>
        <v>0</v>
      </c>
      <c r="FI149" s="12">
        <f>COUNTIF(FI151:FI156,"1")</f>
        <v>0</v>
      </c>
      <c r="FJ149" s="12">
        <f>COUNTIF(FJ151:FJ156,"1")</f>
        <v>0</v>
      </c>
      <c r="FK149" s="12">
        <f>COUNTIF(FK151:FK156,"1")</f>
        <v>0</v>
      </c>
      <c r="FL149" s="12">
        <f>COUNTIF(FL151:FL156,"1")</f>
        <v>0</v>
      </c>
      <c r="FM149" s="12">
        <f>COUNTIF(FM151:FM156,"1")</f>
        <v>0</v>
      </c>
      <c r="FN149" s="12">
        <f>COUNTIF(FN151:FN156,"1")</f>
        <v>0</v>
      </c>
      <c r="FO149" s="12">
        <f>COUNTIF(FO151:FO156,"1")</f>
        <v>0</v>
      </c>
      <c r="FP149" s="12">
        <f>COUNTIF(FP151:FP156,"1")</f>
        <v>0</v>
      </c>
      <c r="FQ149" s="12">
        <f>COUNTIF(FQ151:FQ156,"1")</f>
        <v>0</v>
      </c>
      <c r="FR149" s="12">
        <f>COUNTIF(FR151:FR156,"1")</f>
        <v>0</v>
      </c>
      <c r="FS149" s="12">
        <f>COUNTIF(FS151:FS156,"1")</f>
        <v>0</v>
      </c>
      <c r="FT149" s="12">
        <f>COUNTIF(FT151:FT156,"1")</f>
        <v>0</v>
      </c>
      <c r="FU149" s="12">
        <f>COUNTIF(FU151:FU156,"1")</f>
        <v>0</v>
      </c>
      <c r="FV149" s="12">
        <f>COUNTIF(FV151:FV156,"1")</f>
        <v>0</v>
      </c>
      <c r="FW149" s="12">
        <f>COUNTIF(FW151:FW156,"1")</f>
        <v>0</v>
      </c>
      <c r="FX149" s="12">
        <f>COUNTIF(FX151:FX156,"1")</f>
        <v>0</v>
      </c>
      <c r="FY149" s="12">
        <f>COUNTIF(FY151:FY156,"1")</f>
        <v>0</v>
      </c>
      <c r="FZ149" s="12">
        <f>COUNTIF(FZ151:FZ156,"1")</f>
        <v>0</v>
      </c>
      <c r="GA149" s="12">
        <f>COUNTIF(GA151:GA156,"1")</f>
        <v>0</v>
      </c>
      <c r="GB149" s="12">
        <f>COUNTIF(GB151:GB156,"1")</f>
        <v>0</v>
      </c>
      <c r="GC149" s="12">
        <f>COUNTIF(GC151:GC156,"1")</f>
        <v>0</v>
      </c>
      <c r="GD149" s="12">
        <f>COUNTIF(GD151:GD156,"1")</f>
        <v>0</v>
      </c>
      <c r="GE149" s="12">
        <f>COUNTIF(GE151:GE156,"1")</f>
        <v>0</v>
      </c>
      <c r="GF149" s="12">
        <f>COUNTIF(GF151:GF156,"1")</f>
        <v>0</v>
      </c>
      <c r="GG149" s="12">
        <f>COUNTIF(GG151:GG156,"1")</f>
        <v>0</v>
      </c>
      <c r="GH149" s="12">
        <f>COUNTIF(GH151:GH156,"1")</f>
        <v>0</v>
      </c>
      <c r="GI149" s="12">
        <f>COUNTIF(GI151:GI156,"1")</f>
        <v>0</v>
      </c>
      <c r="GJ149" s="12">
        <f>COUNTIF(GJ151:GJ156,"1")</f>
        <v>0</v>
      </c>
      <c r="GK149" s="12">
        <f>COUNTIF(GK151:GK156,"1")</f>
        <v>0</v>
      </c>
      <c r="GL149" s="12">
        <f>COUNTIF(GL151:GL156,"1")</f>
        <v>0</v>
      </c>
      <c r="GM149" s="12">
        <f>COUNTIF(GM151:GM156,"1")</f>
        <v>0</v>
      </c>
      <c r="GN149" s="12">
        <f>COUNTIF(GN151:GN156,"1")</f>
        <v>0</v>
      </c>
      <c r="GO149" s="12">
        <f>COUNTIF(GO151:GO156,"1")</f>
        <v>0</v>
      </c>
      <c r="GP149" s="12">
        <f>COUNTIF(GP151:GP156,"1")</f>
        <v>0</v>
      </c>
      <c r="GQ149" s="12">
        <f>COUNTIF(GQ151:GQ156,"1")</f>
        <v>0</v>
      </c>
      <c r="GR149" s="12">
        <f>COUNTIF(GR151:GR156,"1")</f>
        <v>0</v>
      </c>
      <c r="GS149" s="12">
        <f>COUNTIF(GS151:GS156,"1")</f>
        <v>0</v>
      </c>
      <c r="GT149" s="12">
        <f>COUNTIF(GT151:GT156,"1")</f>
        <v>0</v>
      </c>
      <c r="GU149" s="12">
        <f>COUNTIF(GU151:GU156,"1")</f>
        <v>0</v>
      </c>
      <c r="GV149" s="12">
        <f>COUNTIF(GV151:GV156,"1")</f>
        <v>0</v>
      </c>
      <c r="GW149" s="12">
        <f>COUNTIF(GW151:GW156,"1")</f>
        <v>0</v>
      </c>
      <c r="GX149" s="12">
        <f>COUNTIF(GX151:GX156,"1")</f>
        <v>0</v>
      </c>
      <c r="GY149" s="12">
        <f>COUNTIF(GY151:GY156,"1")</f>
        <v>0</v>
      </c>
      <c r="GZ149" s="12">
        <f>COUNTIF(GZ151:GZ156,"1")</f>
        <v>0</v>
      </c>
      <c r="HA149" s="12">
        <f>COUNTIF(HA151:HA156,"1")</f>
        <v>0</v>
      </c>
      <c r="HB149" s="12">
        <f>COUNTIF(HB151:HB156,"1")</f>
        <v>0</v>
      </c>
      <c r="HC149" s="12">
        <f>COUNTIF(HC151:HC156,"1")</f>
        <v>0</v>
      </c>
      <c r="HD149" s="12">
        <f>COUNTIF(HD151:HD156,"1")</f>
        <v>0</v>
      </c>
      <c r="HE149" s="12">
        <f>COUNTIF(HE151:HE156,"1")</f>
        <v>0</v>
      </c>
      <c r="HF149" s="12">
        <f>COUNTIF(HF151:HF156,"1")</f>
        <v>0</v>
      </c>
      <c r="HG149" s="12">
        <f>COUNTIF(HG151:HG156,"1")</f>
        <v>0</v>
      </c>
      <c r="HH149" s="12">
        <f>COUNTIF(HH151:HH156,"1")</f>
        <v>0</v>
      </c>
      <c r="HI149" s="12">
        <f>COUNTIF(HI151:HI156,"1")</f>
        <v>0</v>
      </c>
      <c r="HJ149" s="12">
        <f>COUNTIF(HJ151:HJ156,"1")</f>
        <v>0</v>
      </c>
      <c r="HK149" s="12">
        <f>COUNTIF(HK151:HK156,"1")</f>
        <v>0</v>
      </c>
      <c r="HL149" s="12">
        <f>COUNTIF(HL151:HL156,"1")</f>
        <v>0</v>
      </c>
      <c r="HM149" s="12">
        <f>COUNTIF(HM151:HM156,"1")</f>
        <v>0</v>
      </c>
      <c r="HN149" s="12">
        <f>COUNTIF(HN151:HN156,"1")</f>
        <v>0</v>
      </c>
      <c r="HO149" s="12">
        <f>COUNTIF(HO151:HO156,"1")</f>
        <v>0</v>
      </c>
      <c r="HP149" s="12">
        <f>COUNTIF(HP151:HP156,"1")</f>
        <v>0</v>
      </c>
      <c r="HQ149" s="12">
        <f>COUNTIF(HQ151:HQ156,"1")</f>
        <v>0</v>
      </c>
      <c r="HR149" s="12">
        <f>COUNTIF(HR151:HR156,"1")</f>
        <v>0</v>
      </c>
      <c r="HS149" s="12">
        <f>COUNTIF(HS151:HS156,"1")</f>
        <v>0</v>
      </c>
      <c r="HT149" s="12">
        <f>COUNTIF(HT151:HT156,"1")</f>
        <v>0</v>
      </c>
      <c r="HU149" s="12">
        <f>COUNTIF(HU151:HU156,"1")</f>
        <v>0</v>
      </c>
      <c r="HV149" s="12">
        <f>COUNTIF(HV151:HV156,"1")</f>
        <v>0</v>
      </c>
      <c r="HW149" s="12">
        <f>COUNTIF(HW151:HW156,"1")</f>
        <v>0</v>
      </c>
      <c r="HX149" s="12">
        <f>COUNTIF(HX151:HX156,"1")</f>
        <v>0</v>
      </c>
      <c r="HY149" s="12">
        <f>COUNTIF(HY151:HY156,"1")</f>
        <v>0</v>
      </c>
      <c r="HZ149" s="12">
        <f>COUNTIF(HZ151:HZ156,"1")</f>
        <v>0</v>
      </c>
      <c r="IA149" s="12">
        <f>COUNTIF(IA151:IA156,"1")</f>
        <v>0</v>
      </c>
      <c r="IB149" s="12">
        <f>COUNTIF(IB151:IB156,"1")</f>
        <v>0</v>
      </c>
      <c r="IC149" s="12">
        <f>COUNTIF(IC151:IC156,"1")</f>
        <v>0</v>
      </c>
      <c r="ID149" s="12">
        <f>COUNTIF(ID151:ID156,"1")</f>
        <v>0</v>
      </c>
      <c r="IE149" s="12">
        <f>COUNTIF(IE151:IE156,"1")</f>
        <v>0</v>
      </c>
      <c r="IF149" s="12">
        <f>COUNTIF(IF151:IF156,"1")</f>
        <v>0</v>
      </c>
      <c r="IG149" s="12">
        <f>COUNTIF(IG151:IG156,"1")</f>
        <v>0</v>
      </c>
      <c r="IH149" s="12">
        <f>COUNTIF(IH151:IH156,"1")</f>
        <v>0</v>
      </c>
      <c r="II149" s="12">
        <f>COUNTIF(II151:II156,"1")</f>
        <v>0</v>
      </c>
      <c r="IJ149" s="12">
        <f>COUNTIF(IJ151:IJ156,"1")</f>
        <v>0</v>
      </c>
      <c r="IK149" s="12">
        <f>COUNTIF(IK151:IK156,"1")</f>
        <v>0</v>
      </c>
      <c r="IL149" s="12">
        <f>COUNTIF(IL151:IL156,"1")</f>
        <v>0</v>
      </c>
      <c r="IM149" s="12">
        <f>COUNTIF(IM151:IM156,"1")</f>
        <v>0</v>
      </c>
      <c r="IN149" s="12">
        <f>COUNTIF(IN151:IN156,"1")</f>
        <v>0</v>
      </c>
      <c r="IO149" s="12">
        <f>COUNTIF(IO151:IO156,"1")</f>
        <v>0</v>
      </c>
      <c r="IP149" s="12">
        <f>COUNTIF(IP151:IP156,"1")</f>
        <v>0</v>
      </c>
      <c r="IQ149" s="12">
        <f>COUNTIF(IQ151:IQ156,"1")</f>
        <v>0</v>
      </c>
      <c r="IR149" s="12">
        <f>COUNTIF(IR151:IR156,"1")</f>
        <v>0</v>
      </c>
      <c r="IS149" s="12">
        <f>COUNTIF(IS151:IS156,"1")</f>
        <v>0</v>
      </c>
      <c r="IT149" s="12">
        <f>COUNTIF(IT151:IT156,"1")</f>
        <v>0</v>
      </c>
      <c r="IU149" s="12">
        <f>COUNTIF(IU151:IU156,"1")</f>
        <v>0</v>
      </c>
      <c r="IV149" s="12">
        <f>COUNTIF(IV151:IV156,"1")</f>
        <v>0</v>
      </c>
      <c r="IW149" s="12">
        <f>COUNTIF(IW151:IW156,"1")</f>
        <v>0</v>
      </c>
      <c r="IX149" s="12">
        <f>COUNTIF(IX151:IX156,"1")</f>
        <v>0</v>
      </c>
      <c r="IY149" s="12">
        <f>COUNTIF(IY151:IY156,"1")</f>
        <v>0</v>
      </c>
      <c r="IZ149" s="12">
        <f>COUNTIF(IZ151:IZ156,"1")</f>
        <v>0</v>
      </c>
      <c r="JA149" s="12">
        <f>COUNTIF(JA151:JA156,"1")</f>
        <v>0</v>
      </c>
      <c r="JB149" s="12">
        <f>COUNTIF(JB151:JB156,"1")</f>
        <v>0</v>
      </c>
      <c r="JC149" s="12">
        <f>COUNTIF(JC151:JC156,"1")</f>
        <v>0</v>
      </c>
      <c r="JD149" s="12">
        <f>COUNTIF(JD151:JD156,"1")</f>
        <v>0</v>
      </c>
      <c r="JE149" s="12">
        <f>COUNTIF(JE151:JE156,"1")</f>
        <v>0</v>
      </c>
      <c r="JF149" s="12">
        <f>COUNTIF(JF151:JF156,"1")</f>
        <v>0</v>
      </c>
      <c r="JG149" s="12">
        <f>COUNTIF(JG151:JG156,"1")</f>
        <v>0</v>
      </c>
      <c r="JH149" s="12">
        <f>COUNTIF(JH151:JH156,"1")</f>
        <v>0</v>
      </c>
      <c r="JI149" s="12">
        <f>COUNTIF(JI151:JI156,"1")</f>
        <v>0</v>
      </c>
      <c r="JJ149" s="12">
        <f>COUNTIF(JJ151:JJ156,"1")</f>
        <v>0</v>
      </c>
      <c r="JK149" s="12">
        <f>COUNTIF(JK151:JK156,"1")</f>
        <v>0</v>
      </c>
      <c r="JL149" s="12">
        <f>COUNTIF(JL151:JL156,"1")</f>
        <v>0</v>
      </c>
      <c r="JM149" s="12">
        <f>COUNTIF(JM151:JM156,"1")</f>
        <v>0</v>
      </c>
      <c r="JN149" s="12">
        <f>COUNTIF(JN151:JN156,"1")</f>
        <v>0</v>
      </c>
      <c r="JO149" s="12">
        <f>COUNTIF(JO151:JO156,"1")</f>
        <v>0</v>
      </c>
      <c r="JP149" s="12">
        <f>COUNTIF(JP151:JP156,"1")</f>
        <v>0</v>
      </c>
      <c r="JQ149" s="12">
        <f>COUNTIF(JQ151:JQ156,"1")</f>
        <v>0</v>
      </c>
      <c r="JR149" s="12">
        <f>COUNTIF(JR151:JR156,"1")</f>
        <v>0</v>
      </c>
      <c r="JS149" s="12">
        <f>COUNTIF(JS151:JS156,"1")</f>
        <v>0</v>
      </c>
      <c r="JT149" s="12">
        <f>COUNTIF(JT151:JT156,"1")</f>
        <v>0</v>
      </c>
      <c r="JU149" s="12">
        <f>COUNTIF(JU151:JU156,"1")</f>
        <v>0</v>
      </c>
      <c r="JV149" s="12">
        <f>COUNTIF(JV151:JV156,"1")</f>
        <v>0</v>
      </c>
      <c r="JW149" s="12">
        <f>COUNTIF(JW151:JW156,"1")</f>
        <v>0</v>
      </c>
      <c r="JX149" s="12">
        <f>COUNTIF(JX151:JX156,"1")</f>
        <v>0</v>
      </c>
      <c r="JY149" s="12">
        <f>COUNTIF(JY151:JY156,"1")</f>
        <v>0</v>
      </c>
      <c r="JZ149" s="12">
        <f>COUNTIF(JZ151:JZ156,"1")</f>
        <v>0</v>
      </c>
      <c r="KA149" s="12">
        <f>COUNTIF(KA151:KA156,"1")</f>
        <v>0</v>
      </c>
      <c r="KB149" s="12">
        <f>COUNTIF(KB151:KB156,"1")</f>
        <v>0</v>
      </c>
      <c r="KC149" s="12">
        <f>COUNTIF(KC151:KC156,"1")</f>
        <v>0</v>
      </c>
      <c r="KD149" s="12">
        <f>COUNTIF(KD151:KD156,"1")</f>
        <v>0</v>
      </c>
      <c r="KE149" s="12">
        <f>COUNTIF(KE151:KE156,"1")</f>
        <v>0</v>
      </c>
      <c r="KF149" s="12">
        <f>COUNTIF(KF151:KF156,"1")</f>
        <v>0</v>
      </c>
      <c r="KG149" s="12">
        <f>COUNTIF(KG151:KG156,"1")</f>
        <v>0</v>
      </c>
      <c r="KH149" s="12">
        <f>COUNTIF(KH151:KH156,"1")</f>
        <v>0</v>
      </c>
      <c r="KI149" s="12">
        <f>COUNTIF(KI151:KI156,"1")</f>
        <v>0</v>
      </c>
      <c r="KJ149" s="12">
        <f>COUNTIF(KJ151:KJ156,"1")</f>
        <v>0</v>
      </c>
      <c r="KK149" s="12">
        <f>COUNTIF(KK151:KK156,"1")</f>
        <v>0</v>
      </c>
      <c r="KL149" s="12">
        <f>COUNTIF(KL151:KL156,"1")</f>
        <v>0</v>
      </c>
      <c r="KM149" s="12">
        <f>COUNTIF(KM151:KM156,"1")</f>
        <v>0</v>
      </c>
      <c r="KN149" s="12">
        <f>COUNTIF(KN151:KN156,"1")</f>
        <v>0</v>
      </c>
      <c r="KO149" s="12">
        <f>COUNTIF(KO151:KO156,"1")</f>
        <v>0</v>
      </c>
      <c r="KP149" s="12">
        <f>COUNTIF(KP151:KP156,"1")</f>
        <v>0</v>
      </c>
      <c r="KQ149" s="12">
        <f>COUNTIF(KQ151:KQ156,"1")</f>
        <v>0</v>
      </c>
      <c r="KR149" s="12">
        <f>COUNTIF(KR151:KR156,"1")</f>
        <v>0</v>
      </c>
      <c r="KS149" s="12">
        <f>COUNTIF(KS151:KS156,"1")</f>
        <v>0</v>
      </c>
      <c r="KT149" s="12">
        <f>COUNTIF(KT151:KT156,"1")</f>
        <v>0</v>
      </c>
      <c r="KU149" s="12">
        <f>COUNTIF(KU151:KU156,"1")</f>
        <v>0</v>
      </c>
      <c r="KV149" s="12">
        <f>COUNTIF(KV151:KV156,"1")</f>
        <v>0</v>
      </c>
      <c r="KW149" s="12">
        <f>COUNTIF(KW151:KW156,"1")</f>
        <v>0</v>
      </c>
      <c r="KX149" s="12">
        <f>COUNTIF(KX151:KX156,"1")</f>
        <v>0</v>
      </c>
      <c r="KY149" s="12">
        <f>COUNTIF(KY151:KY156,"1")</f>
        <v>0</v>
      </c>
      <c r="KZ149" s="12">
        <f>COUNTIF(KZ151:KZ156,"1")</f>
        <v>0</v>
      </c>
      <c r="LA149" s="12">
        <f>COUNTIF(LA151:LA156,"1")</f>
        <v>0</v>
      </c>
      <c r="LB149" s="12">
        <f>COUNTIF(LB151:LB156,"1")</f>
        <v>0</v>
      </c>
      <c r="LC149" s="12">
        <f>COUNTIF(LC151:LC156,"1")</f>
        <v>0</v>
      </c>
      <c r="LD149" s="12">
        <f>COUNTIF(LD151:LD156,"1")</f>
        <v>0</v>
      </c>
      <c r="LE149" s="12">
        <f>COUNTIF(LE151:LE156,"1")</f>
        <v>0</v>
      </c>
      <c r="LF149" s="12">
        <f>COUNTIF(LF151:LF156,"1")</f>
        <v>0</v>
      </c>
      <c r="LG149" s="12">
        <f>COUNTIF(LG151:LG156,"1")</f>
        <v>0</v>
      </c>
      <c r="LH149" s="12">
        <f>COUNTIF(LH151:LH156,"1")</f>
        <v>0</v>
      </c>
      <c r="LI149" s="12">
        <f>COUNTIF(LI151:LI156,"1")</f>
        <v>0</v>
      </c>
      <c r="LJ149" s="12">
        <f>COUNTIF(LJ151:LJ156,"1")</f>
        <v>0</v>
      </c>
      <c r="LK149" s="12">
        <f>COUNTIF(LK151:LK156,"1")</f>
        <v>0</v>
      </c>
      <c r="LL149" s="12">
        <f>COUNTIF(LL151:LL156,"1")</f>
        <v>0</v>
      </c>
      <c r="LM149" s="12">
        <f>COUNTIF(LM151:LM156,"1")</f>
        <v>0</v>
      </c>
      <c r="LN149" s="12">
        <f>COUNTIF(LN151:LN156,"1")</f>
        <v>0</v>
      </c>
      <c r="LO149" s="12">
        <f>COUNTIF(LO151:LO156,"1")</f>
        <v>0</v>
      </c>
      <c r="LP149" s="12">
        <f>COUNTIF(LP151:LP156,"1")</f>
        <v>0</v>
      </c>
      <c r="LQ149" s="12">
        <f>COUNTIF(LQ151:LQ156,"1")</f>
        <v>0</v>
      </c>
      <c r="LR149" s="12">
        <f>COUNTIF(LR151:LR156,"1")</f>
        <v>0</v>
      </c>
      <c r="LS149" s="12">
        <f>COUNTIF(LS151:LS156,"1")</f>
        <v>0</v>
      </c>
      <c r="LT149" s="12">
        <f>COUNTIF(LT151:LT156,"1")</f>
        <v>0</v>
      </c>
      <c r="LU149" s="12">
        <f>COUNTIF(LU151:LU156,"1")</f>
        <v>0</v>
      </c>
      <c r="LV149" s="12">
        <f>COUNTIF(LV151:LV156,"1")</f>
        <v>0</v>
      </c>
      <c r="LW149" s="12">
        <f>COUNTIF(LW151:LW156,"1")</f>
        <v>0</v>
      </c>
      <c r="LX149" s="12">
        <f>COUNTIF(LX151:LX156,"1")</f>
        <v>0</v>
      </c>
      <c r="LY149" s="12">
        <f>COUNTIF(LY151:LY156,"1")</f>
        <v>0</v>
      </c>
      <c r="LZ149" s="12">
        <f>COUNTIF(LZ151:LZ156,"1")</f>
        <v>0</v>
      </c>
      <c r="MA149" s="12">
        <f>COUNTIF(MA151:MA156,"1")</f>
        <v>0</v>
      </c>
      <c r="MB149" s="12">
        <f>COUNTIF(MB151:MB156,"1")</f>
        <v>0</v>
      </c>
      <c r="MC149" s="12">
        <f>COUNTIF(MC151:MC156,"1")</f>
        <v>0</v>
      </c>
      <c r="MD149" s="12">
        <f>COUNTIF(MD151:MD156,"1")</f>
        <v>0</v>
      </c>
      <c r="ME149" s="12">
        <f>COUNTIF(ME151:ME156,"1")</f>
        <v>0</v>
      </c>
      <c r="MF149" s="12">
        <f>COUNTIF(MF151:MF156,"1")</f>
        <v>0</v>
      </c>
      <c r="MG149" s="12">
        <f>COUNTIF(MG151:MG156,"1")</f>
        <v>0</v>
      </c>
      <c r="MH149" s="12">
        <f>COUNTIF(MH151:MH156,"1")</f>
        <v>0</v>
      </c>
      <c r="MI149" s="12">
        <f>COUNTIF(MI151:MI156,"1")</f>
        <v>0</v>
      </c>
      <c r="MJ149" s="12">
        <f>COUNTIF(MJ151:MJ156,"1")</f>
        <v>0</v>
      </c>
      <c r="MK149" s="12">
        <f>COUNTIF(MK151:MK156,"1")</f>
        <v>0</v>
      </c>
      <c r="ML149" s="12">
        <f>COUNTIF(ML151:ML156,"1")</f>
        <v>0</v>
      </c>
      <c r="MM149" s="12">
        <f>COUNTIF(MM151:MM156,"1")</f>
        <v>0</v>
      </c>
      <c r="MN149" s="12">
        <f>COUNTIF(MN151:MN156,"1")</f>
        <v>0</v>
      </c>
      <c r="MO149" s="12">
        <f>COUNTIF(MO151:MO156,"1")</f>
        <v>0</v>
      </c>
      <c r="MP149" s="12">
        <f>COUNTIF(MP151:MP156,"1")</f>
        <v>0</v>
      </c>
      <c r="MQ149" s="12">
        <f>COUNTIF(MQ151:MQ156,"1")</f>
        <v>0</v>
      </c>
      <c r="MR149" s="12">
        <f>COUNTIF(MR151:MR156,"1")</f>
        <v>0</v>
      </c>
      <c r="MS149" s="12">
        <f>COUNTIF(MS151:MS156,"1")</f>
        <v>0</v>
      </c>
      <c r="MT149" s="12">
        <f>COUNTIF(MT151:MT156,"1")</f>
        <v>0</v>
      </c>
      <c r="MU149" s="12">
        <f>COUNTIF(MU151:MU156,"1")</f>
        <v>0</v>
      </c>
      <c r="MV149" s="12">
        <f>COUNTIF(MV151:MV156,"1")</f>
        <v>0</v>
      </c>
      <c r="MW149" s="12">
        <f>COUNTIF(MW151:MW156,"1")</f>
        <v>0</v>
      </c>
      <c r="MX149" s="12">
        <f>COUNTIF(MX151:MX156,"1")</f>
        <v>0</v>
      </c>
      <c r="MY149" s="12">
        <f>COUNTIF(MY151:MY156,"1")</f>
        <v>0</v>
      </c>
      <c r="MZ149" s="12">
        <f>COUNTIF(MZ151:MZ156,"1")</f>
        <v>0</v>
      </c>
      <c r="NA149" s="12">
        <f>COUNTIF(NA151:NA156,"1")</f>
        <v>0</v>
      </c>
      <c r="NB149" s="12">
        <f>COUNTIF(NB151:NB156,"1")</f>
        <v>0</v>
      </c>
      <c r="NC149" s="12">
        <f>COUNTIF(NC151:NC156,"1")</f>
        <v>0</v>
      </c>
      <c r="ND149" s="12">
        <f>COUNTIF(ND151:ND156,"1")</f>
        <v>0</v>
      </c>
      <c r="NE149" s="12">
        <f>COUNTIF(NE151:NE156,"1")</f>
        <v>0</v>
      </c>
      <c r="NF149" s="12">
        <f>COUNTIF(NF151:NF156,"1")</f>
        <v>0</v>
      </c>
      <c r="NG149" s="12">
        <f>COUNTIF(NG151:NG156,"1")</f>
        <v>0</v>
      </c>
      <c r="NH149" s="12">
        <f>COUNTIF(NH151:NH156,"1")</f>
        <v>0</v>
      </c>
      <c r="NI149" s="12">
        <f>COUNTIF(NI151:NI156,"1")</f>
        <v>0</v>
      </c>
      <c r="NJ149" s="12">
        <f>COUNTIF(NJ151:NJ156,"1")</f>
        <v>0</v>
      </c>
      <c r="NK149" s="12">
        <f>COUNTIF(NK151:NK156,"1")</f>
        <v>0</v>
      </c>
      <c r="NL149" s="12">
        <f>COUNTIF(NL151:NL156,"1")</f>
        <v>0</v>
      </c>
      <c r="NM149" s="12">
        <f>COUNTIF(NM151:NM156,"1")</f>
        <v>0</v>
      </c>
      <c r="NN149" s="12">
        <f>COUNTIF(NN151:NN156,"1")</f>
        <v>0</v>
      </c>
      <c r="NO149" s="12">
        <f>COUNTIF(NO151:NO156,"1")</f>
        <v>0</v>
      </c>
      <c r="NP149" s="12">
        <f>COUNTIF(NP151:NP156,"1")</f>
        <v>0</v>
      </c>
      <c r="NQ149" s="12">
        <f>COUNTIF(NQ151:NQ156,"1")</f>
        <v>0</v>
      </c>
      <c r="NR149" s="12">
        <f>COUNTIF(NR151:NR156,"1")</f>
        <v>0</v>
      </c>
      <c r="NS149" s="12">
        <f>COUNTIF(NS151:NS156,"1")</f>
        <v>0</v>
      </c>
      <c r="NT149" s="16">
        <f>SUM(F149:NS149)</f>
        <v>5</v>
      </c>
      <c r="NU149" s="92">
        <f>NT150/NT149</f>
        <v>1</v>
      </c>
      <c r="NV149" s="22">
        <f>SUMIF(NV151:NV156,1,NW151:NW156)</f>
        <v>1</v>
      </c>
      <c r="NW149" s="22">
        <f>SUMIF(NV151:NV156,1,NW151:NW156)</f>
        <v>1</v>
      </c>
      <c r="NX149" s="16">
        <f>SUM(F149:AU149)</f>
        <v>5</v>
      </c>
      <c r="NY149" s="92">
        <f t="shared" si="270"/>
        <v>1</v>
      </c>
      <c r="NZ149" s="22">
        <f>SUMIF(NZ151:NZ156,1,OA151:OA156)</f>
        <v>0</v>
      </c>
      <c r="OA149" s="22">
        <f>SUMIF(NZ151:NZ156,1,OA151:OA156)</f>
        <v>0</v>
      </c>
      <c r="OB149" s="16">
        <f>SUM(AV149:CK149)</f>
        <v>0</v>
      </c>
      <c r="OC149" s="92" t="e">
        <f>OB150/OB149</f>
        <v>#DIV/0!</v>
      </c>
      <c r="OD149" s="22">
        <f>SUMIF(OD151:OD156,1,OE151:OE156)</f>
        <v>0</v>
      </c>
      <c r="OE149" s="22">
        <f>SUMIF(OD151:OD156,1,OE151:OE156)</f>
        <v>0</v>
      </c>
      <c r="OF149" s="16">
        <f>SUM(CL149:EA149)</f>
        <v>0</v>
      </c>
      <c r="OG149" s="84" t="e">
        <f>OF150/OF149</f>
        <v>#DIV/0!</v>
      </c>
      <c r="OH149" s="22">
        <f>SUMIF(OH151:OH156,1,OI151:OI156)</f>
        <v>0</v>
      </c>
      <c r="OI149" s="22">
        <f>SUMIF(OH151:OH156,1,OI151:OI156)</f>
        <v>0</v>
      </c>
      <c r="OJ149" s="16">
        <f>SUM(EB149:FQ149)</f>
        <v>0</v>
      </c>
      <c r="OK149" s="84" t="e">
        <f>OJ150/OJ149</f>
        <v>#DIV/0!</v>
      </c>
      <c r="OL149" s="22">
        <f>SUMIF(OL151:OL156,1,OM151:OM156)</f>
        <v>0</v>
      </c>
      <c r="OM149" s="22">
        <f>SUMIF(OL151:OL156,1,OM151:OM156)</f>
        <v>0</v>
      </c>
      <c r="ON149" s="16">
        <f>SUM(FR149:HG149)</f>
        <v>0</v>
      </c>
      <c r="OO149" s="84" t="e">
        <f>ON150/ON149</f>
        <v>#DIV/0!</v>
      </c>
      <c r="OP149" s="22">
        <f>SUMIF(OP151:OP156,1,OQ151:OQ156)</f>
        <v>0</v>
      </c>
      <c r="OQ149" s="84" t="e">
        <f>OP150/OP149</f>
        <v>#DIV/0!</v>
      </c>
      <c r="OR149" s="16">
        <f>SUM(HH149:IW149)</f>
        <v>0</v>
      </c>
      <c r="OS149" s="84" t="e">
        <f>OR150/OR149</f>
        <v>#DIV/0!</v>
      </c>
      <c r="OT149" s="22">
        <f>SUMIF(OT151:OT156,1,OU151:OU156)</f>
        <v>0</v>
      </c>
      <c r="OU149" s="22">
        <f>SUMIF(OT151:OT156,1,OU151:OU156)</f>
        <v>0</v>
      </c>
      <c r="OV149" s="16">
        <f>SUM(IX149:KM149)</f>
        <v>0</v>
      </c>
      <c r="OW149" s="84" t="e">
        <f>OV150/OV149</f>
        <v>#DIV/0!</v>
      </c>
      <c r="OX149" s="22">
        <f>SUMIF(OX151:OX156,1,OY151:OY156)</f>
        <v>0</v>
      </c>
      <c r="OY149" s="22">
        <f>SUMIF(OX151:OX156,1,OY151:OY156)</f>
        <v>0</v>
      </c>
      <c r="OZ149" s="16">
        <f>SUM(KN149:MC149)</f>
        <v>0</v>
      </c>
      <c r="PA149" s="84" t="e">
        <f>OZ150/OZ149</f>
        <v>#DIV/0!</v>
      </c>
      <c r="PB149" s="22">
        <f>SUMIF(PB151:PB156,1,PC151:PC156)</f>
        <v>0</v>
      </c>
      <c r="PC149" s="22">
        <f>SUMIF(PB151:PB156,1,PC151:PC156)</f>
        <v>0</v>
      </c>
      <c r="PD149" s="16">
        <f>SUM(MD149:NS149)</f>
        <v>0</v>
      </c>
      <c r="PE149" s="84" t="e">
        <f>PD150/PD149</f>
        <v>#DIV/0!</v>
      </c>
    </row>
    <row r="150" spans="1:421" ht="15.75" customHeight="1" thickBot="1" x14ac:dyDescent="0.3">
      <c r="A150" s="18"/>
      <c r="B150" s="18"/>
      <c r="C150" s="95"/>
      <c r="D150" s="58"/>
      <c r="E150" s="52" t="s">
        <v>9</v>
      </c>
      <c r="F150" s="13">
        <f>COUNTIF(F152:F156,"X")</f>
        <v>0</v>
      </c>
      <c r="G150" s="13">
        <f>COUNTIF(G152:G156,"X")</f>
        <v>0</v>
      </c>
      <c r="H150" s="13">
        <f>COUNTIF(H152:H156,"X")</f>
        <v>0</v>
      </c>
      <c r="I150" s="13">
        <f>COUNTIF(I152:I156,"X")</f>
        <v>0</v>
      </c>
      <c r="J150" s="13">
        <f>COUNTIF(J152:J156,"X")</f>
        <v>0</v>
      </c>
      <c r="K150" s="13">
        <f>COUNTIF(K152:K156,"X")</f>
        <v>0</v>
      </c>
      <c r="L150" s="13">
        <f>COUNTIF(L152:L156,"X")</f>
        <v>0</v>
      </c>
      <c r="M150" s="13">
        <f>COUNTIF(M152:M156,"X")</f>
        <v>0</v>
      </c>
      <c r="N150" s="13">
        <f>COUNTIF(N152:N156,"X")</f>
        <v>0</v>
      </c>
      <c r="O150" s="13">
        <f>COUNTIF(O152:O156,"X")</f>
        <v>0</v>
      </c>
      <c r="P150" s="70">
        <f>COUNTIF(P152:P156,"X")</f>
        <v>0</v>
      </c>
      <c r="Q150" s="13">
        <f>COUNTIF(Q152:Q156,"X")</f>
        <v>1</v>
      </c>
      <c r="R150" s="13">
        <f>COUNTIF(R152:R156,"X")</f>
        <v>1</v>
      </c>
      <c r="S150" s="13">
        <f>COUNTIF(S152:S156,"X")</f>
        <v>0</v>
      </c>
      <c r="T150" s="13">
        <f>COUNTIF(T152:T156,"X")</f>
        <v>0</v>
      </c>
      <c r="U150" s="13">
        <f>COUNTIF(U152:U156,"X")</f>
        <v>0</v>
      </c>
      <c r="V150" s="13">
        <f>COUNTIF(V152:V156,"X")</f>
        <v>0</v>
      </c>
      <c r="W150" s="70">
        <f>COUNTIF(W152:W156,"X")</f>
        <v>0</v>
      </c>
      <c r="X150" s="13">
        <f>COUNTIF(X152:X156,"X")</f>
        <v>0</v>
      </c>
      <c r="Y150" s="13">
        <f>COUNTIF(Y152:Y156,"X")</f>
        <v>1</v>
      </c>
      <c r="Z150" s="13">
        <f>COUNTIF(Z152:Z156,"X")</f>
        <v>1</v>
      </c>
      <c r="AA150" s="13">
        <f>COUNTIF(AA152:AA156,"X")</f>
        <v>1</v>
      </c>
      <c r="AB150" s="13">
        <f>COUNTIF(AB152:AB156,"X")</f>
        <v>0</v>
      </c>
      <c r="AC150" s="13">
        <f>COUNTIF(AC152:AC156,"X")</f>
        <v>0</v>
      </c>
      <c r="AD150" s="13">
        <f>COUNTIF(AD152:AD156,"X")</f>
        <v>0</v>
      </c>
      <c r="AE150" s="13">
        <f>COUNTIF(AE152:AE156,"X")</f>
        <v>0</v>
      </c>
      <c r="AF150" s="13">
        <f>COUNTIF(AF152:AF156,"X")</f>
        <v>0</v>
      </c>
      <c r="AG150" s="13">
        <f>COUNTIF(AG152:AG156,"X")</f>
        <v>0</v>
      </c>
      <c r="AH150" s="13">
        <f>COUNTIF(AH152:AH156,"X")</f>
        <v>0</v>
      </c>
      <c r="AI150" s="13">
        <f>COUNTIF(AI152:AI156,"X")</f>
        <v>0</v>
      </c>
      <c r="AJ150" s="13">
        <f>COUNTIF(AJ152:AJ156,"X")</f>
        <v>0</v>
      </c>
      <c r="AK150" s="13">
        <f>COUNTIF(AK152:AK156,"X")</f>
        <v>0</v>
      </c>
      <c r="AL150" s="13">
        <f>COUNTIF(AL152:AL156,"X")</f>
        <v>0</v>
      </c>
      <c r="AM150" s="13">
        <f>COUNTIF(AM152:AM156,"X")</f>
        <v>0</v>
      </c>
      <c r="AN150" s="13">
        <f>COUNTIF(AN152:AN156,"X")</f>
        <v>0</v>
      </c>
      <c r="AO150" s="13">
        <f>COUNTIF(AO152:AO156,"X")</f>
        <v>0</v>
      </c>
      <c r="AP150" s="13">
        <f>COUNTIF(AP152:AP156,"X")</f>
        <v>0</v>
      </c>
      <c r="AQ150" s="13">
        <f>COUNTIF(AQ152:AQ156,"X")</f>
        <v>0</v>
      </c>
      <c r="AR150" s="13">
        <f>COUNTIF(AR152:AR156,"X")</f>
        <v>0</v>
      </c>
      <c r="AS150" s="13">
        <f>COUNTIF(AS152:AS156,"X")</f>
        <v>0</v>
      </c>
      <c r="AT150" s="13">
        <f>COUNTIF(AT152:AT156,"X")</f>
        <v>0</v>
      </c>
      <c r="AU150" s="13">
        <f>COUNTIF(AU152:AU156,"X")</f>
        <v>0</v>
      </c>
      <c r="AV150" s="13">
        <f>COUNTIF(AV152:AV156,"X")</f>
        <v>0</v>
      </c>
      <c r="AW150" s="13">
        <f>COUNTIF(AW152:AW156,"X")</f>
        <v>0</v>
      </c>
      <c r="AX150" s="13">
        <f>COUNTIF(AX152:AX156,"X")</f>
        <v>0</v>
      </c>
      <c r="AY150" s="13">
        <f>COUNTIF(AY152:AY156,"X")</f>
        <v>0</v>
      </c>
      <c r="AZ150" s="13">
        <f>COUNTIF(AZ152:AZ156,"X")</f>
        <v>0</v>
      </c>
      <c r="BA150" s="13">
        <f>COUNTIF(BA152:BA156,"X")</f>
        <v>0</v>
      </c>
      <c r="BB150" s="13">
        <f>COUNTIF(BB152:BB156,"X")</f>
        <v>0</v>
      </c>
      <c r="BC150" s="13">
        <f>COUNTIF(BC152:BC156,"X")</f>
        <v>0</v>
      </c>
      <c r="BD150" s="13">
        <f>COUNTIF(BD152:BD156,"X")</f>
        <v>0</v>
      </c>
      <c r="BE150" s="13">
        <f>COUNTIF(BE152:BE156,"X")</f>
        <v>0</v>
      </c>
      <c r="BF150" s="13">
        <f>COUNTIF(BF152:BF156,"X")</f>
        <v>0</v>
      </c>
      <c r="BG150" s="13">
        <f>COUNTIF(BG152:BG156,"X")</f>
        <v>0</v>
      </c>
      <c r="BH150" s="13">
        <f>COUNTIF(BH152:BH156,"X")</f>
        <v>0</v>
      </c>
      <c r="BI150" s="13">
        <f>COUNTIF(BI152:BI156,"X")</f>
        <v>0</v>
      </c>
      <c r="BJ150" s="13">
        <f>COUNTIF(BJ152:BJ156,"X")</f>
        <v>0</v>
      </c>
      <c r="BK150" s="13">
        <f>COUNTIF(BK152:BK156,"X")</f>
        <v>0</v>
      </c>
      <c r="BL150" s="13">
        <f>COUNTIF(BL152:BL156,"X")</f>
        <v>0</v>
      </c>
      <c r="BM150" s="13">
        <f>COUNTIF(BM152:BM156,"X")</f>
        <v>0</v>
      </c>
      <c r="BN150" s="13">
        <f>COUNTIF(BN152:BN156,"X")</f>
        <v>0</v>
      </c>
      <c r="BO150" s="13">
        <f>COUNTIF(BO152:BO156,"X")</f>
        <v>0</v>
      </c>
      <c r="BP150" s="13">
        <f>COUNTIF(BP152:BP156,"X")</f>
        <v>0</v>
      </c>
      <c r="BQ150" s="13">
        <f>COUNTIF(BQ152:BQ156,"X")</f>
        <v>0</v>
      </c>
      <c r="BR150" s="13">
        <f>COUNTIF(BR152:BR156,"X")</f>
        <v>0</v>
      </c>
      <c r="BS150" s="13">
        <f>COUNTIF(BS152:BS156,"X")</f>
        <v>0</v>
      </c>
      <c r="BT150" s="13">
        <f>COUNTIF(BT152:BT156,"X")</f>
        <v>0</v>
      </c>
      <c r="BU150" s="13">
        <f>COUNTIF(BU152:BU156,"X")</f>
        <v>0</v>
      </c>
      <c r="BV150" s="13">
        <f>COUNTIF(BV152:BV156,"X")</f>
        <v>0</v>
      </c>
      <c r="BW150" s="13">
        <f>COUNTIF(BW152:BW156,"X")</f>
        <v>0</v>
      </c>
      <c r="BX150" s="13">
        <f>COUNTIF(BX152:BX156,"X")</f>
        <v>0</v>
      </c>
      <c r="BY150" s="13">
        <f>COUNTIF(BY152:BY156,"X")</f>
        <v>0</v>
      </c>
      <c r="BZ150" s="13">
        <f>COUNTIF(BZ152:BZ156,"X")</f>
        <v>0</v>
      </c>
      <c r="CA150" s="13">
        <f>COUNTIF(CA152:CA156,"X")</f>
        <v>0</v>
      </c>
      <c r="CB150" s="13">
        <f>COUNTIF(CB152:CB156,"X")</f>
        <v>0</v>
      </c>
      <c r="CC150" s="13">
        <f>COUNTIF(CC152:CC156,"X")</f>
        <v>0</v>
      </c>
      <c r="CD150" s="13">
        <f>COUNTIF(CD152:CD156,"X")</f>
        <v>0</v>
      </c>
      <c r="CE150" s="13">
        <f>COUNTIF(CE152:CE156,"X")</f>
        <v>0</v>
      </c>
      <c r="CF150" s="13">
        <f>COUNTIF(CF152:CF156,"X")</f>
        <v>0</v>
      </c>
      <c r="CG150" s="13">
        <f>COUNTIF(CG152:CG156,"X")</f>
        <v>0</v>
      </c>
      <c r="CH150" s="13">
        <f>COUNTIF(CH152:CH156,"X")</f>
        <v>0</v>
      </c>
      <c r="CI150" s="13">
        <f>COUNTIF(CI152:CI156,"X")</f>
        <v>0</v>
      </c>
      <c r="CJ150" s="13">
        <f>COUNTIF(CJ152:CJ156,"X")</f>
        <v>0</v>
      </c>
      <c r="CK150" s="13">
        <f>COUNTIF(CK152:CK156,"X")</f>
        <v>0</v>
      </c>
      <c r="CL150" s="13">
        <f>COUNTIF(CL152:CL156,"X")</f>
        <v>0</v>
      </c>
      <c r="CM150" s="13">
        <f>COUNTIF(CM152:CM156,"X")</f>
        <v>0</v>
      </c>
      <c r="CN150" s="13">
        <f>COUNTIF(CN152:CN156,"X")</f>
        <v>0</v>
      </c>
      <c r="CO150" s="13">
        <f>COUNTIF(CO152:CO156,"X")</f>
        <v>0</v>
      </c>
      <c r="CP150" s="13">
        <f>COUNTIF(CP152:CP156,"X")</f>
        <v>0</v>
      </c>
      <c r="CQ150" s="13">
        <f>COUNTIF(CQ152:CQ156,"X")</f>
        <v>0</v>
      </c>
      <c r="CR150" s="13">
        <f>COUNTIF(CR152:CR156,"X")</f>
        <v>0</v>
      </c>
      <c r="CS150" s="13">
        <f>COUNTIF(CS152:CS156,"X")</f>
        <v>0</v>
      </c>
      <c r="CT150" s="13">
        <f>COUNTIF(CT152:CT156,"X")</f>
        <v>0</v>
      </c>
      <c r="CU150" s="13">
        <f>COUNTIF(CU152:CU156,"X")</f>
        <v>0</v>
      </c>
      <c r="CV150" s="13">
        <f>COUNTIF(CV152:CV156,"X")</f>
        <v>0</v>
      </c>
      <c r="CW150" s="13">
        <f>COUNTIF(CW152:CW156,"X")</f>
        <v>0</v>
      </c>
      <c r="CX150" s="13">
        <f>COUNTIF(CX152:CX156,"X")</f>
        <v>0</v>
      </c>
      <c r="CY150" s="13">
        <f>COUNTIF(CY152:CY156,"X")</f>
        <v>0</v>
      </c>
      <c r="CZ150" s="13">
        <f>COUNTIF(CZ152:CZ156,"X")</f>
        <v>0</v>
      </c>
      <c r="DA150" s="13">
        <f>COUNTIF(DA152:DA156,"X")</f>
        <v>0</v>
      </c>
      <c r="DB150" s="13">
        <f>COUNTIF(DB152:DB156,"X")</f>
        <v>0</v>
      </c>
      <c r="DC150" s="13">
        <f>COUNTIF(DC152:DC156,"X")</f>
        <v>0</v>
      </c>
      <c r="DD150" s="13">
        <f>COUNTIF(DD152:DD156,"X")</f>
        <v>0</v>
      </c>
      <c r="DE150" s="13">
        <f>COUNTIF(DE152:DE156,"X")</f>
        <v>0</v>
      </c>
      <c r="DF150" s="13">
        <f>COUNTIF(DF152:DF156,"X")</f>
        <v>0</v>
      </c>
      <c r="DG150" s="13">
        <f>COUNTIF(DG152:DG156,"X")</f>
        <v>0</v>
      </c>
      <c r="DH150" s="13">
        <f>COUNTIF(DH152:DH156,"X")</f>
        <v>0</v>
      </c>
      <c r="DI150" s="13">
        <f>COUNTIF(DI152:DI156,"X")</f>
        <v>0</v>
      </c>
      <c r="DJ150" s="13">
        <f>COUNTIF(DJ152:DJ156,"X")</f>
        <v>0</v>
      </c>
      <c r="DK150" s="13">
        <f>COUNTIF(DK152:DK156,"X")</f>
        <v>0</v>
      </c>
      <c r="DL150" s="13">
        <f>COUNTIF(DL152:DL156,"X")</f>
        <v>0</v>
      </c>
      <c r="DM150" s="13">
        <f>COUNTIF(DM152:DM156,"X")</f>
        <v>0</v>
      </c>
      <c r="DN150" s="13">
        <f>COUNTIF(DN152:DN156,"X")</f>
        <v>0</v>
      </c>
      <c r="DO150" s="13">
        <f>COUNTIF(DO152:DO156,"X")</f>
        <v>0</v>
      </c>
      <c r="DP150" s="13">
        <f>COUNTIF(DP152:DP156,"X")</f>
        <v>0</v>
      </c>
      <c r="DQ150" s="13">
        <f>COUNTIF(DQ152:DQ156,"X")</f>
        <v>0</v>
      </c>
      <c r="DR150" s="13">
        <f>COUNTIF(DR152:DR156,"X")</f>
        <v>0</v>
      </c>
      <c r="DS150" s="13">
        <f>COUNTIF(DS152:DS156,"X")</f>
        <v>0</v>
      </c>
      <c r="DT150" s="13">
        <f>COUNTIF(DT152:DT156,"X")</f>
        <v>0</v>
      </c>
      <c r="DU150" s="13">
        <f>COUNTIF(DU152:DU156,"X")</f>
        <v>0</v>
      </c>
      <c r="DV150" s="13">
        <f>COUNTIF(DV152:DV156,"X")</f>
        <v>0</v>
      </c>
      <c r="DW150" s="13">
        <f>COUNTIF(DW152:DW156,"X")</f>
        <v>0</v>
      </c>
      <c r="DX150" s="13">
        <f>COUNTIF(DX152:DX156,"X")</f>
        <v>0</v>
      </c>
      <c r="DY150" s="13">
        <f>COUNTIF(DY152:DY156,"X")</f>
        <v>0</v>
      </c>
      <c r="DZ150" s="13">
        <f>COUNTIF(DZ152:DZ156,"X")</f>
        <v>0</v>
      </c>
      <c r="EA150" s="13">
        <f>COUNTIF(EA152:EA156,"X")</f>
        <v>0</v>
      </c>
      <c r="EB150" s="13">
        <f>COUNTIF(EB152:EB156,"X")</f>
        <v>0</v>
      </c>
      <c r="EC150" s="13">
        <f>COUNTIF(EC152:EC156,"X")</f>
        <v>0</v>
      </c>
      <c r="ED150" s="13">
        <f>COUNTIF(ED152:ED156,"X")</f>
        <v>0</v>
      </c>
      <c r="EE150" s="13">
        <f>COUNTIF(EE152:EE156,"X")</f>
        <v>0</v>
      </c>
      <c r="EF150" s="13">
        <f>COUNTIF(EF152:EF156,"X")</f>
        <v>0</v>
      </c>
      <c r="EG150" s="13">
        <f>COUNTIF(EG152:EG156,"X")</f>
        <v>0</v>
      </c>
      <c r="EH150" s="13">
        <f>COUNTIF(EH152:EH156,"X")</f>
        <v>0</v>
      </c>
      <c r="EI150" s="13">
        <f>COUNTIF(EI152:EI156,"X")</f>
        <v>0</v>
      </c>
      <c r="EJ150" s="13">
        <f>COUNTIF(EJ152:EJ156,"X")</f>
        <v>0</v>
      </c>
      <c r="EK150" s="13">
        <f>COUNTIF(EK152:EK156,"X")</f>
        <v>0</v>
      </c>
      <c r="EL150" s="13">
        <f>COUNTIF(EL152:EL156,"X")</f>
        <v>0</v>
      </c>
      <c r="EM150" s="13">
        <f>COUNTIF(EM152:EM156,"X")</f>
        <v>0</v>
      </c>
      <c r="EN150" s="13">
        <f>COUNTIF(EN152:EN156,"X")</f>
        <v>0</v>
      </c>
      <c r="EO150" s="13">
        <f>COUNTIF(EO152:EO156,"X")</f>
        <v>0</v>
      </c>
      <c r="EP150" s="13">
        <f>COUNTIF(EP152:EP156,"X")</f>
        <v>0</v>
      </c>
      <c r="EQ150" s="13">
        <f>COUNTIF(EQ152:EQ156,"X")</f>
        <v>0</v>
      </c>
      <c r="ER150" s="13">
        <f>COUNTIF(ER152:ER156,"X")</f>
        <v>0</v>
      </c>
      <c r="ES150" s="13">
        <f>COUNTIF(ES152:ES156,"X")</f>
        <v>0</v>
      </c>
      <c r="ET150" s="13">
        <f>COUNTIF(ET152:ET156,"X")</f>
        <v>0</v>
      </c>
      <c r="EU150" s="13">
        <f>COUNTIF(EU152:EU156,"X")</f>
        <v>0</v>
      </c>
      <c r="EV150" s="13">
        <f>COUNTIF(EV152:EV156,"X")</f>
        <v>0</v>
      </c>
      <c r="EW150" s="13">
        <f>COUNTIF(EW152:EW156,"X")</f>
        <v>0</v>
      </c>
      <c r="EX150" s="13">
        <f>COUNTIF(EX152:EX156,"X")</f>
        <v>0</v>
      </c>
      <c r="EY150" s="13">
        <f>COUNTIF(EY152:EY156,"X")</f>
        <v>0</v>
      </c>
      <c r="EZ150" s="13">
        <f>COUNTIF(EZ152:EZ156,"X")</f>
        <v>0</v>
      </c>
      <c r="FA150" s="13">
        <f>COUNTIF(FA152:FA156,"X")</f>
        <v>0</v>
      </c>
      <c r="FB150" s="13">
        <f>COUNTIF(FB152:FB156,"X")</f>
        <v>0</v>
      </c>
      <c r="FC150" s="13">
        <f>COUNTIF(FC152:FC156,"X")</f>
        <v>0</v>
      </c>
      <c r="FD150" s="13">
        <f>COUNTIF(FD152:FD156,"X")</f>
        <v>0</v>
      </c>
      <c r="FE150" s="13">
        <f>COUNTIF(FE152:FE156,"X")</f>
        <v>0</v>
      </c>
      <c r="FF150" s="13">
        <f>COUNTIF(FF152:FF156,"X")</f>
        <v>0</v>
      </c>
      <c r="FG150" s="13">
        <f>COUNTIF(FG152:FG156,"X")</f>
        <v>0</v>
      </c>
      <c r="FH150" s="13">
        <f>COUNTIF(FH152:FH156,"X")</f>
        <v>0</v>
      </c>
      <c r="FI150" s="13">
        <f>COUNTIF(FI152:FI156,"X")</f>
        <v>0</v>
      </c>
      <c r="FJ150" s="13">
        <f>COUNTIF(FJ152:FJ156,"X")</f>
        <v>0</v>
      </c>
      <c r="FK150" s="13">
        <f>COUNTIF(FK152:FK156,"X")</f>
        <v>0</v>
      </c>
      <c r="FL150" s="13">
        <f>COUNTIF(FL152:FL156,"X")</f>
        <v>0</v>
      </c>
      <c r="FM150" s="13">
        <f>COUNTIF(FM152:FM156,"X")</f>
        <v>0</v>
      </c>
      <c r="FN150" s="13">
        <f>COUNTIF(FN152:FN156,"X")</f>
        <v>0</v>
      </c>
      <c r="FO150" s="13">
        <f>COUNTIF(FO152:FO156,"X")</f>
        <v>0</v>
      </c>
      <c r="FP150" s="13">
        <f>COUNTIF(FP152:FP156,"X")</f>
        <v>0</v>
      </c>
      <c r="FQ150" s="13">
        <f>COUNTIF(FQ152:FQ156,"X")</f>
        <v>0</v>
      </c>
      <c r="FR150" s="13">
        <f>COUNTIF(FR152:FR156,"X")</f>
        <v>0</v>
      </c>
      <c r="FS150" s="13">
        <f>COUNTIF(FS152:FS156,"X")</f>
        <v>0</v>
      </c>
      <c r="FT150" s="13">
        <f>COUNTIF(FT152:FT156,"X")</f>
        <v>0</v>
      </c>
      <c r="FU150" s="13">
        <f>COUNTIF(FU152:FU156,"X")</f>
        <v>0</v>
      </c>
      <c r="FV150" s="13">
        <f>COUNTIF(FV152:FV156,"X")</f>
        <v>0</v>
      </c>
      <c r="FW150" s="13">
        <f>COUNTIF(FW152:FW156,"X")</f>
        <v>0</v>
      </c>
      <c r="FX150" s="13">
        <f>COUNTIF(FX152:FX156,"X")</f>
        <v>0</v>
      </c>
      <c r="FY150" s="13">
        <f>COUNTIF(FY152:FY156,"X")</f>
        <v>0</v>
      </c>
      <c r="FZ150" s="13">
        <f>COUNTIF(FZ152:FZ156,"X")</f>
        <v>0</v>
      </c>
      <c r="GA150" s="13">
        <f>COUNTIF(GA152:GA156,"X")</f>
        <v>0</v>
      </c>
      <c r="GB150" s="13">
        <f>COUNTIF(GB152:GB156,"X")</f>
        <v>0</v>
      </c>
      <c r="GC150" s="13">
        <f>COUNTIF(GC152:GC156,"X")</f>
        <v>0</v>
      </c>
      <c r="GD150" s="13">
        <f>COUNTIF(GD152:GD156,"X")</f>
        <v>0</v>
      </c>
      <c r="GE150" s="13">
        <f>COUNTIF(GE152:GE156,"X")</f>
        <v>0</v>
      </c>
      <c r="GF150" s="13">
        <f>COUNTIF(GF152:GF156,"X")</f>
        <v>0</v>
      </c>
      <c r="GG150" s="13">
        <f>COUNTIF(GG152:GG156,"X")</f>
        <v>0</v>
      </c>
      <c r="GH150" s="13">
        <f>COUNTIF(GH152:GH156,"X")</f>
        <v>0</v>
      </c>
      <c r="GI150" s="13">
        <f>COUNTIF(GI152:GI156,"X")</f>
        <v>0</v>
      </c>
      <c r="GJ150" s="13">
        <f>COUNTIF(GJ152:GJ156,"X")</f>
        <v>0</v>
      </c>
      <c r="GK150" s="13">
        <f>COUNTIF(GK152:GK156,"X")</f>
        <v>0</v>
      </c>
      <c r="GL150" s="13">
        <f>COUNTIF(GL152:GL156,"X")</f>
        <v>0</v>
      </c>
      <c r="GM150" s="13">
        <f>COUNTIF(GM152:GM156,"X")</f>
        <v>0</v>
      </c>
      <c r="GN150" s="13">
        <f>COUNTIF(GN152:GN156,"X")</f>
        <v>0</v>
      </c>
      <c r="GO150" s="13">
        <f>COUNTIF(GO152:GO156,"X")</f>
        <v>0</v>
      </c>
      <c r="GP150" s="13">
        <f>COUNTIF(GP152:GP156,"X")</f>
        <v>0</v>
      </c>
      <c r="GQ150" s="13">
        <f>COUNTIF(GQ152:GQ156,"X")</f>
        <v>0</v>
      </c>
      <c r="GR150" s="13">
        <f>COUNTIF(GR152:GR156,"X")</f>
        <v>0</v>
      </c>
      <c r="GS150" s="13">
        <f>COUNTIF(GS152:GS156,"X")</f>
        <v>0</v>
      </c>
      <c r="GT150" s="13">
        <f>COUNTIF(GT152:GT156,"X")</f>
        <v>0</v>
      </c>
      <c r="GU150" s="13">
        <f>COUNTIF(GU152:GU156,"X")</f>
        <v>0</v>
      </c>
      <c r="GV150" s="13">
        <f>COUNTIF(GV152:GV156,"X")</f>
        <v>0</v>
      </c>
      <c r="GW150" s="13">
        <f>COUNTIF(GW152:GW156,"X")</f>
        <v>0</v>
      </c>
      <c r="GX150" s="13">
        <f>COUNTIF(GX152:GX156,"X")</f>
        <v>0</v>
      </c>
      <c r="GY150" s="13">
        <f>COUNTIF(GY152:GY156,"X")</f>
        <v>0</v>
      </c>
      <c r="GZ150" s="13">
        <f>COUNTIF(GZ152:GZ156,"X")</f>
        <v>0</v>
      </c>
      <c r="HA150" s="13">
        <f>COUNTIF(HA152:HA156,"X")</f>
        <v>0</v>
      </c>
      <c r="HB150" s="13">
        <f>COUNTIF(HB152:HB156,"X")</f>
        <v>0</v>
      </c>
      <c r="HC150" s="13">
        <f>COUNTIF(HC152:HC156,"X")</f>
        <v>0</v>
      </c>
      <c r="HD150" s="13">
        <f>COUNTIF(HD152:HD156,"X")</f>
        <v>0</v>
      </c>
      <c r="HE150" s="13">
        <f>COUNTIF(HE152:HE156,"X")</f>
        <v>0</v>
      </c>
      <c r="HF150" s="13">
        <f>COUNTIF(HF152:HF156,"X")</f>
        <v>0</v>
      </c>
      <c r="HG150" s="13">
        <f>COUNTIF(HG152:HG156,"X")</f>
        <v>0</v>
      </c>
      <c r="HH150" s="13">
        <f>COUNTIF(HH152:HH156,"X")</f>
        <v>0</v>
      </c>
      <c r="HI150" s="13">
        <f>COUNTIF(HI152:HI156,"X")</f>
        <v>0</v>
      </c>
      <c r="HJ150" s="13">
        <f>COUNTIF(HJ152:HJ156,"X")</f>
        <v>0</v>
      </c>
      <c r="HK150" s="13">
        <f>COUNTIF(HK152:HK156,"X")</f>
        <v>0</v>
      </c>
      <c r="HL150" s="13">
        <f>COUNTIF(HL152:HL156,"X")</f>
        <v>0</v>
      </c>
      <c r="HM150" s="13">
        <f>COUNTIF(HM152:HM156,"X")</f>
        <v>0</v>
      </c>
      <c r="HN150" s="13">
        <f>COUNTIF(HN152:HN156,"X")</f>
        <v>0</v>
      </c>
      <c r="HO150" s="13">
        <f>COUNTIF(HO152:HO156,"X")</f>
        <v>0</v>
      </c>
      <c r="HP150" s="13">
        <f>COUNTIF(HP152:HP156,"X")</f>
        <v>0</v>
      </c>
      <c r="HQ150" s="13">
        <f>COUNTIF(HQ152:HQ156,"X")</f>
        <v>0</v>
      </c>
      <c r="HR150" s="13">
        <f>COUNTIF(HR152:HR156,"X")</f>
        <v>0</v>
      </c>
      <c r="HS150" s="13">
        <f>COUNTIF(HS152:HS156,"X")</f>
        <v>0</v>
      </c>
      <c r="HT150" s="13">
        <f>COUNTIF(HT152:HT156,"X")</f>
        <v>0</v>
      </c>
      <c r="HU150" s="13">
        <f>COUNTIF(HU152:HU156,"X")</f>
        <v>0</v>
      </c>
      <c r="HV150" s="13">
        <f>COUNTIF(HV152:HV156,"X")</f>
        <v>0</v>
      </c>
      <c r="HW150" s="13">
        <f>COUNTIF(HW152:HW156,"X")</f>
        <v>0</v>
      </c>
      <c r="HX150" s="13">
        <f>COUNTIF(HX152:HX156,"X")</f>
        <v>0</v>
      </c>
      <c r="HY150" s="13">
        <f>COUNTIF(HY152:HY156,"X")</f>
        <v>0</v>
      </c>
      <c r="HZ150" s="13">
        <f>COUNTIF(HZ152:HZ156,"X")</f>
        <v>0</v>
      </c>
      <c r="IA150" s="13">
        <f>COUNTIF(IA152:IA156,"X")</f>
        <v>0</v>
      </c>
      <c r="IB150" s="13">
        <f>COUNTIF(IB152:IB156,"X")</f>
        <v>0</v>
      </c>
      <c r="IC150" s="13">
        <f>COUNTIF(IC152:IC156,"X")</f>
        <v>0</v>
      </c>
      <c r="ID150" s="13">
        <f>COUNTIF(ID152:ID156,"X")</f>
        <v>0</v>
      </c>
      <c r="IE150" s="13">
        <f>COUNTIF(IE152:IE156,"X")</f>
        <v>0</v>
      </c>
      <c r="IF150" s="13">
        <f>COUNTIF(IF152:IF156,"X")</f>
        <v>0</v>
      </c>
      <c r="IG150" s="13">
        <f>COUNTIF(IG152:IG156,"X")</f>
        <v>0</v>
      </c>
      <c r="IH150" s="13">
        <f>COUNTIF(IH152:IH156,"X")</f>
        <v>0</v>
      </c>
      <c r="II150" s="13">
        <f>COUNTIF(II152:II156,"X")</f>
        <v>0</v>
      </c>
      <c r="IJ150" s="13">
        <f>COUNTIF(IJ152:IJ156,"X")</f>
        <v>0</v>
      </c>
      <c r="IK150" s="13">
        <f>COUNTIF(IK152:IK156,"X")</f>
        <v>0</v>
      </c>
      <c r="IL150" s="13">
        <f>COUNTIF(IL152:IL156,"X")</f>
        <v>0</v>
      </c>
      <c r="IM150" s="13">
        <f>COUNTIF(IM152:IM156,"X")</f>
        <v>0</v>
      </c>
      <c r="IN150" s="13">
        <f>COUNTIF(IN152:IN156,"X")</f>
        <v>0</v>
      </c>
      <c r="IO150" s="13">
        <f>COUNTIF(IO152:IO156,"X")</f>
        <v>0</v>
      </c>
      <c r="IP150" s="13">
        <f>COUNTIF(IP152:IP156,"X")</f>
        <v>0</v>
      </c>
      <c r="IQ150" s="13">
        <f>COUNTIF(IQ152:IQ156,"X")</f>
        <v>0</v>
      </c>
      <c r="IR150" s="13">
        <f>COUNTIF(IR152:IR156,"X")</f>
        <v>0</v>
      </c>
      <c r="IS150" s="13">
        <f>COUNTIF(IS152:IS156,"X")</f>
        <v>0</v>
      </c>
      <c r="IT150" s="13">
        <f>COUNTIF(IT152:IT156,"X")</f>
        <v>0</v>
      </c>
      <c r="IU150" s="13">
        <f>COUNTIF(IU152:IU156,"X")</f>
        <v>0</v>
      </c>
      <c r="IV150" s="13">
        <f>COUNTIF(IV152:IV156,"X")</f>
        <v>0</v>
      </c>
      <c r="IW150" s="13">
        <f>COUNTIF(IW152:IW156,"X")</f>
        <v>0</v>
      </c>
      <c r="IX150" s="13">
        <f>COUNTIF(IX152:IX156,"X")</f>
        <v>0</v>
      </c>
      <c r="IY150" s="13">
        <f>COUNTIF(IY152:IY156,"X")</f>
        <v>0</v>
      </c>
      <c r="IZ150" s="13">
        <f>COUNTIF(IZ152:IZ156,"X")</f>
        <v>0</v>
      </c>
      <c r="JA150" s="13">
        <f>COUNTIF(JA152:JA156,"X")</f>
        <v>0</v>
      </c>
      <c r="JB150" s="13">
        <f>COUNTIF(JB152:JB156,"X")</f>
        <v>0</v>
      </c>
      <c r="JC150" s="13">
        <f>COUNTIF(JC152:JC156,"X")</f>
        <v>0</v>
      </c>
      <c r="JD150" s="13">
        <f>COUNTIF(JD152:JD156,"X")</f>
        <v>0</v>
      </c>
      <c r="JE150" s="13">
        <f>COUNTIF(JE152:JE156,"X")</f>
        <v>0</v>
      </c>
      <c r="JF150" s="13">
        <f>COUNTIF(JF152:JF156,"X")</f>
        <v>0</v>
      </c>
      <c r="JG150" s="13">
        <f>COUNTIF(JG152:JG156,"X")</f>
        <v>0</v>
      </c>
      <c r="JH150" s="13">
        <f>COUNTIF(JH152:JH156,"X")</f>
        <v>0</v>
      </c>
      <c r="JI150" s="13">
        <f>COUNTIF(JI152:JI156,"X")</f>
        <v>0</v>
      </c>
      <c r="JJ150" s="13">
        <f>COUNTIF(JJ152:JJ156,"X")</f>
        <v>0</v>
      </c>
      <c r="JK150" s="13">
        <f>COUNTIF(JK152:JK156,"X")</f>
        <v>0</v>
      </c>
      <c r="JL150" s="13">
        <f>COUNTIF(JL152:JL156,"X")</f>
        <v>0</v>
      </c>
      <c r="JM150" s="13">
        <f>COUNTIF(JM152:JM156,"X")</f>
        <v>0</v>
      </c>
      <c r="JN150" s="13">
        <f>COUNTIF(JN152:JN156,"X")</f>
        <v>0</v>
      </c>
      <c r="JO150" s="13">
        <f>COUNTIF(JO152:JO156,"X")</f>
        <v>0</v>
      </c>
      <c r="JP150" s="13">
        <f>COUNTIF(JP152:JP156,"X")</f>
        <v>0</v>
      </c>
      <c r="JQ150" s="13">
        <f>COUNTIF(JQ152:JQ156,"X")</f>
        <v>0</v>
      </c>
      <c r="JR150" s="13">
        <f>COUNTIF(JR152:JR156,"X")</f>
        <v>0</v>
      </c>
      <c r="JS150" s="13">
        <f>COUNTIF(JS152:JS156,"X")</f>
        <v>0</v>
      </c>
      <c r="JT150" s="13">
        <f>COUNTIF(JT152:JT156,"X")</f>
        <v>0</v>
      </c>
      <c r="JU150" s="13">
        <f>COUNTIF(JU152:JU156,"X")</f>
        <v>0</v>
      </c>
      <c r="JV150" s="13">
        <f>COUNTIF(JV152:JV156,"X")</f>
        <v>0</v>
      </c>
      <c r="JW150" s="13">
        <f>COUNTIF(JW152:JW156,"X")</f>
        <v>0</v>
      </c>
      <c r="JX150" s="13">
        <f>COUNTIF(JX152:JX156,"X")</f>
        <v>0</v>
      </c>
      <c r="JY150" s="13">
        <f>COUNTIF(JY152:JY156,"X")</f>
        <v>0</v>
      </c>
      <c r="JZ150" s="13">
        <f>COUNTIF(JZ152:JZ156,"X")</f>
        <v>0</v>
      </c>
      <c r="KA150" s="13">
        <f>COUNTIF(KA152:KA156,"X")</f>
        <v>0</v>
      </c>
      <c r="KB150" s="13">
        <f>COUNTIF(KB152:KB156,"X")</f>
        <v>0</v>
      </c>
      <c r="KC150" s="13">
        <f>COUNTIF(KC152:KC156,"X")</f>
        <v>0</v>
      </c>
      <c r="KD150" s="13">
        <f>COUNTIF(KD152:KD156,"X")</f>
        <v>0</v>
      </c>
      <c r="KE150" s="13">
        <f>COUNTIF(KE152:KE156,"X")</f>
        <v>0</v>
      </c>
      <c r="KF150" s="13">
        <f>COUNTIF(KF152:KF156,"X")</f>
        <v>0</v>
      </c>
      <c r="KG150" s="13">
        <f>COUNTIF(KG152:KG156,"X")</f>
        <v>0</v>
      </c>
      <c r="KH150" s="13">
        <f>COUNTIF(KH152:KH156,"X")</f>
        <v>0</v>
      </c>
      <c r="KI150" s="13">
        <f>COUNTIF(KI152:KI156,"X")</f>
        <v>0</v>
      </c>
      <c r="KJ150" s="13">
        <f>COUNTIF(KJ152:KJ156,"X")</f>
        <v>0</v>
      </c>
      <c r="KK150" s="13">
        <f>COUNTIF(KK152:KK156,"X")</f>
        <v>0</v>
      </c>
      <c r="KL150" s="13">
        <f>COUNTIF(KL152:KL156,"X")</f>
        <v>0</v>
      </c>
      <c r="KM150" s="13">
        <f>COUNTIF(KM152:KM156,"X")</f>
        <v>0</v>
      </c>
      <c r="KN150" s="13">
        <f>COUNTIF(KN152:KN156,"X")</f>
        <v>0</v>
      </c>
      <c r="KO150" s="13">
        <f>COUNTIF(KO152:KO156,"X")</f>
        <v>0</v>
      </c>
      <c r="KP150" s="13">
        <f>COUNTIF(KP152:KP156,"X")</f>
        <v>0</v>
      </c>
      <c r="KQ150" s="13">
        <f>COUNTIF(KQ152:KQ156,"X")</f>
        <v>0</v>
      </c>
      <c r="KR150" s="13">
        <f>COUNTIF(KR152:KR156,"X")</f>
        <v>0</v>
      </c>
      <c r="KS150" s="13">
        <f>COUNTIF(KS152:KS156,"X")</f>
        <v>0</v>
      </c>
      <c r="KT150" s="13">
        <f>COUNTIF(KT152:KT156,"X")</f>
        <v>0</v>
      </c>
      <c r="KU150" s="13">
        <f>COUNTIF(KU152:KU156,"X")</f>
        <v>0</v>
      </c>
      <c r="KV150" s="13">
        <f>COUNTIF(KV152:KV156,"X")</f>
        <v>0</v>
      </c>
      <c r="KW150" s="13">
        <f>COUNTIF(KW152:KW156,"X")</f>
        <v>0</v>
      </c>
      <c r="KX150" s="13">
        <f>COUNTIF(KX152:KX156,"X")</f>
        <v>0</v>
      </c>
      <c r="KY150" s="13">
        <f>COUNTIF(KY152:KY156,"X")</f>
        <v>0</v>
      </c>
      <c r="KZ150" s="13">
        <f>COUNTIF(KZ152:KZ156,"X")</f>
        <v>0</v>
      </c>
      <c r="LA150" s="13">
        <f>COUNTIF(LA152:LA156,"X")</f>
        <v>0</v>
      </c>
      <c r="LB150" s="13">
        <f>COUNTIF(LB152:LB156,"X")</f>
        <v>0</v>
      </c>
      <c r="LC150" s="13">
        <f>COUNTIF(LC152:LC156,"X")</f>
        <v>0</v>
      </c>
      <c r="LD150" s="13">
        <f>COUNTIF(LD152:LD156,"X")</f>
        <v>0</v>
      </c>
      <c r="LE150" s="13">
        <f>COUNTIF(LE152:LE156,"X")</f>
        <v>0</v>
      </c>
      <c r="LF150" s="13">
        <f>COUNTIF(LF152:LF156,"X")</f>
        <v>0</v>
      </c>
      <c r="LG150" s="13">
        <f>COUNTIF(LG152:LG156,"X")</f>
        <v>0</v>
      </c>
      <c r="LH150" s="13">
        <f>COUNTIF(LH152:LH156,"X")</f>
        <v>0</v>
      </c>
      <c r="LI150" s="13">
        <f>COUNTIF(LI152:LI156,"X")</f>
        <v>0</v>
      </c>
      <c r="LJ150" s="13">
        <f>COUNTIF(LJ152:LJ156,"X")</f>
        <v>0</v>
      </c>
      <c r="LK150" s="13">
        <f>COUNTIF(LK152:LK156,"X")</f>
        <v>0</v>
      </c>
      <c r="LL150" s="13">
        <f>COUNTIF(LL152:LL156,"X")</f>
        <v>0</v>
      </c>
      <c r="LM150" s="13">
        <f>COUNTIF(LM152:LM156,"X")</f>
        <v>0</v>
      </c>
      <c r="LN150" s="13">
        <f>COUNTIF(LN152:LN156,"X")</f>
        <v>0</v>
      </c>
      <c r="LO150" s="13">
        <f>COUNTIF(LO152:LO156,"X")</f>
        <v>0</v>
      </c>
      <c r="LP150" s="13">
        <f>COUNTIF(LP152:LP156,"X")</f>
        <v>0</v>
      </c>
      <c r="LQ150" s="13">
        <f>COUNTIF(LQ152:LQ156,"X")</f>
        <v>0</v>
      </c>
      <c r="LR150" s="13">
        <f>COUNTIF(LR152:LR156,"X")</f>
        <v>0</v>
      </c>
      <c r="LS150" s="13">
        <f>COUNTIF(LS152:LS156,"X")</f>
        <v>0</v>
      </c>
      <c r="LT150" s="13">
        <f>COUNTIF(LT152:LT156,"X")</f>
        <v>0</v>
      </c>
      <c r="LU150" s="13">
        <f>COUNTIF(LU152:LU156,"X")</f>
        <v>0</v>
      </c>
      <c r="LV150" s="13">
        <f>COUNTIF(LV152:LV156,"X")</f>
        <v>0</v>
      </c>
      <c r="LW150" s="13">
        <f>COUNTIF(LW152:LW156,"X")</f>
        <v>0</v>
      </c>
      <c r="LX150" s="13">
        <f>COUNTIF(LX152:LX156,"X")</f>
        <v>0</v>
      </c>
      <c r="LY150" s="13">
        <f>COUNTIF(LY152:LY156,"X")</f>
        <v>0</v>
      </c>
      <c r="LZ150" s="13">
        <f>COUNTIF(LZ152:LZ156,"X")</f>
        <v>0</v>
      </c>
      <c r="MA150" s="13">
        <f>COUNTIF(MA152:MA156,"X")</f>
        <v>0</v>
      </c>
      <c r="MB150" s="13">
        <f>COUNTIF(MB152:MB156,"X")</f>
        <v>0</v>
      </c>
      <c r="MC150" s="13">
        <f>COUNTIF(MC152:MC156,"X")</f>
        <v>0</v>
      </c>
      <c r="MD150" s="13">
        <f>COUNTIF(MD152:MD156,"X")</f>
        <v>0</v>
      </c>
      <c r="ME150" s="13">
        <f>COUNTIF(ME152:ME156,"X")</f>
        <v>0</v>
      </c>
      <c r="MF150" s="13">
        <f>COUNTIF(MF152:MF156,"X")</f>
        <v>0</v>
      </c>
      <c r="MG150" s="13">
        <f>COUNTIF(MG152:MG156,"X")</f>
        <v>0</v>
      </c>
      <c r="MH150" s="13">
        <f>COUNTIF(MH152:MH156,"X")</f>
        <v>0</v>
      </c>
      <c r="MI150" s="13">
        <f>COUNTIF(MI152:MI156,"X")</f>
        <v>0</v>
      </c>
      <c r="MJ150" s="13">
        <f>COUNTIF(MJ152:MJ156,"X")</f>
        <v>0</v>
      </c>
      <c r="MK150" s="13">
        <f>COUNTIF(MK152:MK156,"X")</f>
        <v>0</v>
      </c>
      <c r="ML150" s="13">
        <f>COUNTIF(ML152:ML156,"X")</f>
        <v>0</v>
      </c>
      <c r="MM150" s="13">
        <f>COUNTIF(MM152:MM156,"X")</f>
        <v>0</v>
      </c>
      <c r="MN150" s="13">
        <f>COUNTIF(MN152:MN156,"X")</f>
        <v>0</v>
      </c>
      <c r="MO150" s="13">
        <f>COUNTIF(MO152:MO156,"X")</f>
        <v>0</v>
      </c>
      <c r="MP150" s="13">
        <f>COUNTIF(MP152:MP156,"X")</f>
        <v>0</v>
      </c>
      <c r="MQ150" s="13">
        <f>COUNTIF(MQ152:MQ156,"X")</f>
        <v>0</v>
      </c>
      <c r="MR150" s="13">
        <f>COUNTIF(MR152:MR156,"X")</f>
        <v>0</v>
      </c>
      <c r="MS150" s="13">
        <f>COUNTIF(MS152:MS156,"X")</f>
        <v>0</v>
      </c>
      <c r="MT150" s="13">
        <f>COUNTIF(MT152:MT156,"X")</f>
        <v>0</v>
      </c>
      <c r="MU150" s="13">
        <f>COUNTIF(MU152:MU156,"X")</f>
        <v>0</v>
      </c>
      <c r="MV150" s="13">
        <f>COUNTIF(MV152:MV156,"X")</f>
        <v>0</v>
      </c>
      <c r="MW150" s="13">
        <f>COUNTIF(MW152:MW156,"X")</f>
        <v>0</v>
      </c>
      <c r="MX150" s="13">
        <f>COUNTIF(MX152:MX156,"X")</f>
        <v>0</v>
      </c>
      <c r="MY150" s="13">
        <f>COUNTIF(MY152:MY156,"X")</f>
        <v>0</v>
      </c>
      <c r="MZ150" s="13">
        <f>COUNTIF(MZ152:MZ156,"X")</f>
        <v>0</v>
      </c>
      <c r="NA150" s="13">
        <f>COUNTIF(NA152:NA156,"X")</f>
        <v>0</v>
      </c>
      <c r="NB150" s="13">
        <f>COUNTIF(NB152:NB156,"X")</f>
        <v>0</v>
      </c>
      <c r="NC150" s="13">
        <f>COUNTIF(NC152:NC156,"X")</f>
        <v>0</v>
      </c>
      <c r="ND150" s="13">
        <f>COUNTIF(ND152:ND156,"X")</f>
        <v>0</v>
      </c>
      <c r="NE150" s="13">
        <f>COUNTIF(NE152:NE156,"X")</f>
        <v>0</v>
      </c>
      <c r="NF150" s="13">
        <f>COUNTIF(NF152:NF156,"X")</f>
        <v>0</v>
      </c>
      <c r="NG150" s="13">
        <f>COUNTIF(NG152:NG156,"X")</f>
        <v>0</v>
      </c>
      <c r="NH150" s="13">
        <f>COUNTIF(NH152:NH156,"X")</f>
        <v>0</v>
      </c>
      <c r="NI150" s="13">
        <f>COUNTIF(NI152:NI156,"X")</f>
        <v>0</v>
      </c>
      <c r="NJ150" s="13">
        <f>COUNTIF(NJ152:NJ156,"X")</f>
        <v>0</v>
      </c>
      <c r="NK150" s="13">
        <f>COUNTIF(NK152:NK156,"X")</f>
        <v>0</v>
      </c>
      <c r="NL150" s="13">
        <f>COUNTIF(NL152:NL156,"X")</f>
        <v>0</v>
      </c>
      <c r="NM150" s="13">
        <f>COUNTIF(NM152:NM156,"X")</f>
        <v>0</v>
      </c>
      <c r="NN150" s="13">
        <f>COUNTIF(NN152:NN156,"X")</f>
        <v>0</v>
      </c>
      <c r="NO150" s="13">
        <f>COUNTIF(NO152:NO156,"X")</f>
        <v>0</v>
      </c>
      <c r="NP150" s="13">
        <f>COUNTIF(NP152:NP156,"X")</f>
        <v>0</v>
      </c>
      <c r="NQ150" s="13">
        <f>COUNTIF(NQ152:NQ156,"X")</f>
        <v>0</v>
      </c>
      <c r="NR150" s="13">
        <f>COUNTIF(NR152:NR156,"X")</f>
        <v>0</v>
      </c>
      <c r="NS150" s="13">
        <f>COUNTIF(NS151:NS156,"X")</f>
        <v>0</v>
      </c>
      <c r="NT150" s="14">
        <f>SUM(F150:NS150)</f>
        <v>5</v>
      </c>
      <c r="NU150" s="93"/>
      <c r="NV150" s="30">
        <f>SUMIF(NW151:NW156,0,NV151:NV156)</f>
        <v>1</v>
      </c>
      <c r="NW150" s="30">
        <f>SUMIF(NW151:NW156,0,NV151:NV156)</f>
        <v>1</v>
      </c>
      <c r="NX150" s="14">
        <f>SUM(F150:AU150)</f>
        <v>5</v>
      </c>
      <c r="NY150" s="93"/>
      <c r="NZ150" s="30">
        <f>SUMIF(OA151:OA156,0,NZ151:NZ156)</f>
        <v>0</v>
      </c>
      <c r="OA150" s="30">
        <f>SUMIF(OA151:OA156,0,NZ151:NZ156)</f>
        <v>0</v>
      </c>
      <c r="OB150" s="14">
        <f>SUM(AV150:CK150)</f>
        <v>0</v>
      </c>
      <c r="OC150" s="93"/>
      <c r="OD150" s="30">
        <f>SUMIF(OE151:OE156,0,OD151:OD156)</f>
        <v>0</v>
      </c>
      <c r="OE150" s="30">
        <f>SUMIF(OE151:OE156,0,OD151:OD156)</f>
        <v>0</v>
      </c>
      <c r="OF150" s="14">
        <f>SUM(CL150:EA150)</f>
        <v>0</v>
      </c>
      <c r="OG150" s="85"/>
      <c r="OH150" s="30">
        <f>SUMIF(OI151:OI156,0,OH151:OH156)</f>
        <v>0</v>
      </c>
      <c r="OI150" s="30">
        <f>SUMIF(OI151:OI156,0,OH151:OH156)</f>
        <v>0</v>
      </c>
      <c r="OJ150" s="14">
        <f>SUM(EB150:FQ150)</f>
        <v>0</v>
      </c>
      <c r="OK150" s="85"/>
      <c r="OL150" s="30">
        <f>SUMIF(OM151:OM156,0,OL151:OL156)</f>
        <v>0</v>
      </c>
      <c r="OM150" s="30">
        <f>SUMIF(OM151:OM156,0,OL151:OL156)</f>
        <v>0</v>
      </c>
      <c r="ON150" s="14">
        <f>SUM(FR150:HG150)</f>
        <v>0</v>
      </c>
      <c r="OO150" s="85"/>
      <c r="OP150" s="30">
        <f>SUMIF(OQ151:OQ156,0,OP151:OP156)</f>
        <v>0</v>
      </c>
      <c r="OQ150" s="85"/>
      <c r="OR150" s="14">
        <f>SUM(HH150:IW150)</f>
        <v>0</v>
      </c>
      <c r="OS150" s="85"/>
      <c r="OT150" s="30">
        <f>SUMIF(OU151:OU156,0,OT151:OT156)</f>
        <v>0</v>
      </c>
      <c r="OU150" s="30">
        <f>SUMIF(OU151:OU156,0,OT151:OT156)</f>
        <v>0</v>
      </c>
      <c r="OV150" s="14">
        <f>SUM(IX150:KM150)</f>
        <v>0</v>
      </c>
      <c r="OW150" s="85"/>
      <c r="OX150" s="30">
        <f>SUMIF(OY151:OY156,0,OX151:OX156)</f>
        <v>0</v>
      </c>
      <c r="OY150" s="30">
        <f>SUMIF(OY151:OY156,0,OX151:OX156)</f>
        <v>0</v>
      </c>
      <c r="OZ150" s="14">
        <f>SUM(KN150:MC150)</f>
        <v>0</v>
      </c>
      <c r="PA150" s="85"/>
      <c r="PB150" s="30">
        <f>SUMIF(PC151:PC156,0,PB151:PB156)</f>
        <v>0</v>
      </c>
      <c r="PC150" s="30">
        <f>SUMIF(PC151:PC156,0,PB151:PB156)</f>
        <v>0</v>
      </c>
      <c r="PD150" s="14">
        <f>SUM(MD150:NS150)</f>
        <v>0</v>
      </c>
      <c r="PE150" s="85"/>
    </row>
    <row r="151" spans="1:421" ht="15.75" customHeight="1" outlineLevel="1" x14ac:dyDescent="0.25">
      <c r="C151" s="82" t="s">
        <v>112</v>
      </c>
      <c r="D151" s="71"/>
      <c r="E151" s="53" t="s">
        <v>8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69"/>
      <c r="Q151" s="33">
        <v>1</v>
      </c>
      <c r="R151" s="33">
        <v>1</v>
      </c>
      <c r="S151" s="33"/>
      <c r="T151" s="33"/>
      <c r="U151" s="33"/>
      <c r="V151" s="33"/>
      <c r="W151" s="69"/>
      <c r="X151" s="33"/>
      <c r="Y151" s="33">
        <v>1</v>
      </c>
      <c r="Z151" s="33">
        <v>1</v>
      </c>
      <c r="AA151" s="33">
        <v>1</v>
      </c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  <c r="HI151" s="33"/>
      <c r="HJ151" s="33"/>
      <c r="HK151" s="33"/>
      <c r="HL151" s="33"/>
      <c r="HM151" s="33"/>
      <c r="HN151" s="33"/>
      <c r="HO151" s="33"/>
      <c r="HP151" s="33"/>
      <c r="HQ151" s="33"/>
      <c r="HR151" s="33"/>
      <c r="HS151" s="33"/>
      <c r="HT151" s="33"/>
      <c r="HU151" s="33"/>
      <c r="HV151" s="33"/>
      <c r="HW151" s="33"/>
      <c r="HX151" s="33"/>
      <c r="HY151" s="33"/>
      <c r="HZ151" s="33"/>
      <c r="IA151" s="33"/>
      <c r="IB151" s="33"/>
      <c r="IC151" s="33"/>
      <c r="ID151" s="33"/>
      <c r="IE151" s="33"/>
      <c r="IF151" s="33"/>
      <c r="IG151" s="33"/>
      <c r="IH151" s="33"/>
      <c r="II151" s="33"/>
      <c r="IJ151" s="33"/>
      <c r="IK151" s="33"/>
      <c r="IL151" s="33"/>
      <c r="IM151" s="33"/>
      <c r="IN151" s="33"/>
      <c r="IO151" s="33"/>
      <c r="IP151" s="33"/>
      <c r="IQ151" s="33"/>
      <c r="IR151" s="33"/>
      <c r="IS151" s="33"/>
      <c r="IT151" s="33"/>
      <c r="IU151" s="33"/>
      <c r="IV151" s="33"/>
      <c r="IW151" s="33"/>
      <c r="IX151" s="33"/>
      <c r="IY151" s="33"/>
      <c r="IZ151" s="33"/>
      <c r="JA151" s="33"/>
      <c r="JB151" s="33"/>
      <c r="JC151" s="33"/>
      <c r="JD151" s="33"/>
      <c r="JE151" s="33"/>
      <c r="JF151" s="33"/>
      <c r="JG151" s="33"/>
      <c r="JH151" s="33"/>
      <c r="JI151" s="33"/>
      <c r="JJ151" s="33"/>
      <c r="JK151" s="33"/>
      <c r="JL151" s="33"/>
      <c r="JM151" s="33"/>
      <c r="JN151" s="33"/>
      <c r="JO151" s="33"/>
      <c r="JP151" s="33"/>
      <c r="JQ151" s="33"/>
      <c r="JR151" s="33"/>
      <c r="JS151" s="33"/>
      <c r="JT151" s="33"/>
      <c r="JU151" s="33"/>
      <c r="JV151" s="33"/>
      <c r="JW151" s="33"/>
      <c r="JX151" s="33"/>
      <c r="JY151" s="33"/>
      <c r="JZ151" s="33"/>
      <c r="KA151" s="33"/>
      <c r="KB151" s="33"/>
      <c r="KC151" s="33"/>
      <c r="KD151" s="33"/>
      <c r="KE151" s="33"/>
      <c r="KF151" s="33"/>
      <c r="KG151" s="33"/>
      <c r="KH151" s="33"/>
      <c r="KI151" s="33"/>
      <c r="KJ151" s="33"/>
      <c r="KK151" s="33"/>
      <c r="KL151" s="33"/>
      <c r="KM151" s="33"/>
      <c r="KN151" s="33"/>
      <c r="KO151" s="33"/>
      <c r="KP151" s="33"/>
      <c r="KQ151" s="33"/>
      <c r="KR151" s="33"/>
      <c r="KS151" s="33"/>
      <c r="KT151" s="33"/>
      <c r="KU151" s="33"/>
      <c r="KV151" s="33"/>
      <c r="KW151" s="33"/>
      <c r="KX151" s="33"/>
      <c r="KY151" s="33"/>
      <c r="KZ151" s="33"/>
      <c r="LA151" s="33"/>
      <c r="LB151" s="33"/>
      <c r="LC151" s="33"/>
      <c r="LD151" s="33"/>
      <c r="LE151" s="33"/>
      <c r="LF151" s="33"/>
      <c r="LG151" s="33"/>
      <c r="LH151" s="33"/>
      <c r="LI151" s="33"/>
      <c r="LJ151" s="33"/>
      <c r="LK151" s="33"/>
      <c r="LL151" s="33"/>
      <c r="LM151" s="33"/>
      <c r="LN151" s="33"/>
      <c r="LO151" s="33"/>
      <c r="LP151" s="33"/>
      <c r="LQ151" s="33"/>
      <c r="LR151" s="33"/>
      <c r="LS151" s="33"/>
      <c r="LT151" s="33"/>
      <c r="LU151" s="33"/>
      <c r="LV151" s="33"/>
      <c r="LW151" s="33"/>
      <c r="LX151" s="33"/>
      <c r="LY151" s="33"/>
      <c r="LZ151" s="33"/>
      <c r="MA151" s="33"/>
      <c r="MB151" s="33"/>
      <c r="MC151" s="33"/>
      <c r="MD151" s="33"/>
      <c r="ME151" s="33"/>
      <c r="MF151" s="33"/>
      <c r="MG151" s="33"/>
      <c r="MH151" s="33"/>
      <c r="MI151" s="33"/>
      <c r="MJ151" s="33"/>
      <c r="MK151" s="33"/>
      <c r="ML151" s="33"/>
      <c r="MM151" s="33"/>
      <c r="MN151" s="33"/>
      <c r="MO151" s="33"/>
      <c r="MP151" s="33"/>
      <c r="MQ151" s="33"/>
      <c r="MR151" s="33"/>
      <c r="MS151" s="33"/>
      <c r="MT151" s="33"/>
      <c r="MU151" s="33"/>
      <c r="MV151" s="33"/>
      <c r="MW151" s="33"/>
      <c r="MX151" s="33"/>
      <c r="MY151" s="33"/>
      <c r="MZ151" s="33"/>
      <c r="NA151" s="33"/>
      <c r="NB151" s="33"/>
      <c r="NC151" s="33"/>
      <c r="ND151" s="33"/>
      <c r="NE151" s="33"/>
      <c r="NF151" s="33"/>
      <c r="NG151" s="33"/>
      <c r="NH151" s="33"/>
      <c r="NI151" s="33"/>
      <c r="NJ151" s="33"/>
      <c r="NK151" s="33"/>
      <c r="NL151" s="33"/>
      <c r="NM151" s="33"/>
      <c r="NN151" s="33"/>
      <c r="NO151" s="33"/>
      <c r="NP151" s="33"/>
      <c r="NQ151" s="33"/>
      <c r="NR151" s="33"/>
      <c r="NS151" s="33"/>
      <c r="NT151" s="31">
        <f>COUNTIF(F151:NS151,"1")</f>
        <v>5</v>
      </c>
      <c r="NU151" s="80">
        <f>NT152/NT151</f>
        <v>1</v>
      </c>
      <c r="NV151" s="29" t="str">
        <f>+IF(NX151&gt;=1,"1",0)</f>
        <v>1</v>
      </c>
      <c r="NW151" s="38">
        <f t="shared" ref="NW151:NW156" si="289">MOD(ROW(NW151),2)</f>
        <v>1</v>
      </c>
      <c r="NX151" s="35">
        <f>COUNTIF(F151:AU151,"1")</f>
        <v>5</v>
      </c>
      <c r="NY151" s="80">
        <f t="shared" si="270"/>
        <v>1</v>
      </c>
      <c r="NZ151" s="29">
        <f>+IF(OB151&gt;=1,"1",0)</f>
        <v>0</v>
      </c>
      <c r="OA151" s="38">
        <f t="shared" ref="OA151:OA156" si="290">MOD(ROW(OA151),2)</f>
        <v>1</v>
      </c>
      <c r="OB151" s="35">
        <f>COUNTIF(AV151:CK151,"1")</f>
        <v>0</v>
      </c>
      <c r="OC151" s="80" t="e">
        <f>OB152/OB151</f>
        <v>#DIV/0!</v>
      </c>
      <c r="OD151" s="29">
        <f>+IF(OF151&gt;=1,"1",0)</f>
        <v>0</v>
      </c>
      <c r="OE151" s="38">
        <f t="shared" ref="OE151:OE156" si="291">MOD(ROW(OE151),2)</f>
        <v>1</v>
      </c>
      <c r="OF151" s="35">
        <f>COUNTIF(CL151:EA151,"1")</f>
        <v>0</v>
      </c>
      <c r="OG151" s="80" t="e">
        <f>OF152/OF151</f>
        <v>#DIV/0!</v>
      </c>
      <c r="OH151" s="29">
        <f>+IF(OJ151&gt;=1,"1",0)</f>
        <v>0</v>
      </c>
      <c r="OI151" s="38">
        <f t="shared" ref="OI151:OI156" si="292">MOD(ROW(OI151),2)</f>
        <v>1</v>
      </c>
      <c r="OJ151" s="35">
        <f>COUNTIF(EB151:FQ151,"1")</f>
        <v>0</v>
      </c>
      <c r="OK151" s="79" t="e">
        <f>OJ152/OJ151</f>
        <v>#DIV/0!</v>
      </c>
      <c r="OL151" s="29">
        <f>+IF(ON151&gt;=1,"1",0)</f>
        <v>0</v>
      </c>
      <c r="OM151" s="38">
        <f t="shared" ref="OM151:OM156" si="293">MOD(ROW(OM151),2)</f>
        <v>1</v>
      </c>
      <c r="ON151" s="35">
        <f>COUNTIF(FR151:HG151,"1")</f>
        <v>0</v>
      </c>
      <c r="OO151" s="79" t="e">
        <f>ON152/ON151</f>
        <v>#DIV/0!</v>
      </c>
      <c r="OP151" s="29">
        <f>+IF(OR151&gt;=1,"1",0)</f>
        <v>0</v>
      </c>
      <c r="OQ151" s="38">
        <f t="shared" ref="OQ151:OQ156" si="294">MOD(ROW(OQ151),2)</f>
        <v>1</v>
      </c>
      <c r="OR151" s="35">
        <f>COUNTIF(HH151:IW151,"1")</f>
        <v>0</v>
      </c>
      <c r="OS151" s="79" t="e">
        <f>OR152/OR151</f>
        <v>#DIV/0!</v>
      </c>
      <c r="OT151" s="29">
        <f>+IF(OV151&gt;=1,"1",0)</f>
        <v>0</v>
      </c>
      <c r="OU151" s="38">
        <f t="shared" ref="OU151:OU156" si="295">MOD(ROW(OU151),2)</f>
        <v>1</v>
      </c>
      <c r="OV151" s="35">
        <f>COUNTIF(IX151:KM151,"1")</f>
        <v>0</v>
      </c>
      <c r="OW151" s="79" t="e">
        <f>OV152/OV151</f>
        <v>#DIV/0!</v>
      </c>
      <c r="OX151" s="29">
        <f>+IF(OZ151&gt;=1,"1",0)</f>
        <v>0</v>
      </c>
      <c r="OY151" s="38">
        <f t="shared" ref="OY151:OY156" si="296">MOD(ROW(OY151),2)</f>
        <v>1</v>
      </c>
      <c r="OZ151" s="35">
        <f>COUNTIF(KN151:MC151,"1")</f>
        <v>0</v>
      </c>
      <c r="PA151" s="79" t="e">
        <f>OZ152/OZ151</f>
        <v>#DIV/0!</v>
      </c>
      <c r="PB151" s="29">
        <f>+IF(PD151&gt;=1,"1",0)</f>
        <v>0</v>
      </c>
      <c r="PC151" s="38">
        <f t="shared" ref="PC151:PC156" si="297">MOD(ROW(PC151),2)</f>
        <v>1</v>
      </c>
      <c r="PD151" s="35">
        <f>COUNTIF(MD151:NS151,"1")</f>
        <v>0</v>
      </c>
      <c r="PE151" s="79" t="e">
        <f>PD152/PD151</f>
        <v>#DIV/0!</v>
      </c>
    </row>
    <row r="152" spans="1:421" ht="15.75" customHeight="1" outlineLevel="1" thickBot="1" x14ac:dyDescent="0.3">
      <c r="C152" s="83"/>
      <c r="D152" s="72"/>
      <c r="E152" s="54" t="s">
        <v>9</v>
      </c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70"/>
      <c r="Q152" s="34" t="s">
        <v>75</v>
      </c>
      <c r="R152" s="34" t="s">
        <v>75</v>
      </c>
      <c r="S152" s="34"/>
      <c r="T152" s="34"/>
      <c r="U152" s="34"/>
      <c r="V152" s="34"/>
      <c r="W152" s="70"/>
      <c r="X152" s="34"/>
      <c r="Y152" s="34" t="s">
        <v>75</v>
      </c>
      <c r="Z152" s="34" t="s">
        <v>75</v>
      </c>
      <c r="AA152" s="34" t="s">
        <v>75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4"/>
      <c r="GX152" s="34"/>
      <c r="GY152" s="34"/>
      <c r="GZ152" s="34"/>
      <c r="HA152" s="34"/>
      <c r="HB152" s="34"/>
      <c r="HC152" s="34"/>
      <c r="HD152" s="34"/>
      <c r="HE152" s="34"/>
      <c r="HF152" s="34"/>
      <c r="HG152" s="34"/>
      <c r="HH152" s="34"/>
      <c r="HI152" s="34"/>
      <c r="HJ152" s="34"/>
      <c r="HK152" s="34"/>
      <c r="HL152" s="34"/>
      <c r="HM152" s="34"/>
      <c r="HN152" s="34"/>
      <c r="HO152" s="34"/>
      <c r="HP152" s="34"/>
      <c r="HQ152" s="34"/>
      <c r="HR152" s="34"/>
      <c r="HS152" s="34"/>
      <c r="HT152" s="34"/>
      <c r="HU152" s="34"/>
      <c r="HV152" s="34"/>
      <c r="HW152" s="34"/>
      <c r="HX152" s="34"/>
      <c r="HY152" s="34"/>
      <c r="HZ152" s="34"/>
      <c r="IA152" s="34"/>
      <c r="IB152" s="34"/>
      <c r="IC152" s="34"/>
      <c r="ID152" s="34"/>
      <c r="IE152" s="34"/>
      <c r="IF152" s="34"/>
      <c r="IG152" s="34"/>
      <c r="IH152" s="34"/>
      <c r="II152" s="34"/>
      <c r="IJ152" s="34"/>
      <c r="IK152" s="34"/>
      <c r="IL152" s="34"/>
      <c r="IM152" s="34"/>
      <c r="IN152" s="34"/>
      <c r="IO152" s="34"/>
      <c r="IP152" s="34"/>
      <c r="IQ152" s="34"/>
      <c r="IR152" s="34"/>
      <c r="IS152" s="34"/>
      <c r="IT152" s="34"/>
      <c r="IU152" s="34"/>
      <c r="IV152" s="34"/>
      <c r="IW152" s="34"/>
      <c r="IX152" s="34"/>
      <c r="IY152" s="34"/>
      <c r="IZ152" s="34"/>
      <c r="JA152" s="34"/>
      <c r="JB152" s="34"/>
      <c r="JC152" s="34"/>
      <c r="JD152" s="34"/>
      <c r="JE152" s="34"/>
      <c r="JF152" s="34"/>
      <c r="JG152" s="34"/>
      <c r="JH152" s="34"/>
      <c r="JI152" s="34"/>
      <c r="JJ152" s="34"/>
      <c r="JK152" s="34"/>
      <c r="JL152" s="34"/>
      <c r="JM152" s="34"/>
      <c r="JN152" s="34"/>
      <c r="JO152" s="34"/>
      <c r="JP152" s="34"/>
      <c r="JQ152" s="34"/>
      <c r="JR152" s="34"/>
      <c r="JS152" s="34"/>
      <c r="JT152" s="34"/>
      <c r="JU152" s="34"/>
      <c r="JV152" s="34"/>
      <c r="JW152" s="34"/>
      <c r="JX152" s="34"/>
      <c r="JY152" s="34"/>
      <c r="JZ152" s="34"/>
      <c r="KA152" s="34"/>
      <c r="KB152" s="34"/>
      <c r="KC152" s="34"/>
      <c r="KD152" s="34"/>
      <c r="KE152" s="34"/>
      <c r="KF152" s="34"/>
      <c r="KG152" s="34"/>
      <c r="KH152" s="34"/>
      <c r="KI152" s="34"/>
      <c r="KJ152" s="34"/>
      <c r="KK152" s="34"/>
      <c r="KL152" s="34"/>
      <c r="KM152" s="34"/>
      <c r="KN152" s="34"/>
      <c r="KO152" s="34"/>
      <c r="KP152" s="34"/>
      <c r="KQ152" s="34"/>
      <c r="KR152" s="34"/>
      <c r="KS152" s="34"/>
      <c r="KT152" s="34"/>
      <c r="KU152" s="34"/>
      <c r="KV152" s="34"/>
      <c r="KW152" s="34"/>
      <c r="KX152" s="34"/>
      <c r="KY152" s="34"/>
      <c r="KZ152" s="34"/>
      <c r="LA152" s="34"/>
      <c r="LB152" s="34"/>
      <c r="LC152" s="34"/>
      <c r="LD152" s="34"/>
      <c r="LE152" s="34"/>
      <c r="LF152" s="34"/>
      <c r="LG152" s="34"/>
      <c r="LH152" s="34"/>
      <c r="LI152" s="34"/>
      <c r="LJ152" s="34"/>
      <c r="LK152" s="34"/>
      <c r="LL152" s="34"/>
      <c r="LM152" s="34"/>
      <c r="LN152" s="34"/>
      <c r="LO152" s="34"/>
      <c r="LP152" s="34"/>
      <c r="LQ152" s="34"/>
      <c r="LR152" s="34"/>
      <c r="LS152" s="34"/>
      <c r="LT152" s="34"/>
      <c r="LU152" s="34"/>
      <c r="LV152" s="34"/>
      <c r="LW152" s="34"/>
      <c r="LX152" s="34"/>
      <c r="LY152" s="34"/>
      <c r="LZ152" s="34"/>
      <c r="MA152" s="34"/>
      <c r="MB152" s="34"/>
      <c r="MC152" s="34"/>
      <c r="MD152" s="34"/>
      <c r="ME152" s="34"/>
      <c r="MF152" s="34"/>
      <c r="MG152" s="34"/>
      <c r="MH152" s="34"/>
      <c r="MI152" s="34"/>
      <c r="MJ152" s="34"/>
      <c r="MK152" s="34"/>
      <c r="ML152" s="34"/>
      <c r="MM152" s="34"/>
      <c r="MN152" s="34"/>
      <c r="MO152" s="34"/>
      <c r="MP152" s="34"/>
      <c r="MQ152" s="34"/>
      <c r="MR152" s="34"/>
      <c r="MS152" s="34"/>
      <c r="MT152" s="34"/>
      <c r="MU152" s="34"/>
      <c r="MV152" s="34"/>
      <c r="MW152" s="34"/>
      <c r="MX152" s="34"/>
      <c r="MY152" s="34"/>
      <c r="MZ152" s="34"/>
      <c r="NA152" s="34"/>
      <c r="NB152" s="34"/>
      <c r="NC152" s="34"/>
      <c r="ND152" s="34"/>
      <c r="NE152" s="34"/>
      <c r="NF152" s="34"/>
      <c r="NG152" s="34"/>
      <c r="NH152" s="34"/>
      <c r="NI152" s="34"/>
      <c r="NJ152" s="34"/>
      <c r="NK152" s="34"/>
      <c r="NL152" s="34"/>
      <c r="NM152" s="34"/>
      <c r="NN152" s="34"/>
      <c r="NO152" s="34"/>
      <c r="NP152" s="34"/>
      <c r="NQ152" s="34"/>
      <c r="NR152" s="34"/>
      <c r="NS152" s="34"/>
      <c r="NT152" s="7">
        <f>COUNTIF(F152:NS152,"x")</f>
        <v>5</v>
      </c>
      <c r="NU152" s="81"/>
      <c r="NV152" s="32">
        <f>IF(NX152=0,"0",NX152/NX151)</f>
        <v>1</v>
      </c>
      <c r="NW152" s="37">
        <f t="shared" si="289"/>
        <v>0</v>
      </c>
      <c r="NX152" s="36">
        <f>COUNTIF(F152:AU152,"x")</f>
        <v>5</v>
      </c>
      <c r="NY152" s="81"/>
      <c r="NZ152" s="32" t="str">
        <f>IF(OB152=0,"0",OB152/OB151)</f>
        <v>0</v>
      </c>
      <c r="OA152" s="37">
        <f t="shared" si="290"/>
        <v>0</v>
      </c>
      <c r="OB152" s="36">
        <f>COUNTIF(AV152:CK152,"x")</f>
        <v>0</v>
      </c>
      <c r="OC152" s="81"/>
      <c r="OD152" s="32" t="str">
        <f>IF(OF152=0,"0",OF152/OF151)</f>
        <v>0</v>
      </c>
      <c r="OE152" s="37">
        <f t="shared" si="291"/>
        <v>0</v>
      </c>
      <c r="OF152" s="36">
        <f>COUNTIF(CL152:EA152,"x")</f>
        <v>0</v>
      </c>
      <c r="OG152" s="81"/>
      <c r="OH152" s="32" t="str">
        <f>IF(OJ152=0,"0",OJ152/OJ151)</f>
        <v>0</v>
      </c>
      <c r="OI152" s="37">
        <f t="shared" si="292"/>
        <v>0</v>
      </c>
      <c r="OJ152" s="36">
        <f>COUNTIF(EB152:FQ152,"x")</f>
        <v>0</v>
      </c>
      <c r="OK152" s="74"/>
      <c r="OL152" s="32" t="str">
        <f>IF(ON152=0,"0",ON152/ON151)</f>
        <v>0</v>
      </c>
      <c r="OM152" s="37">
        <f t="shared" si="293"/>
        <v>0</v>
      </c>
      <c r="ON152" s="36">
        <f>COUNTIF(FR152:HG152,"x")</f>
        <v>0</v>
      </c>
      <c r="OO152" s="74"/>
      <c r="OP152" s="32" t="str">
        <f>IF(OR152=0,"0",OR152/OR151)</f>
        <v>0</v>
      </c>
      <c r="OQ152" s="37">
        <f t="shared" si="294"/>
        <v>0</v>
      </c>
      <c r="OR152" s="36">
        <f>COUNTIF(HH152:IW152,"x")</f>
        <v>0</v>
      </c>
      <c r="OS152" s="74"/>
      <c r="OT152" s="32" t="str">
        <f>IF(OV152=0,"0",OV152/OV151)</f>
        <v>0</v>
      </c>
      <c r="OU152" s="37">
        <f t="shared" si="295"/>
        <v>0</v>
      </c>
      <c r="OV152" s="36">
        <f>COUNTIF(IX152:KM152,"x")</f>
        <v>0</v>
      </c>
      <c r="OW152" s="74"/>
      <c r="OX152" s="32" t="str">
        <f>IF(OZ152=0,"0",OZ152/OZ151)</f>
        <v>0</v>
      </c>
      <c r="OY152" s="37">
        <f t="shared" si="296"/>
        <v>0</v>
      </c>
      <c r="OZ152" s="36">
        <f>COUNTIF(KN152:MC152,"x")</f>
        <v>0</v>
      </c>
      <c r="PA152" s="74"/>
      <c r="PB152" s="32" t="str">
        <f>IF(PD152=0,"0",PD152/PD151)</f>
        <v>0</v>
      </c>
      <c r="PC152" s="37">
        <f t="shared" si="297"/>
        <v>0</v>
      </c>
      <c r="PD152" s="36">
        <f>COUNTIF(MD152:NS152,"x")</f>
        <v>0</v>
      </c>
      <c r="PE152" s="74"/>
    </row>
    <row r="153" spans="1:421" ht="15.75" customHeight="1" outlineLevel="1" x14ac:dyDescent="0.25">
      <c r="C153" s="82"/>
      <c r="D153" s="71"/>
      <c r="E153" s="53" t="s">
        <v>8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69"/>
      <c r="Q153" s="33"/>
      <c r="R153" s="33"/>
      <c r="S153" s="33"/>
      <c r="T153" s="33"/>
      <c r="U153" s="33"/>
      <c r="V153" s="33"/>
      <c r="W153" s="69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  <c r="HI153" s="33"/>
      <c r="HJ153" s="33"/>
      <c r="HK153" s="33"/>
      <c r="HL153" s="33"/>
      <c r="HM153" s="33"/>
      <c r="HN153" s="33"/>
      <c r="HO153" s="33"/>
      <c r="HP153" s="33"/>
      <c r="HQ153" s="33"/>
      <c r="HR153" s="33"/>
      <c r="HS153" s="33"/>
      <c r="HT153" s="33"/>
      <c r="HU153" s="33"/>
      <c r="HV153" s="33"/>
      <c r="HW153" s="33"/>
      <c r="HX153" s="33"/>
      <c r="HY153" s="33"/>
      <c r="HZ153" s="33"/>
      <c r="IA153" s="33"/>
      <c r="IB153" s="33"/>
      <c r="IC153" s="33"/>
      <c r="ID153" s="33"/>
      <c r="IE153" s="33"/>
      <c r="IF153" s="33"/>
      <c r="IG153" s="33"/>
      <c r="IH153" s="33"/>
      <c r="II153" s="33"/>
      <c r="IJ153" s="33"/>
      <c r="IK153" s="33"/>
      <c r="IL153" s="33"/>
      <c r="IM153" s="33"/>
      <c r="IN153" s="33"/>
      <c r="IO153" s="33"/>
      <c r="IP153" s="33"/>
      <c r="IQ153" s="33"/>
      <c r="IR153" s="33"/>
      <c r="IS153" s="33"/>
      <c r="IT153" s="33"/>
      <c r="IU153" s="33"/>
      <c r="IV153" s="33"/>
      <c r="IW153" s="33"/>
      <c r="IX153" s="33"/>
      <c r="IY153" s="33"/>
      <c r="IZ153" s="33"/>
      <c r="JA153" s="33"/>
      <c r="JB153" s="33"/>
      <c r="JC153" s="33"/>
      <c r="JD153" s="33"/>
      <c r="JE153" s="33"/>
      <c r="JF153" s="33"/>
      <c r="JG153" s="33"/>
      <c r="JH153" s="33"/>
      <c r="JI153" s="33"/>
      <c r="JJ153" s="33"/>
      <c r="JK153" s="33"/>
      <c r="JL153" s="33"/>
      <c r="JM153" s="33"/>
      <c r="JN153" s="33"/>
      <c r="JO153" s="33"/>
      <c r="JP153" s="33"/>
      <c r="JQ153" s="33"/>
      <c r="JR153" s="33"/>
      <c r="JS153" s="33"/>
      <c r="JT153" s="33"/>
      <c r="JU153" s="33"/>
      <c r="JV153" s="33"/>
      <c r="JW153" s="33"/>
      <c r="JX153" s="33"/>
      <c r="JY153" s="33"/>
      <c r="JZ153" s="33"/>
      <c r="KA153" s="33"/>
      <c r="KB153" s="33"/>
      <c r="KC153" s="33"/>
      <c r="KD153" s="33"/>
      <c r="KE153" s="33"/>
      <c r="KF153" s="33"/>
      <c r="KG153" s="33"/>
      <c r="KH153" s="33"/>
      <c r="KI153" s="33"/>
      <c r="KJ153" s="33"/>
      <c r="KK153" s="33"/>
      <c r="KL153" s="33"/>
      <c r="KM153" s="33"/>
      <c r="KN153" s="33"/>
      <c r="KO153" s="33"/>
      <c r="KP153" s="33"/>
      <c r="KQ153" s="33"/>
      <c r="KR153" s="33"/>
      <c r="KS153" s="33"/>
      <c r="KT153" s="33"/>
      <c r="KU153" s="33"/>
      <c r="KV153" s="33"/>
      <c r="KW153" s="33"/>
      <c r="KX153" s="33"/>
      <c r="KY153" s="33"/>
      <c r="KZ153" s="33"/>
      <c r="LA153" s="33"/>
      <c r="LB153" s="33"/>
      <c r="LC153" s="33"/>
      <c r="LD153" s="33"/>
      <c r="LE153" s="33"/>
      <c r="LF153" s="33"/>
      <c r="LG153" s="33"/>
      <c r="LH153" s="33"/>
      <c r="LI153" s="33"/>
      <c r="LJ153" s="33"/>
      <c r="LK153" s="33"/>
      <c r="LL153" s="33"/>
      <c r="LM153" s="33"/>
      <c r="LN153" s="33"/>
      <c r="LO153" s="33"/>
      <c r="LP153" s="33"/>
      <c r="LQ153" s="33"/>
      <c r="LR153" s="33"/>
      <c r="LS153" s="33"/>
      <c r="LT153" s="33"/>
      <c r="LU153" s="33"/>
      <c r="LV153" s="33"/>
      <c r="LW153" s="33"/>
      <c r="LX153" s="33"/>
      <c r="LY153" s="33"/>
      <c r="LZ153" s="33"/>
      <c r="MA153" s="33"/>
      <c r="MB153" s="33"/>
      <c r="MC153" s="33"/>
      <c r="MD153" s="33"/>
      <c r="ME153" s="33"/>
      <c r="MF153" s="33"/>
      <c r="MG153" s="33"/>
      <c r="MH153" s="33"/>
      <c r="MI153" s="33"/>
      <c r="MJ153" s="33"/>
      <c r="MK153" s="33"/>
      <c r="ML153" s="33"/>
      <c r="MM153" s="33"/>
      <c r="MN153" s="33"/>
      <c r="MO153" s="33"/>
      <c r="MP153" s="33"/>
      <c r="MQ153" s="33"/>
      <c r="MR153" s="33"/>
      <c r="MS153" s="33"/>
      <c r="MT153" s="33"/>
      <c r="MU153" s="33"/>
      <c r="MV153" s="33"/>
      <c r="MW153" s="33"/>
      <c r="MX153" s="33"/>
      <c r="MY153" s="33"/>
      <c r="MZ153" s="33"/>
      <c r="NA153" s="33"/>
      <c r="NB153" s="33"/>
      <c r="NC153" s="33"/>
      <c r="ND153" s="33"/>
      <c r="NE153" s="33"/>
      <c r="NF153" s="33"/>
      <c r="NG153" s="33"/>
      <c r="NH153" s="33"/>
      <c r="NI153" s="33"/>
      <c r="NJ153" s="33"/>
      <c r="NK153" s="33"/>
      <c r="NL153" s="33"/>
      <c r="NM153" s="33"/>
      <c r="NN153" s="33"/>
      <c r="NO153" s="33"/>
      <c r="NP153" s="33"/>
      <c r="NQ153" s="33"/>
      <c r="NR153" s="33"/>
      <c r="NS153" s="33"/>
      <c r="NT153" s="31">
        <f>COUNTIF(F153:NS153,"1")</f>
        <v>0</v>
      </c>
      <c r="NU153" s="80" t="e">
        <f>NT154/NT153</f>
        <v>#DIV/0!</v>
      </c>
      <c r="NV153" s="29">
        <f>+IF(NX153&gt;=1,"1",0)</f>
        <v>0</v>
      </c>
      <c r="NW153" s="38">
        <f t="shared" si="289"/>
        <v>1</v>
      </c>
      <c r="NX153" s="35">
        <f>COUNTIF(F153:AU153,"1")</f>
        <v>0</v>
      </c>
      <c r="NY153" s="80" t="e">
        <f t="shared" si="270"/>
        <v>#DIV/0!</v>
      </c>
      <c r="NZ153" s="29">
        <f>+IF(OB153&gt;=1,"1",0)</f>
        <v>0</v>
      </c>
      <c r="OA153" s="38">
        <f t="shared" si="290"/>
        <v>1</v>
      </c>
      <c r="OB153" s="35">
        <f>COUNTIF(AV153:CK153,"1")</f>
        <v>0</v>
      </c>
      <c r="OC153" s="80" t="e">
        <f>OB154/OB153</f>
        <v>#DIV/0!</v>
      </c>
      <c r="OD153" s="29">
        <f>+IF(OF153&gt;=1,"1",0)</f>
        <v>0</v>
      </c>
      <c r="OE153" s="38">
        <f t="shared" si="291"/>
        <v>1</v>
      </c>
      <c r="OF153" s="35">
        <f>COUNTIF(CL153:EA153,"1")</f>
        <v>0</v>
      </c>
      <c r="OG153" s="80" t="e">
        <f>OF154/OF153</f>
        <v>#DIV/0!</v>
      </c>
      <c r="OH153" s="29">
        <f>+IF(OJ153&gt;=1,"1",0)</f>
        <v>0</v>
      </c>
      <c r="OI153" s="38">
        <f t="shared" si="292"/>
        <v>1</v>
      </c>
      <c r="OJ153" s="35">
        <f>COUNTIF(EB153:FQ153,"1")</f>
        <v>0</v>
      </c>
      <c r="OK153" s="79" t="e">
        <f>OJ154/OJ153</f>
        <v>#DIV/0!</v>
      </c>
      <c r="OL153" s="29">
        <f>+IF(ON153&gt;=1,"1",0)</f>
        <v>0</v>
      </c>
      <c r="OM153" s="38">
        <f t="shared" si="293"/>
        <v>1</v>
      </c>
      <c r="ON153" s="35">
        <f>COUNTIF(FR153:HG153,"1")</f>
        <v>0</v>
      </c>
      <c r="OO153" s="79" t="e">
        <f>ON154/ON153</f>
        <v>#DIV/0!</v>
      </c>
      <c r="OP153" s="29">
        <f>+IF(OR153&gt;=1,"1",0)</f>
        <v>0</v>
      </c>
      <c r="OQ153" s="38">
        <f t="shared" si="294"/>
        <v>1</v>
      </c>
      <c r="OR153" s="35">
        <f>COUNTIF(HH153:IW153,"1")</f>
        <v>0</v>
      </c>
      <c r="OS153" s="79" t="e">
        <f>OR154/OR153</f>
        <v>#DIV/0!</v>
      </c>
      <c r="OT153" s="29">
        <f>+IF(OV153&gt;=1,"1",0)</f>
        <v>0</v>
      </c>
      <c r="OU153" s="38">
        <f t="shared" si="295"/>
        <v>1</v>
      </c>
      <c r="OV153" s="35">
        <f>COUNTIF(IX153:KM153,"1")</f>
        <v>0</v>
      </c>
      <c r="OW153" s="79" t="e">
        <f>OV154/OV153</f>
        <v>#DIV/0!</v>
      </c>
      <c r="OX153" s="29">
        <f>+IF(OZ153&gt;=1,"1",0)</f>
        <v>0</v>
      </c>
      <c r="OY153" s="38">
        <f t="shared" si="296"/>
        <v>1</v>
      </c>
      <c r="OZ153" s="35">
        <f>COUNTIF(KN153:MC153,"1")</f>
        <v>0</v>
      </c>
      <c r="PA153" s="79" t="e">
        <f>OZ154/OZ153</f>
        <v>#DIV/0!</v>
      </c>
      <c r="PB153" s="29">
        <f>+IF(PD153&gt;=1,"1",0)</f>
        <v>0</v>
      </c>
      <c r="PC153" s="38">
        <f t="shared" si="297"/>
        <v>1</v>
      </c>
      <c r="PD153" s="35">
        <f>COUNTIF(MD153:NS153,"1")</f>
        <v>0</v>
      </c>
      <c r="PE153" s="79" t="e">
        <f>PD154/PD153</f>
        <v>#DIV/0!</v>
      </c>
    </row>
    <row r="154" spans="1:421" ht="15.75" customHeight="1" outlineLevel="1" thickBot="1" x14ac:dyDescent="0.3">
      <c r="C154" s="83"/>
      <c r="D154" s="72"/>
      <c r="E154" s="54" t="s">
        <v>9</v>
      </c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70"/>
      <c r="Q154" s="34"/>
      <c r="R154" s="34"/>
      <c r="S154" s="34"/>
      <c r="T154" s="34"/>
      <c r="U154" s="34"/>
      <c r="V154" s="34"/>
      <c r="W154" s="70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  <c r="HB154" s="34"/>
      <c r="HC154" s="34"/>
      <c r="HD154" s="34"/>
      <c r="HE154" s="34"/>
      <c r="HF154" s="34"/>
      <c r="HG154" s="34"/>
      <c r="HH154" s="34"/>
      <c r="HI154" s="34"/>
      <c r="HJ154" s="34"/>
      <c r="HK154" s="34"/>
      <c r="HL154" s="34"/>
      <c r="HM154" s="34"/>
      <c r="HN154" s="34"/>
      <c r="HO154" s="34"/>
      <c r="HP154" s="34"/>
      <c r="HQ154" s="34"/>
      <c r="HR154" s="34"/>
      <c r="HS154" s="34"/>
      <c r="HT154" s="34"/>
      <c r="HU154" s="34"/>
      <c r="HV154" s="34"/>
      <c r="HW154" s="34"/>
      <c r="HX154" s="34"/>
      <c r="HY154" s="34"/>
      <c r="HZ154" s="34"/>
      <c r="IA154" s="34"/>
      <c r="IB154" s="34"/>
      <c r="IC154" s="34"/>
      <c r="ID154" s="34"/>
      <c r="IE154" s="34"/>
      <c r="IF154" s="34"/>
      <c r="IG154" s="34"/>
      <c r="IH154" s="34"/>
      <c r="II154" s="34"/>
      <c r="IJ154" s="34"/>
      <c r="IK154" s="34"/>
      <c r="IL154" s="34"/>
      <c r="IM154" s="34"/>
      <c r="IN154" s="34"/>
      <c r="IO154" s="34"/>
      <c r="IP154" s="34"/>
      <c r="IQ154" s="34"/>
      <c r="IR154" s="34"/>
      <c r="IS154" s="34"/>
      <c r="IT154" s="34"/>
      <c r="IU154" s="34"/>
      <c r="IV154" s="34"/>
      <c r="IW154" s="34"/>
      <c r="IX154" s="34"/>
      <c r="IY154" s="34"/>
      <c r="IZ154" s="34"/>
      <c r="JA154" s="34"/>
      <c r="JB154" s="34"/>
      <c r="JC154" s="34"/>
      <c r="JD154" s="34"/>
      <c r="JE154" s="34"/>
      <c r="JF154" s="34"/>
      <c r="JG154" s="34"/>
      <c r="JH154" s="34"/>
      <c r="JI154" s="34"/>
      <c r="JJ154" s="34"/>
      <c r="JK154" s="34"/>
      <c r="JL154" s="34"/>
      <c r="JM154" s="34"/>
      <c r="JN154" s="34"/>
      <c r="JO154" s="34"/>
      <c r="JP154" s="34"/>
      <c r="JQ154" s="34"/>
      <c r="JR154" s="34"/>
      <c r="JS154" s="34"/>
      <c r="JT154" s="34"/>
      <c r="JU154" s="34"/>
      <c r="JV154" s="34"/>
      <c r="JW154" s="34"/>
      <c r="JX154" s="34"/>
      <c r="JY154" s="34"/>
      <c r="JZ154" s="34"/>
      <c r="KA154" s="34"/>
      <c r="KB154" s="34"/>
      <c r="KC154" s="34"/>
      <c r="KD154" s="34"/>
      <c r="KE154" s="34"/>
      <c r="KF154" s="34"/>
      <c r="KG154" s="34"/>
      <c r="KH154" s="34"/>
      <c r="KI154" s="34"/>
      <c r="KJ154" s="34"/>
      <c r="KK154" s="34"/>
      <c r="KL154" s="34"/>
      <c r="KM154" s="34"/>
      <c r="KN154" s="34"/>
      <c r="KO154" s="34"/>
      <c r="KP154" s="34"/>
      <c r="KQ154" s="34"/>
      <c r="KR154" s="34"/>
      <c r="KS154" s="34"/>
      <c r="KT154" s="34"/>
      <c r="KU154" s="34"/>
      <c r="KV154" s="34"/>
      <c r="KW154" s="34"/>
      <c r="KX154" s="34"/>
      <c r="KY154" s="34"/>
      <c r="KZ154" s="34"/>
      <c r="LA154" s="34"/>
      <c r="LB154" s="34"/>
      <c r="LC154" s="34"/>
      <c r="LD154" s="34"/>
      <c r="LE154" s="34"/>
      <c r="LF154" s="34"/>
      <c r="LG154" s="34"/>
      <c r="LH154" s="34"/>
      <c r="LI154" s="34"/>
      <c r="LJ154" s="34"/>
      <c r="LK154" s="34"/>
      <c r="LL154" s="34"/>
      <c r="LM154" s="34"/>
      <c r="LN154" s="34"/>
      <c r="LO154" s="34"/>
      <c r="LP154" s="34"/>
      <c r="LQ154" s="34"/>
      <c r="LR154" s="34"/>
      <c r="LS154" s="34"/>
      <c r="LT154" s="34"/>
      <c r="LU154" s="34"/>
      <c r="LV154" s="34"/>
      <c r="LW154" s="34"/>
      <c r="LX154" s="34"/>
      <c r="LY154" s="34"/>
      <c r="LZ154" s="34"/>
      <c r="MA154" s="34"/>
      <c r="MB154" s="34"/>
      <c r="MC154" s="34"/>
      <c r="MD154" s="34"/>
      <c r="ME154" s="34"/>
      <c r="MF154" s="34"/>
      <c r="MG154" s="34"/>
      <c r="MH154" s="34"/>
      <c r="MI154" s="34"/>
      <c r="MJ154" s="34"/>
      <c r="MK154" s="34"/>
      <c r="ML154" s="34"/>
      <c r="MM154" s="34"/>
      <c r="MN154" s="34"/>
      <c r="MO154" s="34"/>
      <c r="MP154" s="34"/>
      <c r="MQ154" s="34"/>
      <c r="MR154" s="34"/>
      <c r="MS154" s="34"/>
      <c r="MT154" s="34"/>
      <c r="MU154" s="34"/>
      <c r="MV154" s="34"/>
      <c r="MW154" s="34"/>
      <c r="MX154" s="34"/>
      <c r="MY154" s="34"/>
      <c r="MZ154" s="34"/>
      <c r="NA154" s="34"/>
      <c r="NB154" s="34"/>
      <c r="NC154" s="34"/>
      <c r="ND154" s="34"/>
      <c r="NE154" s="34"/>
      <c r="NF154" s="34"/>
      <c r="NG154" s="34"/>
      <c r="NH154" s="34"/>
      <c r="NI154" s="34"/>
      <c r="NJ154" s="34"/>
      <c r="NK154" s="34"/>
      <c r="NL154" s="34"/>
      <c r="NM154" s="34"/>
      <c r="NN154" s="34"/>
      <c r="NO154" s="34"/>
      <c r="NP154" s="34"/>
      <c r="NQ154" s="34"/>
      <c r="NR154" s="34"/>
      <c r="NS154" s="34"/>
      <c r="NT154" s="7">
        <f>COUNTIF(F154:NS154,"x")</f>
        <v>0</v>
      </c>
      <c r="NU154" s="81"/>
      <c r="NV154" s="32" t="str">
        <f>IF(NX154=0,"0",NX154/NX153)</f>
        <v>0</v>
      </c>
      <c r="NW154" s="37">
        <f t="shared" si="289"/>
        <v>0</v>
      </c>
      <c r="NX154" s="36">
        <f>COUNTIF(F154:AU154,"x")</f>
        <v>0</v>
      </c>
      <c r="NY154" s="81"/>
      <c r="NZ154" s="32" t="str">
        <f>IF(OB154=0,"0",OB154/OB153)</f>
        <v>0</v>
      </c>
      <c r="OA154" s="37">
        <f t="shared" si="290"/>
        <v>0</v>
      </c>
      <c r="OB154" s="36">
        <f>COUNTIF(AV154:CK154,"x")</f>
        <v>0</v>
      </c>
      <c r="OC154" s="81"/>
      <c r="OD154" s="32" t="str">
        <f>IF(OF154=0,"0",OF154/OF153)</f>
        <v>0</v>
      </c>
      <c r="OE154" s="37">
        <f t="shared" si="291"/>
        <v>0</v>
      </c>
      <c r="OF154" s="36">
        <f>COUNTIF(CL154:EA154,"x")</f>
        <v>0</v>
      </c>
      <c r="OG154" s="81"/>
      <c r="OH154" s="32" t="str">
        <f>IF(OJ154=0,"0",OJ154/OJ153)</f>
        <v>0</v>
      </c>
      <c r="OI154" s="37">
        <f t="shared" si="292"/>
        <v>0</v>
      </c>
      <c r="OJ154" s="36">
        <f>COUNTIF(EB154:FQ154,"x")</f>
        <v>0</v>
      </c>
      <c r="OK154" s="74"/>
      <c r="OL154" s="32" t="str">
        <f>IF(ON154=0,"0",ON154/ON153)</f>
        <v>0</v>
      </c>
      <c r="OM154" s="37">
        <f t="shared" si="293"/>
        <v>0</v>
      </c>
      <c r="ON154" s="36">
        <f>COUNTIF(FR154:HG154,"x")</f>
        <v>0</v>
      </c>
      <c r="OO154" s="74"/>
      <c r="OP154" s="32" t="str">
        <f>IF(OR154=0,"0",OR154/OR153)</f>
        <v>0</v>
      </c>
      <c r="OQ154" s="37">
        <f t="shared" si="294"/>
        <v>0</v>
      </c>
      <c r="OR154" s="36">
        <f>COUNTIF(HH154:IW154,"x")</f>
        <v>0</v>
      </c>
      <c r="OS154" s="74"/>
      <c r="OT154" s="32" t="str">
        <f>IF(OV154=0,"0",OV154/OV153)</f>
        <v>0</v>
      </c>
      <c r="OU154" s="37">
        <f t="shared" si="295"/>
        <v>0</v>
      </c>
      <c r="OV154" s="36">
        <f>COUNTIF(IX154:KM154,"x")</f>
        <v>0</v>
      </c>
      <c r="OW154" s="74"/>
      <c r="OX154" s="32" t="str">
        <f>IF(OZ154=0,"0",OZ154/OZ153)</f>
        <v>0</v>
      </c>
      <c r="OY154" s="37">
        <f t="shared" si="296"/>
        <v>0</v>
      </c>
      <c r="OZ154" s="36">
        <f>COUNTIF(KN154:MC154,"x")</f>
        <v>0</v>
      </c>
      <c r="PA154" s="74"/>
      <c r="PB154" s="32" t="str">
        <f>IF(PD154=0,"0",PD154/PD153)</f>
        <v>0</v>
      </c>
      <c r="PC154" s="37">
        <f t="shared" si="297"/>
        <v>0</v>
      </c>
      <c r="PD154" s="36">
        <f>COUNTIF(MD154:NS154,"x")</f>
        <v>0</v>
      </c>
      <c r="PE154" s="74"/>
    </row>
    <row r="155" spans="1:421" ht="15.75" customHeight="1" outlineLevel="1" x14ac:dyDescent="0.25">
      <c r="C155" s="88"/>
      <c r="D155" s="71"/>
      <c r="E155" s="53" t="s">
        <v>8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69"/>
      <c r="Q155" s="33"/>
      <c r="R155" s="33"/>
      <c r="S155" s="33"/>
      <c r="T155" s="33"/>
      <c r="U155" s="33"/>
      <c r="V155" s="33"/>
      <c r="W155" s="69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  <c r="HI155" s="33"/>
      <c r="HJ155" s="33"/>
      <c r="HK155" s="33"/>
      <c r="HL155" s="33"/>
      <c r="HM155" s="33"/>
      <c r="HN155" s="33"/>
      <c r="HO155" s="33"/>
      <c r="HP155" s="33"/>
      <c r="HQ155" s="33"/>
      <c r="HR155" s="33"/>
      <c r="HS155" s="33"/>
      <c r="HT155" s="33"/>
      <c r="HU155" s="33"/>
      <c r="HV155" s="33"/>
      <c r="HW155" s="33"/>
      <c r="HX155" s="33"/>
      <c r="HY155" s="33"/>
      <c r="HZ155" s="33"/>
      <c r="IA155" s="33"/>
      <c r="IB155" s="33"/>
      <c r="IC155" s="33"/>
      <c r="ID155" s="33"/>
      <c r="IE155" s="33"/>
      <c r="IF155" s="33"/>
      <c r="IG155" s="33"/>
      <c r="IH155" s="33"/>
      <c r="II155" s="33"/>
      <c r="IJ155" s="33"/>
      <c r="IK155" s="33"/>
      <c r="IL155" s="33"/>
      <c r="IM155" s="33"/>
      <c r="IN155" s="33"/>
      <c r="IO155" s="33"/>
      <c r="IP155" s="33"/>
      <c r="IQ155" s="33"/>
      <c r="IR155" s="33"/>
      <c r="IS155" s="33"/>
      <c r="IT155" s="33"/>
      <c r="IU155" s="33"/>
      <c r="IV155" s="33"/>
      <c r="IW155" s="33"/>
      <c r="IX155" s="33"/>
      <c r="IY155" s="33"/>
      <c r="IZ155" s="33"/>
      <c r="JA155" s="33"/>
      <c r="JB155" s="33"/>
      <c r="JC155" s="33"/>
      <c r="JD155" s="33"/>
      <c r="JE155" s="33"/>
      <c r="JF155" s="33"/>
      <c r="JG155" s="33"/>
      <c r="JH155" s="33"/>
      <c r="JI155" s="33"/>
      <c r="JJ155" s="33"/>
      <c r="JK155" s="33"/>
      <c r="JL155" s="33"/>
      <c r="JM155" s="33"/>
      <c r="JN155" s="33"/>
      <c r="JO155" s="33"/>
      <c r="JP155" s="33"/>
      <c r="JQ155" s="33"/>
      <c r="JR155" s="33"/>
      <c r="JS155" s="33"/>
      <c r="JT155" s="33"/>
      <c r="JU155" s="33"/>
      <c r="JV155" s="33"/>
      <c r="JW155" s="33"/>
      <c r="JX155" s="33"/>
      <c r="JY155" s="33"/>
      <c r="JZ155" s="33"/>
      <c r="KA155" s="33"/>
      <c r="KB155" s="33"/>
      <c r="KC155" s="33"/>
      <c r="KD155" s="33"/>
      <c r="KE155" s="33"/>
      <c r="KF155" s="33"/>
      <c r="KG155" s="33"/>
      <c r="KH155" s="33"/>
      <c r="KI155" s="33"/>
      <c r="KJ155" s="33"/>
      <c r="KK155" s="33"/>
      <c r="KL155" s="33"/>
      <c r="KM155" s="33"/>
      <c r="KN155" s="33"/>
      <c r="KO155" s="33"/>
      <c r="KP155" s="33"/>
      <c r="KQ155" s="33"/>
      <c r="KR155" s="33"/>
      <c r="KS155" s="33"/>
      <c r="KT155" s="33"/>
      <c r="KU155" s="33"/>
      <c r="KV155" s="33"/>
      <c r="KW155" s="33"/>
      <c r="KX155" s="33"/>
      <c r="KY155" s="33"/>
      <c r="KZ155" s="33"/>
      <c r="LA155" s="33"/>
      <c r="LB155" s="33"/>
      <c r="LC155" s="33"/>
      <c r="LD155" s="33"/>
      <c r="LE155" s="33"/>
      <c r="LF155" s="33"/>
      <c r="LG155" s="33"/>
      <c r="LH155" s="33"/>
      <c r="LI155" s="33"/>
      <c r="LJ155" s="33"/>
      <c r="LK155" s="33"/>
      <c r="LL155" s="33"/>
      <c r="LM155" s="33"/>
      <c r="LN155" s="33"/>
      <c r="LO155" s="33"/>
      <c r="LP155" s="33"/>
      <c r="LQ155" s="33"/>
      <c r="LR155" s="33"/>
      <c r="LS155" s="33"/>
      <c r="LT155" s="33"/>
      <c r="LU155" s="33"/>
      <c r="LV155" s="33"/>
      <c r="LW155" s="33"/>
      <c r="LX155" s="33"/>
      <c r="LY155" s="33"/>
      <c r="LZ155" s="33"/>
      <c r="MA155" s="33"/>
      <c r="MB155" s="33"/>
      <c r="MC155" s="33"/>
      <c r="MD155" s="33"/>
      <c r="ME155" s="33"/>
      <c r="MF155" s="33"/>
      <c r="MG155" s="33"/>
      <c r="MH155" s="33"/>
      <c r="MI155" s="33"/>
      <c r="MJ155" s="33"/>
      <c r="MK155" s="33"/>
      <c r="ML155" s="33"/>
      <c r="MM155" s="33"/>
      <c r="MN155" s="33"/>
      <c r="MO155" s="33"/>
      <c r="MP155" s="33"/>
      <c r="MQ155" s="33"/>
      <c r="MR155" s="33"/>
      <c r="MS155" s="33"/>
      <c r="MT155" s="33"/>
      <c r="MU155" s="33"/>
      <c r="MV155" s="33"/>
      <c r="MW155" s="33"/>
      <c r="MX155" s="33"/>
      <c r="MY155" s="33"/>
      <c r="MZ155" s="33"/>
      <c r="NA155" s="33"/>
      <c r="NB155" s="33"/>
      <c r="NC155" s="33"/>
      <c r="ND155" s="33"/>
      <c r="NE155" s="33"/>
      <c r="NF155" s="33"/>
      <c r="NG155" s="33"/>
      <c r="NH155" s="33"/>
      <c r="NI155" s="33"/>
      <c r="NJ155" s="33"/>
      <c r="NK155" s="33"/>
      <c r="NL155" s="33"/>
      <c r="NM155" s="33"/>
      <c r="NN155" s="33"/>
      <c r="NO155" s="33"/>
      <c r="NP155" s="33"/>
      <c r="NQ155" s="33"/>
      <c r="NR155" s="33"/>
      <c r="NS155" s="33"/>
      <c r="NT155" s="31">
        <f>COUNTIF(F155:NS155,"1")</f>
        <v>0</v>
      </c>
      <c r="NU155" s="80" t="e">
        <f>NT156/NT155</f>
        <v>#DIV/0!</v>
      </c>
      <c r="NV155" s="29">
        <f>+IF(NX155&gt;=1,"1",0)</f>
        <v>0</v>
      </c>
      <c r="NW155" s="38">
        <f t="shared" si="289"/>
        <v>1</v>
      </c>
      <c r="NX155" s="35">
        <f>COUNTIF(F155:AU155,"1")</f>
        <v>0</v>
      </c>
      <c r="NY155" s="80" t="e">
        <f t="shared" si="270"/>
        <v>#DIV/0!</v>
      </c>
      <c r="NZ155" s="29">
        <f>+IF(OB155&gt;=1,"1",0)</f>
        <v>0</v>
      </c>
      <c r="OA155" s="38">
        <f t="shared" si="290"/>
        <v>1</v>
      </c>
      <c r="OB155" s="35">
        <f>COUNTIF(AV155:CK155,"1")</f>
        <v>0</v>
      </c>
      <c r="OC155" s="80" t="e">
        <f>OB156/OB155</f>
        <v>#DIV/0!</v>
      </c>
      <c r="OD155" s="29">
        <f>+IF(OF155&gt;=1,"1",0)</f>
        <v>0</v>
      </c>
      <c r="OE155" s="38">
        <f t="shared" si="291"/>
        <v>1</v>
      </c>
      <c r="OF155" s="35">
        <f>COUNTIF(CL155:EA155,"1")</f>
        <v>0</v>
      </c>
      <c r="OG155" s="80" t="e">
        <f>OF156/OF155</f>
        <v>#DIV/0!</v>
      </c>
      <c r="OH155" s="29">
        <f>+IF(OJ155&gt;=1,"1",0)</f>
        <v>0</v>
      </c>
      <c r="OI155" s="38">
        <f t="shared" si="292"/>
        <v>1</v>
      </c>
      <c r="OJ155" s="35">
        <f>COUNTIF(EB155:FQ155,"1")</f>
        <v>0</v>
      </c>
      <c r="OK155" s="79" t="e">
        <f>OJ156/OJ155</f>
        <v>#DIV/0!</v>
      </c>
      <c r="OL155" s="29">
        <f>+IF(ON155&gt;=1,"1",0)</f>
        <v>0</v>
      </c>
      <c r="OM155" s="38">
        <f t="shared" si="293"/>
        <v>1</v>
      </c>
      <c r="ON155" s="35">
        <f>COUNTIF(FR155:HG155,"1")</f>
        <v>0</v>
      </c>
      <c r="OO155" s="79" t="e">
        <f>ON156/ON155</f>
        <v>#DIV/0!</v>
      </c>
      <c r="OP155" s="29">
        <f>+IF(OR155&gt;=1,"1",0)</f>
        <v>0</v>
      </c>
      <c r="OQ155" s="38">
        <f t="shared" si="294"/>
        <v>1</v>
      </c>
      <c r="OR155" s="35">
        <f>COUNTIF(HH155:IW155,"1")</f>
        <v>0</v>
      </c>
      <c r="OS155" s="79" t="e">
        <f>OR156/OR155</f>
        <v>#DIV/0!</v>
      </c>
      <c r="OT155" s="29">
        <f>+IF(OV155&gt;=1,"1",0)</f>
        <v>0</v>
      </c>
      <c r="OU155" s="38">
        <f t="shared" si="295"/>
        <v>1</v>
      </c>
      <c r="OV155" s="35">
        <f>COUNTIF(IX155:KM155,"1")</f>
        <v>0</v>
      </c>
      <c r="OW155" s="79" t="e">
        <f>OV156/OV155</f>
        <v>#DIV/0!</v>
      </c>
      <c r="OX155" s="29">
        <f>+IF(OZ155&gt;=1,"1",0)</f>
        <v>0</v>
      </c>
      <c r="OY155" s="38">
        <f t="shared" si="296"/>
        <v>1</v>
      </c>
      <c r="OZ155" s="35">
        <f>COUNTIF(KN155:MC155,"1")</f>
        <v>0</v>
      </c>
      <c r="PA155" s="79" t="e">
        <f>OZ156/OZ155</f>
        <v>#DIV/0!</v>
      </c>
      <c r="PB155" s="29">
        <f>+IF(PD155&gt;=1,"1",0)</f>
        <v>0</v>
      </c>
      <c r="PC155" s="38">
        <f t="shared" si="297"/>
        <v>1</v>
      </c>
      <c r="PD155" s="35">
        <f>COUNTIF(MD155:NS155,"1")</f>
        <v>0</v>
      </c>
      <c r="PE155" s="79" t="e">
        <f>PD156/PD155</f>
        <v>#DIV/0!</v>
      </c>
    </row>
    <row r="156" spans="1:421" ht="15.75" customHeight="1" outlineLevel="1" thickBot="1" x14ac:dyDescent="0.3">
      <c r="C156" s="89"/>
      <c r="D156" s="72"/>
      <c r="E156" s="54" t="s">
        <v>9</v>
      </c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70"/>
      <c r="Q156" s="34"/>
      <c r="R156" s="34"/>
      <c r="S156" s="34"/>
      <c r="T156" s="34"/>
      <c r="U156" s="34"/>
      <c r="V156" s="34"/>
      <c r="W156" s="70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  <c r="HB156" s="34"/>
      <c r="HC156" s="34"/>
      <c r="HD156" s="34"/>
      <c r="HE156" s="34"/>
      <c r="HF156" s="34"/>
      <c r="HG156" s="34"/>
      <c r="HH156" s="34"/>
      <c r="HI156" s="34"/>
      <c r="HJ156" s="34"/>
      <c r="HK156" s="34"/>
      <c r="HL156" s="34"/>
      <c r="HM156" s="34"/>
      <c r="HN156" s="34"/>
      <c r="HO156" s="34"/>
      <c r="HP156" s="34"/>
      <c r="HQ156" s="34"/>
      <c r="HR156" s="34"/>
      <c r="HS156" s="34"/>
      <c r="HT156" s="34"/>
      <c r="HU156" s="34"/>
      <c r="HV156" s="34"/>
      <c r="HW156" s="34"/>
      <c r="HX156" s="34"/>
      <c r="HY156" s="34"/>
      <c r="HZ156" s="34"/>
      <c r="IA156" s="34"/>
      <c r="IB156" s="34"/>
      <c r="IC156" s="34"/>
      <c r="ID156" s="34"/>
      <c r="IE156" s="34"/>
      <c r="IF156" s="34"/>
      <c r="IG156" s="34"/>
      <c r="IH156" s="34"/>
      <c r="II156" s="34"/>
      <c r="IJ156" s="34"/>
      <c r="IK156" s="34"/>
      <c r="IL156" s="34"/>
      <c r="IM156" s="34"/>
      <c r="IN156" s="34"/>
      <c r="IO156" s="34"/>
      <c r="IP156" s="34"/>
      <c r="IQ156" s="34"/>
      <c r="IR156" s="34"/>
      <c r="IS156" s="34"/>
      <c r="IT156" s="34"/>
      <c r="IU156" s="34"/>
      <c r="IV156" s="34"/>
      <c r="IW156" s="34"/>
      <c r="IX156" s="34"/>
      <c r="IY156" s="34"/>
      <c r="IZ156" s="34"/>
      <c r="JA156" s="34"/>
      <c r="JB156" s="34"/>
      <c r="JC156" s="34"/>
      <c r="JD156" s="34"/>
      <c r="JE156" s="34"/>
      <c r="JF156" s="34"/>
      <c r="JG156" s="34"/>
      <c r="JH156" s="34"/>
      <c r="JI156" s="34"/>
      <c r="JJ156" s="34"/>
      <c r="JK156" s="34"/>
      <c r="JL156" s="34"/>
      <c r="JM156" s="34"/>
      <c r="JN156" s="34"/>
      <c r="JO156" s="34"/>
      <c r="JP156" s="34"/>
      <c r="JQ156" s="34"/>
      <c r="JR156" s="34"/>
      <c r="JS156" s="34"/>
      <c r="JT156" s="34"/>
      <c r="JU156" s="34"/>
      <c r="JV156" s="34"/>
      <c r="JW156" s="34"/>
      <c r="JX156" s="34"/>
      <c r="JY156" s="34"/>
      <c r="JZ156" s="34"/>
      <c r="KA156" s="34"/>
      <c r="KB156" s="34"/>
      <c r="KC156" s="34"/>
      <c r="KD156" s="34"/>
      <c r="KE156" s="34"/>
      <c r="KF156" s="34"/>
      <c r="KG156" s="34"/>
      <c r="KH156" s="34"/>
      <c r="KI156" s="34"/>
      <c r="KJ156" s="34"/>
      <c r="KK156" s="34"/>
      <c r="KL156" s="34"/>
      <c r="KM156" s="34"/>
      <c r="KN156" s="34"/>
      <c r="KO156" s="34"/>
      <c r="KP156" s="34"/>
      <c r="KQ156" s="34"/>
      <c r="KR156" s="34"/>
      <c r="KS156" s="34"/>
      <c r="KT156" s="34"/>
      <c r="KU156" s="34"/>
      <c r="KV156" s="34"/>
      <c r="KW156" s="34"/>
      <c r="KX156" s="34"/>
      <c r="KY156" s="34"/>
      <c r="KZ156" s="34"/>
      <c r="LA156" s="34"/>
      <c r="LB156" s="34"/>
      <c r="LC156" s="34"/>
      <c r="LD156" s="34"/>
      <c r="LE156" s="34"/>
      <c r="LF156" s="34"/>
      <c r="LG156" s="34"/>
      <c r="LH156" s="34"/>
      <c r="LI156" s="34"/>
      <c r="LJ156" s="34"/>
      <c r="LK156" s="34"/>
      <c r="LL156" s="34"/>
      <c r="LM156" s="34"/>
      <c r="LN156" s="34"/>
      <c r="LO156" s="34"/>
      <c r="LP156" s="34"/>
      <c r="LQ156" s="34"/>
      <c r="LR156" s="34"/>
      <c r="LS156" s="34"/>
      <c r="LT156" s="34"/>
      <c r="LU156" s="34"/>
      <c r="LV156" s="34"/>
      <c r="LW156" s="34"/>
      <c r="LX156" s="34"/>
      <c r="LY156" s="34"/>
      <c r="LZ156" s="34"/>
      <c r="MA156" s="34"/>
      <c r="MB156" s="34"/>
      <c r="MC156" s="34"/>
      <c r="MD156" s="34"/>
      <c r="ME156" s="34"/>
      <c r="MF156" s="34"/>
      <c r="MG156" s="34"/>
      <c r="MH156" s="34"/>
      <c r="MI156" s="34"/>
      <c r="MJ156" s="34"/>
      <c r="MK156" s="34"/>
      <c r="ML156" s="34"/>
      <c r="MM156" s="34"/>
      <c r="MN156" s="34"/>
      <c r="MO156" s="34"/>
      <c r="MP156" s="34"/>
      <c r="MQ156" s="34"/>
      <c r="MR156" s="34"/>
      <c r="MS156" s="34"/>
      <c r="MT156" s="34"/>
      <c r="MU156" s="34"/>
      <c r="MV156" s="34"/>
      <c r="MW156" s="34"/>
      <c r="MX156" s="34"/>
      <c r="MY156" s="34"/>
      <c r="MZ156" s="34"/>
      <c r="NA156" s="34"/>
      <c r="NB156" s="34"/>
      <c r="NC156" s="34"/>
      <c r="ND156" s="34"/>
      <c r="NE156" s="34"/>
      <c r="NF156" s="34"/>
      <c r="NG156" s="34"/>
      <c r="NH156" s="34"/>
      <c r="NI156" s="34"/>
      <c r="NJ156" s="34"/>
      <c r="NK156" s="34"/>
      <c r="NL156" s="34"/>
      <c r="NM156" s="34"/>
      <c r="NN156" s="34"/>
      <c r="NO156" s="34"/>
      <c r="NP156" s="34"/>
      <c r="NQ156" s="34"/>
      <c r="NR156" s="34"/>
      <c r="NS156" s="34"/>
      <c r="NT156" s="7">
        <f>COUNTIF(F156:NS156,"x")</f>
        <v>0</v>
      </c>
      <c r="NU156" s="81"/>
      <c r="NV156" s="32" t="str">
        <f>IF(NX156=0,"0",NX156/NX155)</f>
        <v>0</v>
      </c>
      <c r="NW156" s="37">
        <f t="shared" si="289"/>
        <v>0</v>
      </c>
      <c r="NX156" s="36">
        <f>COUNTIF(F156:AU156,"x")</f>
        <v>0</v>
      </c>
      <c r="NY156" s="81"/>
      <c r="NZ156" s="32" t="str">
        <f>IF(OB156=0,"0",OB156/OB155)</f>
        <v>0</v>
      </c>
      <c r="OA156" s="37">
        <f t="shared" si="290"/>
        <v>0</v>
      </c>
      <c r="OB156" s="36">
        <f>COUNTIF(AV156:CK156,"x")</f>
        <v>0</v>
      </c>
      <c r="OC156" s="81"/>
      <c r="OD156" s="32" t="str">
        <f>IF(OF156=0,"0",OF156/OF155)</f>
        <v>0</v>
      </c>
      <c r="OE156" s="37">
        <f t="shared" si="291"/>
        <v>0</v>
      </c>
      <c r="OF156" s="36">
        <f>COUNTIF(CL156:EA156,"x")</f>
        <v>0</v>
      </c>
      <c r="OG156" s="81"/>
      <c r="OH156" s="32" t="str">
        <f>IF(OJ156=0,"0",OJ156/OJ155)</f>
        <v>0</v>
      </c>
      <c r="OI156" s="37">
        <f t="shared" si="292"/>
        <v>0</v>
      </c>
      <c r="OJ156" s="36">
        <f>COUNTIF(EB156:FQ156,"x")</f>
        <v>0</v>
      </c>
      <c r="OK156" s="74"/>
      <c r="OL156" s="32" t="str">
        <f>IF(ON156=0,"0",ON156/ON155)</f>
        <v>0</v>
      </c>
      <c r="OM156" s="37">
        <f t="shared" si="293"/>
        <v>0</v>
      </c>
      <c r="ON156" s="36">
        <f>COUNTIF(FR156:HG156,"x")</f>
        <v>0</v>
      </c>
      <c r="OO156" s="74"/>
      <c r="OP156" s="32" t="str">
        <f>IF(OR156=0,"0",OR156/OR155)</f>
        <v>0</v>
      </c>
      <c r="OQ156" s="37">
        <f t="shared" si="294"/>
        <v>0</v>
      </c>
      <c r="OR156" s="36">
        <f>COUNTIF(HH156:IW156,"x")</f>
        <v>0</v>
      </c>
      <c r="OS156" s="74"/>
      <c r="OT156" s="32" t="str">
        <f>IF(OV156=0,"0",OV156/OV155)</f>
        <v>0</v>
      </c>
      <c r="OU156" s="37">
        <f t="shared" si="295"/>
        <v>0</v>
      </c>
      <c r="OV156" s="36">
        <f>COUNTIF(IX156:KM156,"x")</f>
        <v>0</v>
      </c>
      <c r="OW156" s="74"/>
      <c r="OX156" s="32" t="str">
        <f>IF(OZ156=0,"0",OZ156/OZ155)</f>
        <v>0</v>
      </c>
      <c r="OY156" s="37">
        <f t="shared" si="296"/>
        <v>0</v>
      </c>
      <c r="OZ156" s="36">
        <f>COUNTIF(KN156:MC156,"x")</f>
        <v>0</v>
      </c>
      <c r="PA156" s="74"/>
      <c r="PB156" s="32" t="str">
        <f>IF(PD156=0,"0",PD156/PD155)</f>
        <v>0</v>
      </c>
      <c r="PC156" s="37">
        <f t="shared" si="297"/>
        <v>0</v>
      </c>
      <c r="PD156" s="36">
        <f>COUNTIF(MD156:NS156,"x")</f>
        <v>0</v>
      </c>
      <c r="PE156" s="74"/>
    </row>
    <row r="157" spans="1:421" ht="15" customHeight="1" x14ac:dyDescent="0.25">
      <c r="A157" s="18"/>
      <c r="B157" s="18"/>
      <c r="C157" s="94" t="s">
        <v>41</v>
      </c>
      <c r="D157" s="57"/>
      <c r="E157" s="51" t="s">
        <v>8</v>
      </c>
      <c r="F157" s="12">
        <f t="shared" ref="F157:BQ157" si="298">COUNTIF(F159:F166,"1")</f>
        <v>0</v>
      </c>
      <c r="G157" s="12">
        <f t="shared" si="298"/>
        <v>0</v>
      </c>
      <c r="H157" s="12">
        <f t="shared" si="298"/>
        <v>0</v>
      </c>
      <c r="I157" s="12">
        <f t="shared" si="298"/>
        <v>0</v>
      </c>
      <c r="J157" s="12">
        <f t="shared" si="298"/>
        <v>0</v>
      </c>
      <c r="K157" s="12">
        <f t="shared" si="298"/>
        <v>0</v>
      </c>
      <c r="L157" s="12">
        <f t="shared" si="298"/>
        <v>1</v>
      </c>
      <c r="M157" s="12">
        <f t="shared" si="298"/>
        <v>2</v>
      </c>
      <c r="N157" s="12">
        <f t="shared" si="298"/>
        <v>0</v>
      </c>
      <c r="O157" s="12">
        <f t="shared" si="298"/>
        <v>0</v>
      </c>
      <c r="P157" s="69">
        <f t="shared" si="298"/>
        <v>0</v>
      </c>
      <c r="Q157" s="12">
        <f t="shared" si="298"/>
        <v>1</v>
      </c>
      <c r="R157" s="12">
        <f t="shared" si="298"/>
        <v>1</v>
      </c>
      <c r="S157" s="12">
        <f t="shared" si="298"/>
        <v>1</v>
      </c>
      <c r="T157" s="12">
        <f t="shared" si="298"/>
        <v>1</v>
      </c>
      <c r="U157" s="12">
        <f t="shared" si="298"/>
        <v>0</v>
      </c>
      <c r="V157" s="12">
        <f t="shared" si="298"/>
        <v>0</v>
      </c>
      <c r="W157" s="69">
        <f t="shared" si="298"/>
        <v>0</v>
      </c>
      <c r="X157" s="12">
        <f t="shared" si="298"/>
        <v>1</v>
      </c>
      <c r="Y157" s="12">
        <f t="shared" si="298"/>
        <v>1</v>
      </c>
      <c r="Z157" s="12">
        <f t="shared" si="298"/>
        <v>1</v>
      </c>
      <c r="AA157" s="12">
        <f t="shared" si="298"/>
        <v>1</v>
      </c>
      <c r="AB157" s="12">
        <f t="shared" si="298"/>
        <v>0</v>
      </c>
      <c r="AC157" s="12">
        <f t="shared" si="298"/>
        <v>0</v>
      </c>
      <c r="AD157" s="12">
        <f t="shared" si="298"/>
        <v>1</v>
      </c>
      <c r="AE157" s="12">
        <f t="shared" si="298"/>
        <v>1</v>
      </c>
      <c r="AF157" s="12">
        <f t="shared" si="298"/>
        <v>1</v>
      </c>
      <c r="AG157" s="12">
        <f t="shared" si="298"/>
        <v>1</v>
      </c>
      <c r="AH157" s="12">
        <f t="shared" si="298"/>
        <v>1</v>
      </c>
      <c r="AI157" s="12">
        <f t="shared" si="298"/>
        <v>0</v>
      </c>
      <c r="AJ157" s="12">
        <f t="shared" si="298"/>
        <v>0</v>
      </c>
      <c r="AK157" s="12">
        <f t="shared" si="298"/>
        <v>0</v>
      </c>
      <c r="AL157" s="12">
        <f t="shared" si="298"/>
        <v>1</v>
      </c>
      <c r="AM157" s="12">
        <f t="shared" si="298"/>
        <v>0</v>
      </c>
      <c r="AN157" s="12">
        <f t="shared" si="298"/>
        <v>0</v>
      </c>
      <c r="AO157" s="12">
        <f t="shared" si="298"/>
        <v>0</v>
      </c>
      <c r="AP157" s="12">
        <f t="shared" si="298"/>
        <v>0</v>
      </c>
      <c r="AQ157" s="12">
        <f t="shared" si="298"/>
        <v>0</v>
      </c>
      <c r="AR157" s="12">
        <f t="shared" si="298"/>
        <v>1</v>
      </c>
      <c r="AS157" s="12">
        <f t="shared" si="298"/>
        <v>1</v>
      </c>
      <c r="AT157" s="12">
        <f t="shared" si="298"/>
        <v>1</v>
      </c>
      <c r="AU157" s="12">
        <f t="shared" si="298"/>
        <v>1</v>
      </c>
      <c r="AV157" s="12">
        <f t="shared" si="298"/>
        <v>1</v>
      </c>
      <c r="AW157" s="12">
        <f t="shared" si="298"/>
        <v>0</v>
      </c>
      <c r="AX157" s="12">
        <f t="shared" si="298"/>
        <v>0</v>
      </c>
      <c r="AY157" s="12">
        <f t="shared" si="298"/>
        <v>1</v>
      </c>
      <c r="AZ157" s="12">
        <f t="shared" si="298"/>
        <v>0</v>
      </c>
      <c r="BA157" s="12">
        <f t="shared" si="298"/>
        <v>0</v>
      </c>
      <c r="BB157" s="12">
        <f t="shared" si="298"/>
        <v>0</v>
      </c>
      <c r="BC157" s="12">
        <f t="shared" si="298"/>
        <v>0</v>
      </c>
      <c r="BD157" s="12">
        <f t="shared" si="298"/>
        <v>0</v>
      </c>
      <c r="BE157" s="12">
        <f t="shared" si="298"/>
        <v>0</v>
      </c>
      <c r="BF157" s="12">
        <f t="shared" si="298"/>
        <v>0</v>
      </c>
      <c r="BG157" s="12">
        <f t="shared" si="298"/>
        <v>0</v>
      </c>
      <c r="BH157" s="12">
        <f t="shared" si="298"/>
        <v>0</v>
      </c>
      <c r="BI157" s="12">
        <f t="shared" si="298"/>
        <v>0</v>
      </c>
      <c r="BJ157" s="12">
        <f t="shared" si="298"/>
        <v>0</v>
      </c>
      <c r="BK157" s="12">
        <f t="shared" si="298"/>
        <v>0</v>
      </c>
      <c r="BL157" s="12">
        <f t="shared" si="298"/>
        <v>0</v>
      </c>
      <c r="BM157" s="12">
        <f t="shared" si="298"/>
        <v>0</v>
      </c>
      <c r="BN157" s="12">
        <f t="shared" si="298"/>
        <v>0</v>
      </c>
      <c r="BO157" s="12">
        <f t="shared" si="298"/>
        <v>0</v>
      </c>
      <c r="BP157" s="12">
        <f t="shared" si="298"/>
        <v>1</v>
      </c>
      <c r="BQ157" s="12">
        <f t="shared" si="298"/>
        <v>1</v>
      </c>
      <c r="BR157" s="12">
        <f t="shared" ref="BR157:EC157" si="299">COUNTIF(BR159:BR166,"1")</f>
        <v>0</v>
      </c>
      <c r="BS157" s="12">
        <f t="shared" si="299"/>
        <v>0</v>
      </c>
      <c r="BT157" s="12">
        <f t="shared" si="299"/>
        <v>1</v>
      </c>
      <c r="BU157" s="12">
        <f t="shared" si="299"/>
        <v>1</v>
      </c>
      <c r="BV157" s="12">
        <f t="shared" si="299"/>
        <v>1</v>
      </c>
      <c r="BW157" s="12">
        <f t="shared" si="299"/>
        <v>1</v>
      </c>
      <c r="BX157" s="12">
        <f t="shared" si="299"/>
        <v>1</v>
      </c>
      <c r="BY157" s="12">
        <f t="shared" si="299"/>
        <v>0</v>
      </c>
      <c r="BZ157" s="12">
        <f t="shared" si="299"/>
        <v>0</v>
      </c>
      <c r="CA157" s="12">
        <f t="shared" si="299"/>
        <v>1</v>
      </c>
      <c r="CB157" s="12">
        <f t="shared" si="299"/>
        <v>1</v>
      </c>
      <c r="CC157" s="12">
        <f t="shared" si="299"/>
        <v>1</v>
      </c>
      <c r="CD157" s="12">
        <f t="shared" si="299"/>
        <v>1</v>
      </c>
      <c r="CE157" s="12">
        <f t="shared" si="299"/>
        <v>1</v>
      </c>
      <c r="CF157" s="12">
        <f t="shared" si="299"/>
        <v>0</v>
      </c>
      <c r="CG157" s="12">
        <f t="shared" si="299"/>
        <v>0</v>
      </c>
      <c r="CH157" s="12">
        <f t="shared" si="299"/>
        <v>0</v>
      </c>
      <c r="CI157" s="12">
        <f t="shared" si="299"/>
        <v>0</v>
      </c>
      <c r="CJ157" s="12">
        <f t="shared" si="299"/>
        <v>0</v>
      </c>
      <c r="CK157" s="12">
        <f t="shared" si="299"/>
        <v>0</v>
      </c>
      <c r="CL157" s="12">
        <f t="shared" si="299"/>
        <v>0</v>
      </c>
      <c r="CM157" s="12">
        <f t="shared" si="299"/>
        <v>0</v>
      </c>
      <c r="CN157" s="12">
        <f t="shared" si="299"/>
        <v>0</v>
      </c>
      <c r="CO157" s="12">
        <f t="shared" si="299"/>
        <v>0</v>
      </c>
      <c r="CP157" s="12">
        <f t="shared" si="299"/>
        <v>0</v>
      </c>
      <c r="CQ157" s="12">
        <f t="shared" si="299"/>
        <v>0</v>
      </c>
      <c r="CR157" s="12">
        <f t="shared" si="299"/>
        <v>0</v>
      </c>
      <c r="CS157" s="12">
        <f t="shared" si="299"/>
        <v>0</v>
      </c>
      <c r="CT157" s="12">
        <f t="shared" si="299"/>
        <v>0</v>
      </c>
      <c r="CU157" s="12">
        <f t="shared" si="299"/>
        <v>0</v>
      </c>
      <c r="CV157" s="12">
        <f t="shared" si="299"/>
        <v>0</v>
      </c>
      <c r="CW157" s="12">
        <f t="shared" si="299"/>
        <v>0</v>
      </c>
      <c r="CX157" s="12">
        <f t="shared" si="299"/>
        <v>0</v>
      </c>
      <c r="CY157" s="12">
        <f t="shared" si="299"/>
        <v>0</v>
      </c>
      <c r="CZ157" s="12">
        <f t="shared" si="299"/>
        <v>0</v>
      </c>
      <c r="DA157" s="12">
        <f t="shared" si="299"/>
        <v>0</v>
      </c>
      <c r="DB157" s="12">
        <f t="shared" si="299"/>
        <v>0</v>
      </c>
      <c r="DC157" s="12">
        <f t="shared" si="299"/>
        <v>0</v>
      </c>
      <c r="DD157" s="12">
        <f t="shared" si="299"/>
        <v>0</v>
      </c>
      <c r="DE157" s="12">
        <f t="shared" si="299"/>
        <v>0</v>
      </c>
      <c r="DF157" s="12">
        <f t="shared" si="299"/>
        <v>0</v>
      </c>
      <c r="DG157" s="12">
        <f t="shared" si="299"/>
        <v>0</v>
      </c>
      <c r="DH157" s="12">
        <f t="shared" si="299"/>
        <v>0</v>
      </c>
      <c r="DI157" s="12">
        <f t="shared" si="299"/>
        <v>0</v>
      </c>
      <c r="DJ157" s="12">
        <f t="shared" si="299"/>
        <v>0</v>
      </c>
      <c r="DK157" s="12">
        <f t="shared" si="299"/>
        <v>0</v>
      </c>
      <c r="DL157" s="12">
        <f t="shared" si="299"/>
        <v>0</v>
      </c>
      <c r="DM157" s="12">
        <f t="shared" si="299"/>
        <v>0</v>
      </c>
      <c r="DN157" s="12">
        <f t="shared" si="299"/>
        <v>0</v>
      </c>
      <c r="DO157" s="12">
        <f t="shared" si="299"/>
        <v>0</v>
      </c>
      <c r="DP157" s="12">
        <f t="shared" si="299"/>
        <v>0</v>
      </c>
      <c r="DQ157" s="12">
        <f t="shared" si="299"/>
        <v>0</v>
      </c>
      <c r="DR157" s="12">
        <f t="shared" si="299"/>
        <v>0</v>
      </c>
      <c r="DS157" s="12">
        <f t="shared" si="299"/>
        <v>0</v>
      </c>
      <c r="DT157" s="12">
        <f t="shared" si="299"/>
        <v>0</v>
      </c>
      <c r="DU157" s="12">
        <f t="shared" si="299"/>
        <v>0</v>
      </c>
      <c r="DV157" s="12">
        <f t="shared" si="299"/>
        <v>0</v>
      </c>
      <c r="DW157" s="12">
        <f t="shared" si="299"/>
        <v>0</v>
      </c>
      <c r="DX157" s="12">
        <f t="shared" si="299"/>
        <v>0</v>
      </c>
      <c r="DY157" s="12">
        <f t="shared" si="299"/>
        <v>0</v>
      </c>
      <c r="DZ157" s="12">
        <f t="shared" si="299"/>
        <v>0</v>
      </c>
      <c r="EA157" s="12">
        <f t="shared" si="299"/>
        <v>0</v>
      </c>
      <c r="EB157" s="12">
        <f t="shared" si="299"/>
        <v>0</v>
      </c>
      <c r="EC157" s="12">
        <f t="shared" si="299"/>
        <v>0</v>
      </c>
      <c r="ED157" s="12">
        <f t="shared" ref="ED157:GO157" si="300">COUNTIF(ED159:ED166,"1")</f>
        <v>0</v>
      </c>
      <c r="EE157" s="12">
        <f t="shared" si="300"/>
        <v>0</v>
      </c>
      <c r="EF157" s="12">
        <f t="shared" si="300"/>
        <v>0</v>
      </c>
      <c r="EG157" s="12">
        <f t="shared" si="300"/>
        <v>0</v>
      </c>
      <c r="EH157" s="12">
        <f t="shared" si="300"/>
        <v>0</v>
      </c>
      <c r="EI157" s="12">
        <f t="shared" si="300"/>
        <v>0</v>
      </c>
      <c r="EJ157" s="12">
        <f t="shared" si="300"/>
        <v>0</v>
      </c>
      <c r="EK157" s="12">
        <f t="shared" si="300"/>
        <v>0</v>
      </c>
      <c r="EL157" s="12">
        <f t="shared" si="300"/>
        <v>0</v>
      </c>
      <c r="EM157" s="12">
        <f t="shared" si="300"/>
        <v>0</v>
      </c>
      <c r="EN157" s="12">
        <f t="shared" si="300"/>
        <v>0</v>
      </c>
      <c r="EO157" s="12">
        <f t="shared" si="300"/>
        <v>0</v>
      </c>
      <c r="EP157" s="12">
        <f t="shared" si="300"/>
        <v>0</v>
      </c>
      <c r="EQ157" s="12">
        <f t="shared" si="300"/>
        <v>0</v>
      </c>
      <c r="ER157" s="12">
        <f t="shared" si="300"/>
        <v>0</v>
      </c>
      <c r="ES157" s="12">
        <f t="shared" si="300"/>
        <v>0</v>
      </c>
      <c r="ET157" s="12">
        <f t="shared" si="300"/>
        <v>0</v>
      </c>
      <c r="EU157" s="12">
        <f t="shared" si="300"/>
        <v>0</v>
      </c>
      <c r="EV157" s="12">
        <f t="shared" si="300"/>
        <v>0</v>
      </c>
      <c r="EW157" s="12">
        <f t="shared" si="300"/>
        <v>0</v>
      </c>
      <c r="EX157" s="12">
        <f t="shared" si="300"/>
        <v>0</v>
      </c>
      <c r="EY157" s="12">
        <f t="shared" si="300"/>
        <v>0</v>
      </c>
      <c r="EZ157" s="12">
        <f t="shared" si="300"/>
        <v>0</v>
      </c>
      <c r="FA157" s="12">
        <f t="shared" si="300"/>
        <v>0</v>
      </c>
      <c r="FB157" s="12">
        <f t="shared" si="300"/>
        <v>0</v>
      </c>
      <c r="FC157" s="12">
        <f t="shared" si="300"/>
        <v>0</v>
      </c>
      <c r="FD157" s="12">
        <f t="shared" si="300"/>
        <v>0</v>
      </c>
      <c r="FE157" s="12">
        <f t="shared" si="300"/>
        <v>0</v>
      </c>
      <c r="FF157" s="12">
        <f t="shared" si="300"/>
        <v>0</v>
      </c>
      <c r="FG157" s="12">
        <f t="shared" si="300"/>
        <v>0</v>
      </c>
      <c r="FH157" s="12">
        <f t="shared" si="300"/>
        <v>0</v>
      </c>
      <c r="FI157" s="12">
        <f t="shared" si="300"/>
        <v>0</v>
      </c>
      <c r="FJ157" s="12">
        <f t="shared" si="300"/>
        <v>0</v>
      </c>
      <c r="FK157" s="12">
        <f t="shared" si="300"/>
        <v>0</v>
      </c>
      <c r="FL157" s="12">
        <f t="shared" si="300"/>
        <v>0</v>
      </c>
      <c r="FM157" s="12">
        <f t="shared" si="300"/>
        <v>0</v>
      </c>
      <c r="FN157" s="12">
        <f t="shared" si="300"/>
        <v>0</v>
      </c>
      <c r="FO157" s="12">
        <f t="shared" si="300"/>
        <v>0</v>
      </c>
      <c r="FP157" s="12">
        <f t="shared" si="300"/>
        <v>0</v>
      </c>
      <c r="FQ157" s="12">
        <f t="shared" si="300"/>
        <v>0</v>
      </c>
      <c r="FR157" s="12">
        <f t="shared" si="300"/>
        <v>0</v>
      </c>
      <c r="FS157" s="12">
        <f t="shared" si="300"/>
        <v>0</v>
      </c>
      <c r="FT157" s="12">
        <f t="shared" si="300"/>
        <v>0</v>
      </c>
      <c r="FU157" s="12">
        <f t="shared" si="300"/>
        <v>0</v>
      </c>
      <c r="FV157" s="12">
        <f t="shared" si="300"/>
        <v>0</v>
      </c>
      <c r="FW157" s="12">
        <f t="shared" si="300"/>
        <v>0</v>
      </c>
      <c r="FX157" s="12">
        <f t="shared" si="300"/>
        <v>0</v>
      </c>
      <c r="FY157" s="12">
        <f t="shared" si="300"/>
        <v>0</v>
      </c>
      <c r="FZ157" s="12">
        <f t="shared" si="300"/>
        <v>0</v>
      </c>
      <c r="GA157" s="12">
        <f t="shared" si="300"/>
        <v>0</v>
      </c>
      <c r="GB157" s="12">
        <f t="shared" si="300"/>
        <v>0</v>
      </c>
      <c r="GC157" s="12">
        <f t="shared" si="300"/>
        <v>0</v>
      </c>
      <c r="GD157" s="12">
        <f t="shared" si="300"/>
        <v>0</v>
      </c>
      <c r="GE157" s="12">
        <f t="shared" si="300"/>
        <v>0</v>
      </c>
      <c r="GF157" s="12">
        <f t="shared" si="300"/>
        <v>0</v>
      </c>
      <c r="GG157" s="12">
        <f t="shared" si="300"/>
        <v>0</v>
      </c>
      <c r="GH157" s="12">
        <f t="shared" si="300"/>
        <v>0</v>
      </c>
      <c r="GI157" s="12">
        <f t="shared" si="300"/>
        <v>0</v>
      </c>
      <c r="GJ157" s="12">
        <f t="shared" si="300"/>
        <v>0</v>
      </c>
      <c r="GK157" s="12">
        <f t="shared" si="300"/>
        <v>0</v>
      </c>
      <c r="GL157" s="12">
        <f t="shared" si="300"/>
        <v>0</v>
      </c>
      <c r="GM157" s="12">
        <f t="shared" si="300"/>
        <v>0</v>
      </c>
      <c r="GN157" s="12">
        <f t="shared" si="300"/>
        <v>0</v>
      </c>
      <c r="GO157" s="12">
        <f t="shared" si="300"/>
        <v>0</v>
      </c>
      <c r="GP157" s="12">
        <f t="shared" ref="GP157:JA157" si="301">COUNTIF(GP159:GP166,"1")</f>
        <v>0</v>
      </c>
      <c r="GQ157" s="12">
        <f t="shared" si="301"/>
        <v>0</v>
      </c>
      <c r="GR157" s="12">
        <f t="shared" si="301"/>
        <v>0</v>
      </c>
      <c r="GS157" s="12">
        <f t="shared" si="301"/>
        <v>0</v>
      </c>
      <c r="GT157" s="12">
        <f t="shared" si="301"/>
        <v>0</v>
      </c>
      <c r="GU157" s="12">
        <f t="shared" si="301"/>
        <v>0</v>
      </c>
      <c r="GV157" s="12">
        <f t="shared" si="301"/>
        <v>0</v>
      </c>
      <c r="GW157" s="12">
        <f t="shared" si="301"/>
        <v>0</v>
      </c>
      <c r="GX157" s="12">
        <f t="shared" si="301"/>
        <v>0</v>
      </c>
      <c r="GY157" s="12">
        <f t="shared" si="301"/>
        <v>0</v>
      </c>
      <c r="GZ157" s="12">
        <f t="shared" si="301"/>
        <v>0</v>
      </c>
      <c r="HA157" s="12">
        <f t="shared" si="301"/>
        <v>0</v>
      </c>
      <c r="HB157" s="12">
        <f t="shared" si="301"/>
        <v>0</v>
      </c>
      <c r="HC157" s="12">
        <f t="shared" si="301"/>
        <v>0</v>
      </c>
      <c r="HD157" s="12">
        <f t="shared" si="301"/>
        <v>0</v>
      </c>
      <c r="HE157" s="12">
        <f t="shared" si="301"/>
        <v>0</v>
      </c>
      <c r="HF157" s="12">
        <f t="shared" si="301"/>
        <v>0</v>
      </c>
      <c r="HG157" s="12">
        <f t="shared" si="301"/>
        <v>0</v>
      </c>
      <c r="HH157" s="12">
        <f t="shared" si="301"/>
        <v>0</v>
      </c>
      <c r="HI157" s="12">
        <f t="shared" si="301"/>
        <v>0</v>
      </c>
      <c r="HJ157" s="12">
        <f t="shared" si="301"/>
        <v>0</v>
      </c>
      <c r="HK157" s="12">
        <f t="shared" si="301"/>
        <v>0</v>
      </c>
      <c r="HL157" s="12">
        <f t="shared" si="301"/>
        <v>0</v>
      </c>
      <c r="HM157" s="12">
        <f t="shared" si="301"/>
        <v>0</v>
      </c>
      <c r="HN157" s="12">
        <f t="shared" si="301"/>
        <v>0</v>
      </c>
      <c r="HO157" s="12">
        <f t="shared" si="301"/>
        <v>0</v>
      </c>
      <c r="HP157" s="12">
        <f t="shared" si="301"/>
        <v>0</v>
      </c>
      <c r="HQ157" s="12">
        <f t="shared" si="301"/>
        <v>0</v>
      </c>
      <c r="HR157" s="12">
        <f t="shared" si="301"/>
        <v>0</v>
      </c>
      <c r="HS157" s="12">
        <f t="shared" si="301"/>
        <v>0</v>
      </c>
      <c r="HT157" s="12">
        <f t="shared" si="301"/>
        <v>0</v>
      </c>
      <c r="HU157" s="12">
        <f t="shared" si="301"/>
        <v>0</v>
      </c>
      <c r="HV157" s="12">
        <f t="shared" si="301"/>
        <v>0</v>
      </c>
      <c r="HW157" s="12">
        <f t="shared" si="301"/>
        <v>0</v>
      </c>
      <c r="HX157" s="12">
        <f t="shared" si="301"/>
        <v>0</v>
      </c>
      <c r="HY157" s="12">
        <f t="shared" si="301"/>
        <v>0</v>
      </c>
      <c r="HZ157" s="12">
        <f t="shared" si="301"/>
        <v>0</v>
      </c>
      <c r="IA157" s="12">
        <f t="shared" si="301"/>
        <v>0</v>
      </c>
      <c r="IB157" s="12">
        <f t="shared" si="301"/>
        <v>0</v>
      </c>
      <c r="IC157" s="12">
        <f t="shared" si="301"/>
        <v>0</v>
      </c>
      <c r="ID157" s="12">
        <f t="shared" si="301"/>
        <v>0</v>
      </c>
      <c r="IE157" s="12">
        <f t="shared" si="301"/>
        <v>0</v>
      </c>
      <c r="IF157" s="12">
        <f t="shared" si="301"/>
        <v>0</v>
      </c>
      <c r="IG157" s="12">
        <f t="shared" si="301"/>
        <v>0</v>
      </c>
      <c r="IH157" s="12">
        <f t="shared" si="301"/>
        <v>0</v>
      </c>
      <c r="II157" s="12">
        <f t="shared" si="301"/>
        <v>0</v>
      </c>
      <c r="IJ157" s="12">
        <f t="shared" si="301"/>
        <v>0</v>
      </c>
      <c r="IK157" s="12">
        <f t="shared" si="301"/>
        <v>0</v>
      </c>
      <c r="IL157" s="12">
        <f t="shared" si="301"/>
        <v>0</v>
      </c>
      <c r="IM157" s="12">
        <f t="shared" si="301"/>
        <v>0</v>
      </c>
      <c r="IN157" s="12">
        <f t="shared" si="301"/>
        <v>0</v>
      </c>
      <c r="IO157" s="12">
        <f t="shared" si="301"/>
        <v>0</v>
      </c>
      <c r="IP157" s="12">
        <f t="shared" si="301"/>
        <v>0</v>
      </c>
      <c r="IQ157" s="12">
        <f t="shared" si="301"/>
        <v>0</v>
      </c>
      <c r="IR157" s="12">
        <f t="shared" si="301"/>
        <v>0</v>
      </c>
      <c r="IS157" s="12">
        <f t="shared" si="301"/>
        <v>0</v>
      </c>
      <c r="IT157" s="12">
        <f t="shared" si="301"/>
        <v>0</v>
      </c>
      <c r="IU157" s="12">
        <f t="shared" si="301"/>
        <v>0</v>
      </c>
      <c r="IV157" s="12">
        <f t="shared" si="301"/>
        <v>0</v>
      </c>
      <c r="IW157" s="12">
        <f t="shared" si="301"/>
        <v>0</v>
      </c>
      <c r="IX157" s="12">
        <f t="shared" si="301"/>
        <v>0</v>
      </c>
      <c r="IY157" s="12">
        <f t="shared" si="301"/>
        <v>0</v>
      </c>
      <c r="IZ157" s="12">
        <f t="shared" si="301"/>
        <v>0</v>
      </c>
      <c r="JA157" s="12">
        <f t="shared" si="301"/>
        <v>0</v>
      </c>
      <c r="JB157" s="12">
        <f t="shared" ref="JB157:LM157" si="302">COUNTIF(JB159:JB166,"1")</f>
        <v>0</v>
      </c>
      <c r="JC157" s="12">
        <f t="shared" si="302"/>
        <v>0</v>
      </c>
      <c r="JD157" s="12">
        <f t="shared" si="302"/>
        <v>0</v>
      </c>
      <c r="JE157" s="12">
        <f t="shared" si="302"/>
        <v>0</v>
      </c>
      <c r="JF157" s="12">
        <f t="shared" si="302"/>
        <v>0</v>
      </c>
      <c r="JG157" s="12">
        <f t="shared" si="302"/>
        <v>0</v>
      </c>
      <c r="JH157" s="12">
        <f t="shared" si="302"/>
        <v>0</v>
      </c>
      <c r="JI157" s="12">
        <f t="shared" si="302"/>
        <v>0</v>
      </c>
      <c r="JJ157" s="12">
        <f t="shared" si="302"/>
        <v>0</v>
      </c>
      <c r="JK157" s="12">
        <f t="shared" si="302"/>
        <v>0</v>
      </c>
      <c r="JL157" s="12">
        <f t="shared" si="302"/>
        <v>0</v>
      </c>
      <c r="JM157" s="12">
        <f t="shared" si="302"/>
        <v>0</v>
      </c>
      <c r="JN157" s="12">
        <f t="shared" si="302"/>
        <v>0</v>
      </c>
      <c r="JO157" s="12">
        <f t="shared" si="302"/>
        <v>0</v>
      </c>
      <c r="JP157" s="12">
        <f t="shared" si="302"/>
        <v>0</v>
      </c>
      <c r="JQ157" s="12">
        <f t="shared" si="302"/>
        <v>0</v>
      </c>
      <c r="JR157" s="12">
        <f t="shared" si="302"/>
        <v>0</v>
      </c>
      <c r="JS157" s="12">
        <f t="shared" si="302"/>
        <v>0</v>
      </c>
      <c r="JT157" s="12">
        <f t="shared" si="302"/>
        <v>0</v>
      </c>
      <c r="JU157" s="12">
        <f t="shared" si="302"/>
        <v>0</v>
      </c>
      <c r="JV157" s="12">
        <f t="shared" si="302"/>
        <v>0</v>
      </c>
      <c r="JW157" s="12">
        <f t="shared" si="302"/>
        <v>0</v>
      </c>
      <c r="JX157" s="12">
        <f t="shared" si="302"/>
        <v>0</v>
      </c>
      <c r="JY157" s="12">
        <f t="shared" si="302"/>
        <v>0</v>
      </c>
      <c r="JZ157" s="12">
        <f t="shared" si="302"/>
        <v>0</v>
      </c>
      <c r="KA157" s="12">
        <f t="shared" si="302"/>
        <v>0</v>
      </c>
      <c r="KB157" s="12">
        <f t="shared" si="302"/>
        <v>0</v>
      </c>
      <c r="KC157" s="12">
        <f t="shared" si="302"/>
        <v>0</v>
      </c>
      <c r="KD157" s="12">
        <f t="shared" si="302"/>
        <v>0</v>
      </c>
      <c r="KE157" s="12">
        <f t="shared" si="302"/>
        <v>0</v>
      </c>
      <c r="KF157" s="12">
        <f t="shared" si="302"/>
        <v>0</v>
      </c>
      <c r="KG157" s="12">
        <f t="shared" si="302"/>
        <v>0</v>
      </c>
      <c r="KH157" s="12">
        <f t="shared" si="302"/>
        <v>0</v>
      </c>
      <c r="KI157" s="12">
        <f t="shared" si="302"/>
        <v>0</v>
      </c>
      <c r="KJ157" s="12">
        <f t="shared" si="302"/>
        <v>0</v>
      </c>
      <c r="KK157" s="12">
        <f t="shared" si="302"/>
        <v>0</v>
      </c>
      <c r="KL157" s="12">
        <f t="shared" si="302"/>
        <v>0</v>
      </c>
      <c r="KM157" s="12">
        <f t="shared" si="302"/>
        <v>0</v>
      </c>
      <c r="KN157" s="12">
        <f t="shared" si="302"/>
        <v>0</v>
      </c>
      <c r="KO157" s="12">
        <f t="shared" si="302"/>
        <v>0</v>
      </c>
      <c r="KP157" s="12">
        <f t="shared" si="302"/>
        <v>0</v>
      </c>
      <c r="KQ157" s="12">
        <f t="shared" si="302"/>
        <v>0</v>
      </c>
      <c r="KR157" s="12">
        <f t="shared" si="302"/>
        <v>0</v>
      </c>
      <c r="KS157" s="12">
        <f t="shared" si="302"/>
        <v>0</v>
      </c>
      <c r="KT157" s="12">
        <f t="shared" si="302"/>
        <v>0</v>
      </c>
      <c r="KU157" s="12">
        <f t="shared" si="302"/>
        <v>0</v>
      </c>
      <c r="KV157" s="12">
        <f t="shared" si="302"/>
        <v>0</v>
      </c>
      <c r="KW157" s="12">
        <f t="shared" si="302"/>
        <v>0</v>
      </c>
      <c r="KX157" s="12">
        <f t="shared" si="302"/>
        <v>0</v>
      </c>
      <c r="KY157" s="12">
        <f t="shared" si="302"/>
        <v>0</v>
      </c>
      <c r="KZ157" s="12">
        <f t="shared" si="302"/>
        <v>0</v>
      </c>
      <c r="LA157" s="12">
        <f t="shared" si="302"/>
        <v>0</v>
      </c>
      <c r="LB157" s="12">
        <f t="shared" si="302"/>
        <v>0</v>
      </c>
      <c r="LC157" s="12">
        <f t="shared" si="302"/>
        <v>0</v>
      </c>
      <c r="LD157" s="12">
        <f t="shared" si="302"/>
        <v>0</v>
      </c>
      <c r="LE157" s="12">
        <f t="shared" si="302"/>
        <v>0</v>
      </c>
      <c r="LF157" s="12">
        <f t="shared" si="302"/>
        <v>0</v>
      </c>
      <c r="LG157" s="12">
        <f t="shared" si="302"/>
        <v>0</v>
      </c>
      <c r="LH157" s="12">
        <f t="shared" si="302"/>
        <v>0</v>
      </c>
      <c r="LI157" s="12">
        <f t="shared" si="302"/>
        <v>0</v>
      </c>
      <c r="LJ157" s="12">
        <f t="shared" si="302"/>
        <v>0</v>
      </c>
      <c r="LK157" s="12">
        <f t="shared" si="302"/>
        <v>0</v>
      </c>
      <c r="LL157" s="12">
        <f t="shared" si="302"/>
        <v>0</v>
      </c>
      <c r="LM157" s="12">
        <f t="shared" si="302"/>
        <v>0</v>
      </c>
      <c r="LN157" s="12">
        <f t="shared" ref="LN157:NS157" si="303">COUNTIF(LN159:LN166,"1")</f>
        <v>0</v>
      </c>
      <c r="LO157" s="12">
        <f t="shared" si="303"/>
        <v>0</v>
      </c>
      <c r="LP157" s="12">
        <f t="shared" si="303"/>
        <v>0</v>
      </c>
      <c r="LQ157" s="12">
        <f t="shared" si="303"/>
        <v>0</v>
      </c>
      <c r="LR157" s="12">
        <f t="shared" si="303"/>
        <v>0</v>
      </c>
      <c r="LS157" s="12">
        <f t="shared" si="303"/>
        <v>0</v>
      </c>
      <c r="LT157" s="12">
        <f t="shared" si="303"/>
        <v>0</v>
      </c>
      <c r="LU157" s="12">
        <f t="shared" si="303"/>
        <v>0</v>
      </c>
      <c r="LV157" s="12">
        <f t="shared" si="303"/>
        <v>0</v>
      </c>
      <c r="LW157" s="12">
        <f t="shared" si="303"/>
        <v>0</v>
      </c>
      <c r="LX157" s="12">
        <f t="shared" si="303"/>
        <v>0</v>
      </c>
      <c r="LY157" s="12">
        <f t="shared" si="303"/>
        <v>0</v>
      </c>
      <c r="LZ157" s="12">
        <f t="shared" si="303"/>
        <v>0</v>
      </c>
      <c r="MA157" s="12">
        <f t="shared" si="303"/>
        <v>0</v>
      </c>
      <c r="MB157" s="12">
        <f t="shared" si="303"/>
        <v>0</v>
      </c>
      <c r="MC157" s="12">
        <f t="shared" si="303"/>
        <v>0</v>
      </c>
      <c r="MD157" s="12">
        <f t="shared" si="303"/>
        <v>0</v>
      </c>
      <c r="ME157" s="12">
        <f t="shared" si="303"/>
        <v>0</v>
      </c>
      <c r="MF157" s="12">
        <f t="shared" si="303"/>
        <v>0</v>
      </c>
      <c r="MG157" s="12">
        <f t="shared" si="303"/>
        <v>0</v>
      </c>
      <c r="MH157" s="12">
        <f t="shared" si="303"/>
        <v>0</v>
      </c>
      <c r="MI157" s="12">
        <f t="shared" si="303"/>
        <v>0</v>
      </c>
      <c r="MJ157" s="12">
        <f t="shared" si="303"/>
        <v>0</v>
      </c>
      <c r="MK157" s="12">
        <f t="shared" si="303"/>
        <v>0</v>
      </c>
      <c r="ML157" s="12">
        <f t="shared" si="303"/>
        <v>0</v>
      </c>
      <c r="MM157" s="12">
        <f t="shared" si="303"/>
        <v>0</v>
      </c>
      <c r="MN157" s="12">
        <f t="shared" si="303"/>
        <v>0</v>
      </c>
      <c r="MO157" s="12">
        <f t="shared" si="303"/>
        <v>0</v>
      </c>
      <c r="MP157" s="12">
        <f t="shared" si="303"/>
        <v>0</v>
      </c>
      <c r="MQ157" s="12">
        <f t="shared" si="303"/>
        <v>0</v>
      </c>
      <c r="MR157" s="12">
        <f t="shared" si="303"/>
        <v>0</v>
      </c>
      <c r="MS157" s="12">
        <f t="shared" si="303"/>
        <v>0</v>
      </c>
      <c r="MT157" s="12">
        <f t="shared" si="303"/>
        <v>0</v>
      </c>
      <c r="MU157" s="12">
        <f t="shared" si="303"/>
        <v>0</v>
      </c>
      <c r="MV157" s="12">
        <f t="shared" si="303"/>
        <v>0</v>
      </c>
      <c r="MW157" s="12">
        <f t="shared" si="303"/>
        <v>0</v>
      </c>
      <c r="MX157" s="12">
        <f t="shared" si="303"/>
        <v>0</v>
      </c>
      <c r="MY157" s="12">
        <f t="shared" si="303"/>
        <v>0</v>
      </c>
      <c r="MZ157" s="12">
        <f t="shared" si="303"/>
        <v>0</v>
      </c>
      <c r="NA157" s="12">
        <f t="shared" si="303"/>
        <v>0</v>
      </c>
      <c r="NB157" s="12">
        <f t="shared" si="303"/>
        <v>0</v>
      </c>
      <c r="NC157" s="12">
        <f t="shared" si="303"/>
        <v>0</v>
      </c>
      <c r="ND157" s="12">
        <f t="shared" si="303"/>
        <v>0</v>
      </c>
      <c r="NE157" s="12">
        <f t="shared" si="303"/>
        <v>0</v>
      </c>
      <c r="NF157" s="12">
        <f t="shared" si="303"/>
        <v>0</v>
      </c>
      <c r="NG157" s="12">
        <f t="shared" si="303"/>
        <v>0</v>
      </c>
      <c r="NH157" s="12">
        <f t="shared" si="303"/>
        <v>0</v>
      </c>
      <c r="NI157" s="12">
        <f t="shared" si="303"/>
        <v>0</v>
      </c>
      <c r="NJ157" s="12">
        <f t="shared" si="303"/>
        <v>0</v>
      </c>
      <c r="NK157" s="12">
        <f t="shared" si="303"/>
        <v>0</v>
      </c>
      <c r="NL157" s="12">
        <f t="shared" si="303"/>
        <v>0</v>
      </c>
      <c r="NM157" s="12">
        <f t="shared" si="303"/>
        <v>0</v>
      </c>
      <c r="NN157" s="12">
        <f t="shared" si="303"/>
        <v>0</v>
      </c>
      <c r="NO157" s="12">
        <f t="shared" si="303"/>
        <v>0</v>
      </c>
      <c r="NP157" s="12">
        <f t="shared" si="303"/>
        <v>0</v>
      </c>
      <c r="NQ157" s="12">
        <f t="shared" si="303"/>
        <v>0</v>
      </c>
      <c r="NR157" s="12">
        <f t="shared" si="303"/>
        <v>0</v>
      </c>
      <c r="NS157" s="12">
        <f t="shared" si="303"/>
        <v>0</v>
      </c>
      <c r="NT157" s="16">
        <f>SUM(F157:NS157)</f>
        <v>35</v>
      </c>
      <c r="NU157" s="92">
        <f>NT158/NT157</f>
        <v>0.62857142857142856</v>
      </c>
      <c r="NV157" s="22">
        <f>SUMIF(NV159:NV166,1,NW159:NW166)</f>
        <v>3</v>
      </c>
      <c r="NW157" s="22">
        <f>SUMIF(NV159:NV166,1,NW159:NW166)</f>
        <v>3</v>
      </c>
      <c r="NX157" s="16">
        <f>SUM(F157:AU157)</f>
        <v>21</v>
      </c>
      <c r="NY157" s="92">
        <f t="shared" si="270"/>
        <v>1</v>
      </c>
      <c r="NZ157" s="22">
        <f>SUMIF(NZ159:NZ166,1,OA159:OA166)</f>
        <v>1</v>
      </c>
      <c r="OA157" s="22">
        <f>SUMIF(NZ159:NZ166,1,OA159:OA166)</f>
        <v>1</v>
      </c>
      <c r="OB157" s="16">
        <f>SUM(AV157:CK157)</f>
        <v>14</v>
      </c>
      <c r="OC157" s="92">
        <f>OB158/OB157</f>
        <v>7.1428571428571425E-2</v>
      </c>
      <c r="OD157" s="22">
        <f>SUMIF(OD159:OD166,1,OE159:OE166)</f>
        <v>0</v>
      </c>
      <c r="OE157" s="22">
        <f>SUMIF(OD159:OD166,1,OE159:OE166)</f>
        <v>0</v>
      </c>
      <c r="OF157" s="16">
        <f>SUM(CL157:EA157)</f>
        <v>0</v>
      </c>
      <c r="OG157" s="84" t="e">
        <f>OF158/OF157</f>
        <v>#DIV/0!</v>
      </c>
      <c r="OH157" s="22">
        <f>SUMIF(OH159:OH166,1,OI159:OI166)</f>
        <v>0</v>
      </c>
      <c r="OI157" s="22">
        <f>SUMIF(OH159:OH166,1,OI159:OI166)</f>
        <v>0</v>
      </c>
      <c r="OJ157" s="16">
        <f>SUM(EB157:FQ157)</f>
        <v>0</v>
      </c>
      <c r="OK157" s="84" t="e">
        <f>OJ158/OJ157</f>
        <v>#DIV/0!</v>
      </c>
      <c r="OL157" s="22">
        <f>SUMIF(OL159:OL166,1,OM159:OM166)</f>
        <v>0</v>
      </c>
      <c r="OM157" s="22">
        <f>SUMIF(OL159:OL166,1,OM159:OM166)</f>
        <v>0</v>
      </c>
      <c r="ON157" s="16">
        <f>SUM(FR157:HG157)</f>
        <v>0</v>
      </c>
      <c r="OO157" s="84" t="e">
        <f>ON158/ON157</f>
        <v>#DIV/0!</v>
      </c>
      <c r="OP157" s="22">
        <f>SUMIF(OP159:OP166,1,OQ159:OQ166)</f>
        <v>0</v>
      </c>
      <c r="OQ157" s="84" t="e">
        <f>OP158/OP157</f>
        <v>#DIV/0!</v>
      </c>
      <c r="OR157" s="16">
        <f>SUM(HH157:IW157)</f>
        <v>0</v>
      </c>
      <c r="OS157" s="84" t="e">
        <f>OR158/OR157</f>
        <v>#DIV/0!</v>
      </c>
      <c r="OT157" s="22">
        <f>SUMIF(OT159:OT166,1,OU159:OU166)</f>
        <v>0</v>
      </c>
      <c r="OU157" s="22">
        <f>SUMIF(OT159:OT166,1,OU159:OU166)</f>
        <v>0</v>
      </c>
      <c r="OV157" s="16">
        <f>SUM(IX157:KM157)</f>
        <v>0</v>
      </c>
      <c r="OW157" s="84" t="e">
        <f>OV158/OV157</f>
        <v>#DIV/0!</v>
      </c>
      <c r="OX157" s="22">
        <f>SUMIF(OX159:OX166,1,OY159:OY166)</f>
        <v>0</v>
      </c>
      <c r="OY157" s="22">
        <f>SUMIF(OX159:OX166,1,OY159:OY166)</f>
        <v>0</v>
      </c>
      <c r="OZ157" s="16">
        <f>SUM(KN157:MC157)</f>
        <v>0</v>
      </c>
      <c r="PA157" s="84" t="e">
        <f>OZ158/OZ157</f>
        <v>#DIV/0!</v>
      </c>
      <c r="PB157" s="22">
        <f>SUMIF(PB159:PB166,1,PC159:PC166)</f>
        <v>0</v>
      </c>
      <c r="PC157" s="22">
        <f>SUMIF(PB159:PB166,1,PC159:PC166)</f>
        <v>0</v>
      </c>
      <c r="PD157" s="16">
        <f>SUM(MD157:NS157)</f>
        <v>0</v>
      </c>
      <c r="PE157" s="84" t="e">
        <f>PD158/PD157</f>
        <v>#DIV/0!</v>
      </c>
    </row>
    <row r="158" spans="1:421" ht="15.75" customHeight="1" thickBot="1" x14ac:dyDescent="0.3">
      <c r="A158" s="18"/>
      <c r="B158" s="18"/>
      <c r="C158" s="95"/>
      <c r="D158" s="58"/>
      <c r="E158" s="52" t="s">
        <v>9</v>
      </c>
      <c r="F158" s="13">
        <f t="shared" ref="F158:BQ158" si="304">COUNTIF(F159:F166,"X")</f>
        <v>0</v>
      </c>
      <c r="G158" s="13">
        <f t="shared" si="304"/>
        <v>0</v>
      </c>
      <c r="H158" s="13">
        <f t="shared" si="304"/>
        <v>0</v>
      </c>
      <c r="I158" s="13">
        <f t="shared" si="304"/>
        <v>0</v>
      </c>
      <c r="J158" s="13">
        <f t="shared" si="304"/>
        <v>0</v>
      </c>
      <c r="K158" s="13">
        <f t="shared" si="304"/>
        <v>0</v>
      </c>
      <c r="L158" s="13">
        <f t="shared" si="304"/>
        <v>1</v>
      </c>
      <c r="M158" s="13">
        <f t="shared" si="304"/>
        <v>2</v>
      </c>
      <c r="N158" s="13">
        <f t="shared" si="304"/>
        <v>0</v>
      </c>
      <c r="O158" s="13">
        <f t="shared" si="304"/>
        <v>0</v>
      </c>
      <c r="P158" s="70">
        <f t="shared" si="304"/>
        <v>0</v>
      </c>
      <c r="Q158" s="13">
        <f t="shared" si="304"/>
        <v>1</v>
      </c>
      <c r="R158" s="13">
        <f t="shared" si="304"/>
        <v>1</v>
      </c>
      <c r="S158" s="13">
        <f t="shared" si="304"/>
        <v>1</v>
      </c>
      <c r="T158" s="13">
        <f t="shared" si="304"/>
        <v>1</v>
      </c>
      <c r="U158" s="13">
        <f t="shared" si="304"/>
        <v>0</v>
      </c>
      <c r="V158" s="13">
        <f t="shared" si="304"/>
        <v>0</v>
      </c>
      <c r="W158" s="70">
        <f t="shared" si="304"/>
        <v>0</v>
      </c>
      <c r="X158" s="13">
        <f t="shared" si="304"/>
        <v>1</v>
      </c>
      <c r="Y158" s="13">
        <f t="shared" si="304"/>
        <v>1</v>
      </c>
      <c r="Z158" s="13">
        <f t="shared" si="304"/>
        <v>1</v>
      </c>
      <c r="AA158" s="13">
        <f t="shared" si="304"/>
        <v>1</v>
      </c>
      <c r="AB158" s="13">
        <f t="shared" si="304"/>
        <v>0</v>
      </c>
      <c r="AC158" s="13">
        <f t="shared" si="304"/>
        <v>0</v>
      </c>
      <c r="AD158" s="13">
        <f t="shared" si="304"/>
        <v>1</v>
      </c>
      <c r="AE158" s="13">
        <f t="shared" si="304"/>
        <v>1</v>
      </c>
      <c r="AF158" s="13">
        <f t="shared" si="304"/>
        <v>1</v>
      </c>
      <c r="AG158" s="13">
        <f t="shared" si="304"/>
        <v>1</v>
      </c>
      <c r="AH158" s="13">
        <f t="shared" si="304"/>
        <v>1</v>
      </c>
      <c r="AI158" s="13">
        <f t="shared" si="304"/>
        <v>0</v>
      </c>
      <c r="AJ158" s="13">
        <f t="shared" si="304"/>
        <v>0</v>
      </c>
      <c r="AK158" s="13">
        <f t="shared" si="304"/>
        <v>0</v>
      </c>
      <c r="AL158" s="13">
        <f t="shared" si="304"/>
        <v>1</v>
      </c>
      <c r="AM158" s="13">
        <f t="shared" si="304"/>
        <v>0</v>
      </c>
      <c r="AN158" s="13">
        <f t="shared" si="304"/>
        <v>0</v>
      </c>
      <c r="AO158" s="13">
        <f t="shared" si="304"/>
        <v>0</v>
      </c>
      <c r="AP158" s="13">
        <f t="shared" si="304"/>
        <v>0</v>
      </c>
      <c r="AQ158" s="13">
        <f t="shared" si="304"/>
        <v>0</v>
      </c>
      <c r="AR158" s="13">
        <f t="shared" si="304"/>
        <v>1</v>
      </c>
      <c r="AS158" s="13">
        <f t="shared" si="304"/>
        <v>1</v>
      </c>
      <c r="AT158" s="13">
        <f t="shared" si="304"/>
        <v>1</v>
      </c>
      <c r="AU158" s="13">
        <f t="shared" si="304"/>
        <v>1</v>
      </c>
      <c r="AV158" s="13">
        <f t="shared" si="304"/>
        <v>1</v>
      </c>
      <c r="AW158" s="13">
        <f t="shared" si="304"/>
        <v>0</v>
      </c>
      <c r="AX158" s="13">
        <f t="shared" si="304"/>
        <v>0</v>
      </c>
      <c r="AY158" s="13">
        <f t="shared" si="304"/>
        <v>0</v>
      </c>
      <c r="AZ158" s="13">
        <f t="shared" si="304"/>
        <v>0</v>
      </c>
      <c r="BA158" s="13">
        <f t="shared" si="304"/>
        <v>0</v>
      </c>
      <c r="BB158" s="13">
        <f t="shared" si="304"/>
        <v>0</v>
      </c>
      <c r="BC158" s="13">
        <f t="shared" si="304"/>
        <v>0</v>
      </c>
      <c r="BD158" s="13">
        <f t="shared" si="304"/>
        <v>0</v>
      </c>
      <c r="BE158" s="13">
        <f t="shared" si="304"/>
        <v>0</v>
      </c>
      <c r="BF158" s="13">
        <f t="shared" si="304"/>
        <v>0</v>
      </c>
      <c r="BG158" s="13">
        <f t="shared" si="304"/>
        <v>0</v>
      </c>
      <c r="BH158" s="13">
        <f t="shared" si="304"/>
        <v>0</v>
      </c>
      <c r="BI158" s="13">
        <f t="shared" si="304"/>
        <v>0</v>
      </c>
      <c r="BJ158" s="13">
        <f t="shared" si="304"/>
        <v>0</v>
      </c>
      <c r="BK158" s="13">
        <f t="shared" si="304"/>
        <v>0</v>
      </c>
      <c r="BL158" s="13">
        <f t="shared" si="304"/>
        <v>0</v>
      </c>
      <c r="BM158" s="13">
        <f t="shared" si="304"/>
        <v>0</v>
      </c>
      <c r="BN158" s="13">
        <f t="shared" si="304"/>
        <v>0</v>
      </c>
      <c r="BO158" s="13">
        <f t="shared" si="304"/>
        <v>0</v>
      </c>
      <c r="BP158" s="13">
        <f t="shared" si="304"/>
        <v>0</v>
      </c>
      <c r="BQ158" s="13">
        <f t="shared" si="304"/>
        <v>0</v>
      </c>
      <c r="BR158" s="13">
        <f t="shared" ref="BR158:EC158" si="305">COUNTIF(BR159:BR166,"X")</f>
        <v>0</v>
      </c>
      <c r="BS158" s="13">
        <f t="shared" si="305"/>
        <v>0</v>
      </c>
      <c r="BT158" s="13">
        <f t="shared" si="305"/>
        <v>0</v>
      </c>
      <c r="BU158" s="13">
        <f t="shared" si="305"/>
        <v>0</v>
      </c>
      <c r="BV158" s="13">
        <f t="shared" si="305"/>
        <v>0</v>
      </c>
      <c r="BW158" s="13">
        <f t="shared" si="305"/>
        <v>0</v>
      </c>
      <c r="BX158" s="13">
        <f t="shared" si="305"/>
        <v>0</v>
      </c>
      <c r="BY158" s="13">
        <f t="shared" si="305"/>
        <v>0</v>
      </c>
      <c r="BZ158" s="13">
        <f t="shared" si="305"/>
        <v>0</v>
      </c>
      <c r="CA158" s="13">
        <f t="shared" si="305"/>
        <v>0</v>
      </c>
      <c r="CB158" s="13">
        <f t="shared" si="305"/>
        <v>0</v>
      </c>
      <c r="CC158" s="13">
        <f t="shared" si="305"/>
        <v>0</v>
      </c>
      <c r="CD158" s="13">
        <f t="shared" si="305"/>
        <v>0</v>
      </c>
      <c r="CE158" s="13">
        <f t="shared" si="305"/>
        <v>0</v>
      </c>
      <c r="CF158" s="13">
        <f t="shared" si="305"/>
        <v>0</v>
      </c>
      <c r="CG158" s="13">
        <f t="shared" si="305"/>
        <v>0</v>
      </c>
      <c r="CH158" s="13">
        <f t="shared" si="305"/>
        <v>0</v>
      </c>
      <c r="CI158" s="13">
        <f t="shared" si="305"/>
        <v>0</v>
      </c>
      <c r="CJ158" s="13">
        <f t="shared" si="305"/>
        <v>0</v>
      </c>
      <c r="CK158" s="13">
        <f t="shared" si="305"/>
        <v>0</v>
      </c>
      <c r="CL158" s="13">
        <f t="shared" si="305"/>
        <v>0</v>
      </c>
      <c r="CM158" s="13">
        <f t="shared" si="305"/>
        <v>0</v>
      </c>
      <c r="CN158" s="13">
        <f t="shared" si="305"/>
        <v>0</v>
      </c>
      <c r="CO158" s="13">
        <f t="shared" si="305"/>
        <v>0</v>
      </c>
      <c r="CP158" s="13">
        <f t="shared" si="305"/>
        <v>0</v>
      </c>
      <c r="CQ158" s="13">
        <f t="shared" si="305"/>
        <v>0</v>
      </c>
      <c r="CR158" s="13">
        <f t="shared" si="305"/>
        <v>0</v>
      </c>
      <c r="CS158" s="13">
        <f t="shared" si="305"/>
        <v>0</v>
      </c>
      <c r="CT158" s="13">
        <f t="shared" si="305"/>
        <v>0</v>
      </c>
      <c r="CU158" s="13">
        <f t="shared" si="305"/>
        <v>0</v>
      </c>
      <c r="CV158" s="13">
        <f t="shared" si="305"/>
        <v>0</v>
      </c>
      <c r="CW158" s="13">
        <f t="shared" si="305"/>
        <v>0</v>
      </c>
      <c r="CX158" s="13">
        <f t="shared" si="305"/>
        <v>0</v>
      </c>
      <c r="CY158" s="13">
        <f t="shared" si="305"/>
        <v>0</v>
      </c>
      <c r="CZ158" s="13">
        <f t="shared" si="305"/>
        <v>0</v>
      </c>
      <c r="DA158" s="13">
        <f t="shared" si="305"/>
        <v>0</v>
      </c>
      <c r="DB158" s="13">
        <f t="shared" si="305"/>
        <v>0</v>
      </c>
      <c r="DC158" s="13">
        <f t="shared" si="305"/>
        <v>0</v>
      </c>
      <c r="DD158" s="13">
        <f t="shared" si="305"/>
        <v>0</v>
      </c>
      <c r="DE158" s="13">
        <f t="shared" si="305"/>
        <v>0</v>
      </c>
      <c r="DF158" s="13">
        <f t="shared" si="305"/>
        <v>0</v>
      </c>
      <c r="DG158" s="13">
        <f t="shared" si="305"/>
        <v>0</v>
      </c>
      <c r="DH158" s="13">
        <f t="shared" si="305"/>
        <v>0</v>
      </c>
      <c r="DI158" s="13">
        <f t="shared" si="305"/>
        <v>0</v>
      </c>
      <c r="DJ158" s="13">
        <f t="shared" si="305"/>
        <v>0</v>
      </c>
      <c r="DK158" s="13">
        <f t="shared" si="305"/>
        <v>0</v>
      </c>
      <c r="DL158" s="13">
        <f t="shared" si="305"/>
        <v>0</v>
      </c>
      <c r="DM158" s="13">
        <f t="shared" si="305"/>
        <v>0</v>
      </c>
      <c r="DN158" s="13">
        <f t="shared" si="305"/>
        <v>0</v>
      </c>
      <c r="DO158" s="13">
        <f t="shared" si="305"/>
        <v>0</v>
      </c>
      <c r="DP158" s="13">
        <f t="shared" si="305"/>
        <v>0</v>
      </c>
      <c r="DQ158" s="13">
        <f t="shared" si="305"/>
        <v>0</v>
      </c>
      <c r="DR158" s="13">
        <f t="shared" si="305"/>
        <v>0</v>
      </c>
      <c r="DS158" s="13">
        <f t="shared" si="305"/>
        <v>0</v>
      </c>
      <c r="DT158" s="13">
        <f t="shared" si="305"/>
        <v>0</v>
      </c>
      <c r="DU158" s="13">
        <f t="shared" si="305"/>
        <v>0</v>
      </c>
      <c r="DV158" s="13">
        <f t="shared" si="305"/>
        <v>0</v>
      </c>
      <c r="DW158" s="13">
        <f t="shared" si="305"/>
        <v>0</v>
      </c>
      <c r="DX158" s="13">
        <f t="shared" si="305"/>
        <v>0</v>
      </c>
      <c r="DY158" s="13">
        <f t="shared" si="305"/>
        <v>0</v>
      </c>
      <c r="DZ158" s="13">
        <f t="shared" si="305"/>
        <v>0</v>
      </c>
      <c r="EA158" s="13">
        <f t="shared" si="305"/>
        <v>0</v>
      </c>
      <c r="EB158" s="13">
        <f t="shared" si="305"/>
        <v>0</v>
      </c>
      <c r="EC158" s="13">
        <f t="shared" si="305"/>
        <v>0</v>
      </c>
      <c r="ED158" s="13">
        <f t="shared" ref="ED158:GO158" si="306">COUNTIF(ED159:ED166,"X")</f>
        <v>0</v>
      </c>
      <c r="EE158" s="13">
        <f t="shared" si="306"/>
        <v>0</v>
      </c>
      <c r="EF158" s="13">
        <f t="shared" si="306"/>
        <v>0</v>
      </c>
      <c r="EG158" s="13">
        <f t="shared" si="306"/>
        <v>0</v>
      </c>
      <c r="EH158" s="13">
        <f t="shared" si="306"/>
        <v>0</v>
      </c>
      <c r="EI158" s="13">
        <f t="shared" si="306"/>
        <v>0</v>
      </c>
      <c r="EJ158" s="13">
        <f t="shared" si="306"/>
        <v>0</v>
      </c>
      <c r="EK158" s="13">
        <f t="shared" si="306"/>
        <v>0</v>
      </c>
      <c r="EL158" s="13">
        <f t="shared" si="306"/>
        <v>0</v>
      </c>
      <c r="EM158" s="13">
        <f t="shared" si="306"/>
        <v>0</v>
      </c>
      <c r="EN158" s="13">
        <f t="shared" si="306"/>
        <v>0</v>
      </c>
      <c r="EO158" s="13">
        <f t="shared" si="306"/>
        <v>0</v>
      </c>
      <c r="EP158" s="13">
        <f t="shared" si="306"/>
        <v>0</v>
      </c>
      <c r="EQ158" s="13">
        <f t="shared" si="306"/>
        <v>0</v>
      </c>
      <c r="ER158" s="13">
        <f t="shared" si="306"/>
        <v>0</v>
      </c>
      <c r="ES158" s="13">
        <f t="shared" si="306"/>
        <v>0</v>
      </c>
      <c r="ET158" s="13">
        <f t="shared" si="306"/>
        <v>0</v>
      </c>
      <c r="EU158" s="13">
        <f t="shared" si="306"/>
        <v>0</v>
      </c>
      <c r="EV158" s="13">
        <f t="shared" si="306"/>
        <v>0</v>
      </c>
      <c r="EW158" s="13">
        <f t="shared" si="306"/>
        <v>0</v>
      </c>
      <c r="EX158" s="13">
        <f t="shared" si="306"/>
        <v>0</v>
      </c>
      <c r="EY158" s="13">
        <f t="shared" si="306"/>
        <v>0</v>
      </c>
      <c r="EZ158" s="13">
        <f t="shared" si="306"/>
        <v>0</v>
      </c>
      <c r="FA158" s="13">
        <f t="shared" si="306"/>
        <v>0</v>
      </c>
      <c r="FB158" s="13">
        <f t="shared" si="306"/>
        <v>0</v>
      </c>
      <c r="FC158" s="13">
        <f t="shared" si="306"/>
        <v>0</v>
      </c>
      <c r="FD158" s="13">
        <f t="shared" si="306"/>
        <v>0</v>
      </c>
      <c r="FE158" s="13">
        <f t="shared" si="306"/>
        <v>0</v>
      </c>
      <c r="FF158" s="13">
        <f t="shared" si="306"/>
        <v>0</v>
      </c>
      <c r="FG158" s="13">
        <f t="shared" si="306"/>
        <v>0</v>
      </c>
      <c r="FH158" s="13">
        <f t="shared" si="306"/>
        <v>0</v>
      </c>
      <c r="FI158" s="13">
        <f t="shared" si="306"/>
        <v>0</v>
      </c>
      <c r="FJ158" s="13">
        <f t="shared" si="306"/>
        <v>0</v>
      </c>
      <c r="FK158" s="13">
        <f t="shared" si="306"/>
        <v>0</v>
      </c>
      <c r="FL158" s="13">
        <f t="shared" si="306"/>
        <v>0</v>
      </c>
      <c r="FM158" s="13">
        <f t="shared" si="306"/>
        <v>0</v>
      </c>
      <c r="FN158" s="13">
        <f t="shared" si="306"/>
        <v>0</v>
      </c>
      <c r="FO158" s="13">
        <f t="shared" si="306"/>
        <v>0</v>
      </c>
      <c r="FP158" s="13">
        <f t="shared" si="306"/>
        <v>0</v>
      </c>
      <c r="FQ158" s="13">
        <f t="shared" si="306"/>
        <v>0</v>
      </c>
      <c r="FR158" s="13">
        <f t="shared" si="306"/>
        <v>0</v>
      </c>
      <c r="FS158" s="13">
        <f t="shared" si="306"/>
        <v>0</v>
      </c>
      <c r="FT158" s="13">
        <f t="shared" si="306"/>
        <v>0</v>
      </c>
      <c r="FU158" s="13">
        <f t="shared" si="306"/>
        <v>0</v>
      </c>
      <c r="FV158" s="13">
        <f t="shared" si="306"/>
        <v>0</v>
      </c>
      <c r="FW158" s="13">
        <f t="shared" si="306"/>
        <v>0</v>
      </c>
      <c r="FX158" s="13">
        <f t="shared" si="306"/>
        <v>0</v>
      </c>
      <c r="FY158" s="13">
        <f t="shared" si="306"/>
        <v>0</v>
      </c>
      <c r="FZ158" s="13">
        <f t="shared" si="306"/>
        <v>0</v>
      </c>
      <c r="GA158" s="13">
        <f t="shared" si="306"/>
        <v>0</v>
      </c>
      <c r="GB158" s="13">
        <f t="shared" si="306"/>
        <v>0</v>
      </c>
      <c r="GC158" s="13">
        <f t="shared" si="306"/>
        <v>0</v>
      </c>
      <c r="GD158" s="13">
        <f t="shared" si="306"/>
        <v>0</v>
      </c>
      <c r="GE158" s="13">
        <f t="shared" si="306"/>
        <v>0</v>
      </c>
      <c r="GF158" s="13">
        <f t="shared" si="306"/>
        <v>0</v>
      </c>
      <c r="GG158" s="13">
        <f t="shared" si="306"/>
        <v>0</v>
      </c>
      <c r="GH158" s="13">
        <f t="shared" si="306"/>
        <v>0</v>
      </c>
      <c r="GI158" s="13">
        <f t="shared" si="306"/>
        <v>0</v>
      </c>
      <c r="GJ158" s="13">
        <f t="shared" si="306"/>
        <v>0</v>
      </c>
      <c r="GK158" s="13">
        <f t="shared" si="306"/>
        <v>0</v>
      </c>
      <c r="GL158" s="13">
        <f t="shared" si="306"/>
        <v>0</v>
      </c>
      <c r="GM158" s="13">
        <f t="shared" si="306"/>
        <v>0</v>
      </c>
      <c r="GN158" s="13">
        <f t="shared" si="306"/>
        <v>0</v>
      </c>
      <c r="GO158" s="13">
        <f t="shared" si="306"/>
        <v>0</v>
      </c>
      <c r="GP158" s="13">
        <f t="shared" ref="GP158:JA158" si="307">COUNTIF(GP159:GP166,"X")</f>
        <v>0</v>
      </c>
      <c r="GQ158" s="13">
        <f t="shared" si="307"/>
        <v>0</v>
      </c>
      <c r="GR158" s="13">
        <f t="shared" si="307"/>
        <v>0</v>
      </c>
      <c r="GS158" s="13">
        <f t="shared" si="307"/>
        <v>0</v>
      </c>
      <c r="GT158" s="13">
        <f t="shared" si="307"/>
        <v>0</v>
      </c>
      <c r="GU158" s="13">
        <f t="shared" si="307"/>
        <v>0</v>
      </c>
      <c r="GV158" s="13">
        <f t="shared" si="307"/>
        <v>0</v>
      </c>
      <c r="GW158" s="13">
        <f t="shared" si="307"/>
        <v>0</v>
      </c>
      <c r="GX158" s="13">
        <f t="shared" si="307"/>
        <v>0</v>
      </c>
      <c r="GY158" s="13">
        <f t="shared" si="307"/>
        <v>0</v>
      </c>
      <c r="GZ158" s="13">
        <f t="shared" si="307"/>
        <v>0</v>
      </c>
      <c r="HA158" s="13">
        <f t="shared" si="307"/>
        <v>0</v>
      </c>
      <c r="HB158" s="13">
        <f t="shared" si="307"/>
        <v>0</v>
      </c>
      <c r="HC158" s="13">
        <f t="shared" si="307"/>
        <v>0</v>
      </c>
      <c r="HD158" s="13">
        <f t="shared" si="307"/>
        <v>0</v>
      </c>
      <c r="HE158" s="13">
        <f t="shared" si="307"/>
        <v>0</v>
      </c>
      <c r="HF158" s="13">
        <f t="shared" si="307"/>
        <v>0</v>
      </c>
      <c r="HG158" s="13">
        <f t="shared" si="307"/>
        <v>0</v>
      </c>
      <c r="HH158" s="13">
        <f t="shared" si="307"/>
        <v>0</v>
      </c>
      <c r="HI158" s="13">
        <f t="shared" si="307"/>
        <v>0</v>
      </c>
      <c r="HJ158" s="13">
        <f t="shared" si="307"/>
        <v>0</v>
      </c>
      <c r="HK158" s="13">
        <f t="shared" si="307"/>
        <v>0</v>
      </c>
      <c r="HL158" s="13">
        <f t="shared" si="307"/>
        <v>0</v>
      </c>
      <c r="HM158" s="13">
        <f t="shared" si="307"/>
        <v>0</v>
      </c>
      <c r="HN158" s="13">
        <f t="shared" si="307"/>
        <v>0</v>
      </c>
      <c r="HO158" s="13">
        <f t="shared" si="307"/>
        <v>0</v>
      </c>
      <c r="HP158" s="13">
        <f t="shared" si="307"/>
        <v>0</v>
      </c>
      <c r="HQ158" s="13">
        <f t="shared" si="307"/>
        <v>0</v>
      </c>
      <c r="HR158" s="13">
        <f t="shared" si="307"/>
        <v>0</v>
      </c>
      <c r="HS158" s="13">
        <f t="shared" si="307"/>
        <v>0</v>
      </c>
      <c r="HT158" s="13">
        <f t="shared" si="307"/>
        <v>0</v>
      </c>
      <c r="HU158" s="13">
        <f t="shared" si="307"/>
        <v>0</v>
      </c>
      <c r="HV158" s="13">
        <f t="shared" si="307"/>
        <v>0</v>
      </c>
      <c r="HW158" s="13">
        <f t="shared" si="307"/>
        <v>0</v>
      </c>
      <c r="HX158" s="13">
        <f t="shared" si="307"/>
        <v>0</v>
      </c>
      <c r="HY158" s="13">
        <f t="shared" si="307"/>
        <v>0</v>
      </c>
      <c r="HZ158" s="13">
        <f t="shared" si="307"/>
        <v>0</v>
      </c>
      <c r="IA158" s="13">
        <f t="shared" si="307"/>
        <v>0</v>
      </c>
      <c r="IB158" s="13">
        <f t="shared" si="307"/>
        <v>0</v>
      </c>
      <c r="IC158" s="13">
        <f t="shared" si="307"/>
        <v>0</v>
      </c>
      <c r="ID158" s="13">
        <f t="shared" si="307"/>
        <v>0</v>
      </c>
      <c r="IE158" s="13">
        <f t="shared" si="307"/>
        <v>0</v>
      </c>
      <c r="IF158" s="13">
        <f t="shared" si="307"/>
        <v>0</v>
      </c>
      <c r="IG158" s="13">
        <f t="shared" si="307"/>
        <v>0</v>
      </c>
      <c r="IH158" s="13">
        <f t="shared" si="307"/>
        <v>0</v>
      </c>
      <c r="II158" s="13">
        <f t="shared" si="307"/>
        <v>0</v>
      </c>
      <c r="IJ158" s="13">
        <f t="shared" si="307"/>
        <v>0</v>
      </c>
      <c r="IK158" s="13">
        <f t="shared" si="307"/>
        <v>0</v>
      </c>
      <c r="IL158" s="13">
        <f t="shared" si="307"/>
        <v>0</v>
      </c>
      <c r="IM158" s="13">
        <f t="shared" si="307"/>
        <v>0</v>
      </c>
      <c r="IN158" s="13">
        <f t="shared" si="307"/>
        <v>0</v>
      </c>
      <c r="IO158" s="13">
        <f t="shared" si="307"/>
        <v>0</v>
      </c>
      <c r="IP158" s="13">
        <f t="shared" si="307"/>
        <v>0</v>
      </c>
      <c r="IQ158" s="13">
        <f t="shared" si="307"/>
        <v>0</v>
      </c>
      <c r="IR158" s="13">
        <f t="shared" si="307"/>
        <v>0</v>
      </c>
      <c r="IS158" s="13">
        <f t="shared" si="307"/>
        <v>0</v>
      </c>
      <c r="IT158" s="13">
        <f t="shared" si="307"/>
        <v>0</v>
      </c>
      <c r="IU158" s="13">
        <f t="shared" si="307"/>
        <v>0</v>
      </c>
      <c r="IV158" s="13">
        <f t="shared" si="307"/>
        <v>0</v>
      </c>
      <c r="IW158" s="13">
        <f t="shared" si="307"/>
        <v>0</v>
      </c>
      <c r="IX158" s="13">
        <f t="shared" si="307"/>
        <v>0</v>
      </c>
      <c r="IY158" s="13">
        <f t="shared" si="307"/>
        <v>0</v>
      </c>
      <c r="IZ158" s="13">
        <f t="shared" si="307"/>
        <v>0</v>
      </c>
      <c r="JA158" s="13">
        <f t="shared" si="307"/>
        <v>0</v>
      </c>
      <c r="JB158" s="13">
        <f t="shared" ref="JB158:LM158" si="308">COUNTIF(JB159:JB166,"X")</f>
        <v>0</v>
      </c>
      <c r="JC158" s="13">
        <f t="shared" si="308"/>
        <v>0</v>
      </c>
      <c r="JD158" s="13">
        <f t="shared" si="308"/>
        <v>0</v>
      </c>
      <c r="JE158" s="13">
        <f t="shared" si="308"/>
        <v>0</v>
      </c>
      <c r="JF158" s="13">
        <f t="shared" si="308"/>
        <v>0</v>
      </c>
      <c r="JG158" s="13">
        <f t="shared" si="308"/>
        <v>0</v>
      </c>
      <c r="JH158" s="13">
        <f t="shared" si="308"/>
        <v>0</v>
      </c>
      <c r="JI158" s="13">
        <f t="shared" si="308"/>
        <v>0</v>
      </c>
      <c r="JJ158" s="13">
        <f t="shared" si="308"/>
        <v>0</v>
      </c>
      <c r="JK158" s="13">
        <f t="shared" si="308"/>
        <v>0</v>
      </c>
      <c r="JL158" s="13">
        <f t="shared" si="308"/>
        <v>0</v>
      </c>
      <c r="JM158" s="13">
        <f t="shared" si="308"/>
        <v>0</v>
      </c>
      <c r="JN158" s="13">
        <f t="shared" si="308"/>
        <v>0</v>
      </c>
      <c r="JO158" s="13">
        <f t="shared" si="308"/>
        <v>0</v>
      </c>
      <c r="JP158" s="13">
        <f t="shared" si="308"/>
        <v>0</v>
      </c>
      <c r="JQ158" s="13">
        <f t="shared" si="308"/>
        <v>0</v>
      </c>
      <c r="JR158" s="13">
        <f t="shared" si="308"/>
        <v>0</v>
      </c>
      <c r="JS158" s="13">
        <f t="shared" si="308"/>
        <v>0</v>
      </c>
      <c r="JT158" s="13">
        <f t="shared" si="308"/>
        <v>0</v>
      </c>
      <c r="JU158" s="13">
        <f t="shared" si="308"/>
        <v>0</v>
      </c>
      <c r="JV158" s="13">
        <f t="shared" si="308"/>
        <v>0</v>
      </c>
      <c r="JW158" s="13">
        <f t="shared" si="308"/>
        <v>0</v>
      </c>
      <c r="JX158" s="13">
        <f t="shared" si="308"/>
        <v>0</v>
      </c>
      <c r="JY158" s="13">
        <f t="shared" si="308"/>
        <v>0</v>
      </c>
      <c r="JZ158" s="13">
        <f t="shared" si="308"/>
        <v>0</v>
      </c>
      <c r="KA158" s="13">
        <f t="shared" si="308"/>
        <v>0</v>
      </c>
      <c r="KB158" s="13">
        <f t="shared" si="308"/>
        <v>0</v>
      </c>
      <c r="KC158" s="13">
        <f t="shared" si="308"/>
        <v>0</v>
      </c>
      <c r="KD158" s="13">
        <f t="shared" si="308"/>
        <v>0</v>
      </c>
      <c r="KE158" s="13">
        <f t="shared" si="308"/>
        <v>0</v>
      </c>
      <c r="KF158" s="13">
        <f t="shared" si="308"/>
        <v>0</v>
      </c>
      <c r="KG158" s="13">
        <f t="shared" si="308"/>
        <v>0</v>
      </c>
      <c r="KH158" s="13">
        <f t="shared" si="308"/>
        <v>0</v>
      </c>
      <c r="KI158" s="13">
        <f t="shared" si="308"/>
        <v>0</v>
      </c>
      <c r="KJ158" s="13">
        <f t="shared" si="308"/>
        <v>0</v>
      </c>
      <c r="KK158" s="13">
        <f t="shared" si="308"/>
        <v>0</v>
      </c>
      <c r="KL158" s="13">
        <f t="shared" si="308"/>
        <v>0</v>
      </c>
      <c r="KM158" s="13">
        <f t="shared" si="308"/>
        <v>0</v>
      </c>
      <c r="KN158" s="13">
        <f t="shared" si="308"/>
        <v>0</v>
      </c>
      <c r="KO158" s="13">
        <f t="shared" si="308"/>
        <v>0</v>
      </c>
      <c r="KP158" s="13">
        <f t="shared" si="308"/>
        <v>0</v>
      </c>
      <c r="KQ158" s="13">
        <f t="shared" si="308"/>
        <v>0</v>
      </c>
      <c r="KR158" s="13">
        <f t="shared" si="308"/>
        <v>0</v>
      </c>
      <c r="KS158" s="13">
        <f t="shared" si="308"/>
        <v>0</v>
      </c>
      <c r="KT158" s="13">
        <f t="shared" si="308"/>
        <v>0</v>
      </c>
      <c r="KU158" s="13">
        <f t="shared" si="308"/>
        <v>0</v>
      </c>
      <c r="KV158" s="13">
        <f t="shared" si="308"/>
        <v>0</v>
      </c>
      <c r="KW158" s="13">
        <f t="shared" si="308"/>
        <v>0</v>
      </c>
      <c r="KX158" s="13">
        <f t="shared" si="308"/>
        <v>0</v>
      </c>
      <c r="KY158" s="13">
        <f t="shared" si="308"/>
        <v>0</v>
      </c>
      <c r="KZ158" s="13">
        <f t="shared" si="308"/>
        <v>0</v>
      </c>
      <c r="LA158" s="13">
        <f t="shared" si="308"/>
        <v>0</v>
      </c>
      <c r="LB158" s="13">
        <f t="shared" si="308"/>
        <v>0</v>
      </c>
      <c r="LC158" s="13">
        <f t="shared" si="308"/>
        <v>0</v>
      </c>
      <c r="LD158" s="13">
        <f t="shared" si="308"/>
        <v>0</v>
      </c>
      <c r="LE158" s="13">
        <f t="shared" si="308"/>
        <v>0</v>
      </c>
      <c r="LF158" s="13">
        <f t="shared" si="308"/>
        <v>0</v>
      </c>
      <c r="LG158" s="13">
        <f t="shared" si="308"/>
        <v>0</v>
      </c>
      <c r="LH158" s="13">
        <f t="shared" si="308"/>
        <v>0</v>
      </c>
      <c r="LI158" s="13">
        <f t="shared" si="308"/>
        <v>0</v>
      </c>
      <c r="LJ158" s="13">
        <f t="shared" si="308"/>
        <v>0</v>
      </c>
      <c r="LK158" s="13">
        <f t="shared" si="308"/>
        <v>0</v>
      </c>
      <c r="LL158" s="13">
        <f t="shared" si="308"/>
        <v>0</v>
      </c>
      <c r="LM158" s="13">
        <f t="shared" si="308"/>
        <v>0</v>
      </c>
      <c r="LN158" s="13">
        <f t="shared" ref="LN158:NS158" si="309">COUNTIF(LN159:LN166,"X")</f>
        <v>0</v>
      </c>
      <c r="LO158" s="13">
        <f t="shared" si="309"/>
        <v>0</v>
      </c>
      <c r="LP158" s="13">
        <f t="shared" si="309"/>
        <v>0</v>
      </c>
      <c r="LQ158" s="13">
        <f t="shared" si="309"/>
        <v>0</v>
      </c>
      <c r="LR158" s="13">
        <f t="shared" si="309"/>
        <v>0</v>
      </c>
      <c r="LS158" s="13">
        <f t="shared" si="309"/>
        <v>0</v>
      </c>
      <c r="LT158" s="13">
        <f t="shared" si="309"/>
        <v>0</v>
      </c>
      <c r="LU158" s="13">
        <f t="shared" si="309"/>
        <v>0</v>
      </c>
      <c r="LV158" s="13">
        <f t="shared" si="309"/>
        <v>0</v>
      </c>
      <c r="LW158" s="13">
        <f t="shared" si="309"/>
        <v>0</v>
      </c>
      <c r="LX158" s="13">
        <f t="shared" si="309"/>
        <v>0</v>
      </c>
      <c r="LY158" s="13">
        <f t="shared" si="309"/>
        <v>0</v>
      </c>
      <c r="LZ158" s="13">
        <f t="shared" si="309"/>
        <v>0</v>
      </c>
      <c r="MA158" s="13">
        <f t="shared" si="309"/>
        <v>0</v>
      </c>
      <c r="MB158" s="13">
        <f t="shared" si="309"/>
        <v>0</v>
      </c>
      <c r="MC158" s="13">
        <f t="shared" si="309"/>
        <v>0</v>
      </c>
      <c r="MD158" s="13">
        <f t="shared" si="309"/>
        <v>0</v>
      </c>
      <c r="ME158" s="13">
        <f t="shared" si="309"/>
        <v>0</v>
      </c>
      <c r="MF158" s="13">
        <f t="shared" si="309"/>
        <v>0</v>
      </c>
      <c r="MG158" s="13">
        <f t="shared" si="309"/>
        <v>0</v>
      </c>
      <c r="MH158" s="13">
        <f t="shared" si="309"/>
        <v>0</v>
      </c>
      <c r="MI158" s="13">
        <f t="shared" si="309"/>
        <v>0</v>
      </c>
      <c r="MJ158" s="13">
        <f t="shared" si="309"/>
        <v>0</v>
      </c>
      <c r="MK158" s="13">
        <f t="shared" si="309"/>
        <v>0</v>
      </c>
      <c r="ML158" s="13">
        <f t="shared" si="309"/>
        <v>0</v>
      </c>
      <c r="MM158" s="13">
        <f t="shared" si="309"/>
        <v>0</v>
      </c>
      <c r="MN158" s="13">
        <f t="shared" si="309"/>
        <v>0</v>
      </c>
      <c r="MO158" s="13">
        <f t="shared" si="309"/>
        <v>0</v>
      </c>
      <c r="MP158" s="13">
        <f t="shared" si="309"/>
        <v>0</v>
      </c>
      <c r="MQ158" s="13">
        <f t="shared" si="309"/>
        <v>0</v>
      </c>
      <c r="MR158" s="13">
        <f t="shared" si="309"/>
        <v>0</v>
      </c>
      <c r="MS158" s="13">
        <f t="shared" si="309"/>
        <v>0</v>
      </c>
      <c r="MT158" s="13">
        <f t="shared" si="309"/>
        <v>0</v>
      </c>
      <c r="MU158" s="13">
        <f t="shared" si="309"/>
        <v>0</v>
      </c>
      <c r="MV158" s="13">
        <f t="shared" si="309"/>
        <v>0</v>
      </c>
      <c r="MW158" s="13">
        <f t="shared" si="309"/>
        <v>0</v>
      </c>
      <c r="MX158" s="13">
        <f t="shared" si="309"/>
        <v>0</v>
      </c>
      <c r="MY158" s="13">
        <f t="shared" si="309"/>
        <v>0</v>
      </c>
      <c r="MZ158" s="13">
        <f t="shared" si="309"/>
        <v>0</v>
      </c>
      <c r="NA158" s="13">
        <f t="shared" si="309"/>
        <v>0</v>
      </c>
      <c r="NB158" s="13">
        <f t="shared" si="309"/>
        <v>0</v>
      </c>
      <c r="NC158" s="13">
        <f t="shared" si="309"/>
        <v>0</v>
      </c>
      <c r="ND158" s="13">
        <f t="shared" si="309"/>
        <v>0</v>
      </c>
      <c r="NE158" s="13">
        <f t="shared" si="309"/>
        <v>0</v>
      </c>
      <c r="NF158" s="13">
        <f t="shared" si="309"/>
        <v>0</v>
      </c>
      <c r="NG158" s="13">
        <f t="shared" si="309"/>
        <v>0</v>
      </c>
      <c r="NH158" s="13">
        <f t="shared" si="309"/>
        <v>0</v>
      </c>
      <c r="NI158" s="13">
        <f t="shared" si="309"/>
        <v>0</v>
      </c>
      <c r="NJ158" s="13">
        <f t="shared" si="309"/>
        <v>0</v>
      </c>
      <c r="NK158" s="13">
        <f t="shared" si="309"/>
        <v>0</v>
      </c>
      <c r="NL158" s="13">
        <f t="shared" si="309"/>
        <v>0</v>
      </c>
      <c r="NM158" s="13">
        <f t="shared" si="309"/>
        <v>0</v>
      </c>
      <c r="NN158" s="13">
        <f t="shared" si="309"/>
        <v>0</v>
      </c>
      <c r="NO158" s="13">
        <f t="shared" si="309"/>
        <v>0</v>
      </c>
      <c r="NP158" s="13">
        <f t="shared" si="309"/>
        <v>0</v>
      </c>
      <c r="NQ158" s="13">
        <f t="shared" si="309"/>
        <v>0</v>
      </c>
      <c r="NR158" s="13">
        <f t="shared" si="309"/>
        <v>0</v>
      </c>
      <c r="NS158" s="13">
        <f t="shared" si="309"/>
        <v>0</v>
      </c>
      <c r="NT158" s="14">
        <f>SUM(F158:NS158)</f>
        <v>22</v>
      </c>
      <c r="NU158" s="93"/>
      <c r="NV158" s="30">
        <f>SUMIF(NW159:NW166,0,NV159:NV166)</f>
        <v>3</v>
      </c>
      <c r="NW158" s="30">
        <f>SUMIF(NW159:NW166,0,NV159:NV166)</f>
        <v>3</v>
      </c>
      <c r="NX158" s="14">
        <f>SUM(F158:AU158)</f>
        <v>21</v>
      </c>
      <c r="NY158" s="93"/>
      <c r="NZ158" s="30">
        <f>SUMIF(OA159:OA166,0,NZ159:NZ166)</f>
        <v>7.1428571428571425E-2</v>
      </c>
      <c r="OA158" s="30">
        <f>SUMIF(OA159:OA166,0,NZ159:NZ166)</f>
        <v>7.1428571428571425E-2</v>
      </c>
      <c r="OB158" s="14">
        <f>SUM(AV158:CK158)</f>
        <v>1</v>
      </c>
      <c r="OC158" s="93"/>
      <c r="OD158" s="30">
        <f>SUMIF(OE159:OE166,0,OD159:OD166)</f>
        <v>0</v>
      </c>
      <c r="OE158" s="30">
        <f>SUMIF(OE159:OE166,0,OD159:OD166)</f>
        <v>0</v>
      </c>
      <c r="OF158" s="14">
        <f>SUM(CL158:EA158)</f>
        <v>0</v>
      </c>
      <c r="OG158" s="85"/>
      <c r="OH158" s="30">
        <f>SUMIF(OI159:OI166,0,OH159:OH166)</f>
        <v>0</v>
      </c>
      <c r="OI158" s="30">
        <f>SUMIF(OI159:OI166,0,OH159:OH166)</f>
        <v>0</v>
      </c>
      <c r="OJ158" s="14">
        <f>SUM(EB158:FQ158)</f>
        <v>0</v>
      </c>
      <c r="OK158" s="85"/>
      <c r="OL158" s="30">
        <f>SUMIF(OM159:OM166,0,OL159:OL166)</f>
        <v>0</v>
      </c>
      <c r="OM158" s="30">
        <f>SUMIF(OM159:OM166,0,OL159:OL166)</f>
        <v>0</v>
      </c>
      <c r="ON158" s="14">
        <f>SUM(FR158:HG158)</f>
        <v>0</v>
      </c>
      <c r="OO158" s="85"/>
      <c r="OP158" s="30">
        <f>SUMIF(OQ159:OQ166,0,OP159:OP166)</f>
        <v>0</v>
      </c>
      <c r="OQ158" s="85"/>
      <c r="OR158" s="14">
        <f>SUM(HH158:IW158)</f>
        <v>0</v>
      </c>
      <c r="OS158" s="85"/>
      <c r="OT158" s="30">
        <f>SUMIF(OU159:OU166,0,OT159:OT166)</f>
        <v>0</v>
      </c>
      <c r="OU158" s="30">
        <f>SUMIF(OU159:OU166,0,OT159:OT166)</f>
        <v>0</v>
      </c>
      <c r="OV158" s="14">
        <f>SUM(IX158:KM158)</f>
        <v>0</v>
      </c>
      <c r="OW158" s="85"/>
      <c r="OX158" s="30">
        <f>SUMIF(OY159:OY166,0,OX159:OX166)</f>
        <v>0</v>
      </c>
      <c r="OY158" s="30">
        <f>SUMIF(OY159:OY166,0,OX159:OX166)</f>
        <v>0</v>
      </c>
      <c r="OZ158" s="14">
        <f>SUM(KN158:MC158)</f>
        <v>0</v>
      </c>
      <c r="PA158" s="85"/>
      <c r="PB158" s="30">
        <f>SUMIF(PC159:PC166,0,PB159:PB166)</f>
        <v>0</v>
      </c>
      <c r="PC158" s="30">
        <f>SUMIF(PC159:PC166,0,PB159:PB166)</f>
        <v>0</v>
      </c>
      <c r="PD158" s="14">
        <f>SUM(MD158:NS158)</f>
        <v>0</v>
      </c>
      <c r="PE158" s="85"/>
    </row>
    <row r="159" spans="1:421" ht="15.75" customHeight="1" outlineLevel="1" x14ac:dyDescent="0.25">
      <c r="C159" s="82" t="s">
        <v>105</v>
      </c>
      <c r="D159" s="71" t="s">
        <v>73</v>
      </c>
      <c r="E159" s="53" t="s">
        <v>8</v>
      </c>
      <c r="F159" s="33"/>
      <c r="G159" s="33"/>
      <c r="H159" s="33"/>
      <c r="I159" s="33"/>
      <c r="J159" s="33"/>
      <c r="K159" s="33"/>
      <c r="L159" s="33"/>
      <c r="M159" s="33">
        <v>1</v>
      </c>
      <c r="N159" s="33"/>
      <c r="O159" s="33"/>
      <c r="P159" s="69"/>
      <c r="Q159" s="33">
        <v>1</v>
      </c>
      <c r="R159" s="33">
        <v>1</v>
      </c>
      <c r="S159" s="33">
        <v>1</v>
      </c>
      <c r="T159" s="33">
        <v>1</v>
      </c>
      <c r="U159" s="33"/>
      <c r="V159" s="33"/>
      <c r="W159" s="69"/>
      <c r="X159" s="33">
        <v>1</v>
      </c>
      <c r="Y159" s="33">
        <v>1</v>
      </c>
      <c r="Z159" s="33">
        <v>1</v>
      </c>
      <c r="AA159" s="33">
        <v>1</v>
      </c>
      <c r="AB159" s="33"/>
      <c r="AC159" s="33"/>
      <c r="AD159" s="33">
        <v>1</v>
      </c>
      <c r="AE159" s="33">
        <v>1</v>
      </c>
      <c r="AF159" s="33">
        <v>1</v>
      </c>
      <c r="AG159" s="33">
        <v>1</v>
      </c>
      <c r="AH159" s="33">
        <v>1</v>
      </c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  <c r="HI159" s="33"/>
      <c r="HJ159" s="33"/>
      <c r="HK159" s="33"/>
      <c r="HL159" s="33"/>
      <c r="HM159" s="33"/>
      <c r="HN159" s="33"/>
      <c r="HO159" s="33"/>
      <c r="HP159" s="33"/>
      <c r="HQ159" s="33"/>
      <c r="HR159" s="33"/>
      <c r="HS159" s="33"/>
      <c r="HT159" s="33"/>
      <c r="HU159" s="33"/>
      <c r="HV159" s="33"/>
      <c r="HW159" s="33"/>
      <c r="HX159" s="33"/>
      <c r="HY159" s="33"/>
      <c r="HZ159" s="33"/>
      <c r="IA159" s="33"/>
      <c r="IB159" s="33"/>
      <c r="IC159" s="33"/>
      <c r="ID159" s="33"/>
      <c r="IE159" s="33"/>
      <c r="IF159" s="33"/>
      <c r="IG159" s="33"/>
      <c r="IH159" s="33"/>
      <c r="II159" s="33"/>
      <c r="IJ159" s="33"/>
      <c r="IK159" s="33"/>
      <c r="IL159" s="33"/>
      <c r="IM159" s="33"/>
      <c r="IN159" s="33"/>
      <c r="IO159" s="33"/>
      <c r="IP159" s="33"/>
      <c r="IQ159" s="33"/>
      <c r="IR159" s="33"/>
      <c r="IS159" s="33"/>
      <c r="IT159" s="33"/>
      <c r="IU159" s="33"/>
      <c r="IV159" s="33"/>
      <c r="IW159" s="33"/>
      <c r="IX159" s="33"/>
      <c r="IY159" s="33"/>
      <c r="IZ159" s="33"/>
      <c r="JA159" s="33"/>
      <c r="JB159" s="33"/>
      <c r="JC159" s="33"/>
      <c r="JD159" s="33"/>
      <c r="JE159" s="33"/>
      <c r="JF159" s="33"/>
      <c r="JG159" s="33"/>
      <c r="JH159" s="33"/>
      <c r="JI159" s="33"/>
      <c r="JJ159" s="33"/>
      <c r="JK159" s="33"/>
      <c r="JL159" s="33"/>
      <c r="JM159" s="33"/>
      <c r="JN159" s="33"/>
      <c r="JO159" s="33"/>
      <c r="JP159" s="33"/>
      <c r="JQ159" s="33"/>
      <c r="JR159" s="33"/>
      <c r="JS159" s="33"/>
      <c r="JT159" s="33"/>
      <c r="JU159" s="33"/>
      <c r="JV159" s="33"/>
      <c r="JW159" s="33"/>
      <c r="JX159" s="33"/>
      <c r="JY159" s="33"/>
      <c r="JZ159" s="33"/>
      <c r="KA159" s="33"/>
      <c r="KB159" s="33"/>
      <c r="KC159" s="33"/>
      <c r="KD159" s="33"/>
      <c r="KE159" s="33"/>
      <c r="KF159" s="33"/>
      <c r="KG159" s="33"/>
      <c r="KH159" s="33"/>
      <c r="KI159" s="33"/>
      <c r="KJ159" s="33"/>
      <c r="KK159" s="33"/>
      <c r="KL159" s="33"/>
      <c r="KM159" s="33"/>
      <c r="KN159" s="33"/>
      <c r="KO159" s="33"/>
      <c r="KP159" s="33"/>
      <c r="KQ159" s="33"/>
      <c r="KR159" s="33"/>
      <c r="KS159" s="33"/>
      <c r="KT159" s="33"/>
      <c r="KU159" s="33"/>
      <c r="KV159" s="33"/>
      <c r="KW159" s="33"/>
      <c r="KX159" s="33"/>
      <c r="KY159" s="33"/>
      <c r="KZ159" s="33"/>
      <c r="LA159" s="33"/>
      <c r="LB159" s="33"/>
      <c r="LC159" s="33"/>
      <c r="LD159" s="33"/>
      <c r="LE159" s="33"/>
      <c r="LF159" s="33"/>
      <c r="LG159" s="33"/>
      <c r="LH159" s="33"/>
      <c r="LI159" s="33"/>
      <c r="LJ159" s="33"/>
      <c r="LK159" s="33"/>
      <c r="LL159" s="33"/>
      <c r="LM159" s="33"/>
      <c r="LN159" s="33"/>
      <c r="LO159" s="33"/>
      <c r="LP159" s="33"/>
      <c r="LQ159" s="33"/>
      <c r="LR159" s="33"/>
      <c r="LS159" s="33"/>
      <c r="LT159" s="33"/>
      <c r="LU159" s="33"/>
      <c r="LV159" s="33"/>
      <c r="LW159" s="33"/>
      <c r="LX159" s="33"/>
      <c r="LY159" s="33"/>
      <c r="LZ159" s="33"/>
      <c r="MA159" s="33"/>
      <c r="MB159" s="33"/>
      <c r="MC159" s="33"/>
      <c r="MD159" s="33"/>
      <c r="ME159" s="33"/>
      <c r="MF159" s="33"/>
      <c r="MG159" s="33"/>
      <c r="MH159" s="33"/>
      <c r="MI159" s="33"/>
      <c r="MJ159" s="33"/>
      <c r="MK159" s="33"/>
      <c r="ML159" s="33"/>
      <c r="MM159" s="33"/>
      <c r="MN159" s="33"/>
      <c r="MO159" s="33"/>
      <c r="MP159" s="33"/>
      <c r="MQ159" s="33"/>
      <c r="MR159" s="33"/>
      <c r="MS159" s="33"/>
      <c r="MT159" s="33"/>
      <c r="MU159" s="33"/>
      <c r="MV159" s="33"/>
      <c r="MW159" s="33"/>
      <c r="MX159" s="33"/>
      <c r="MY159" s="33"/>
      <c r="MZ159" s="33"/>
      <c r="NA159" s="33"/>
      <c r="NB159" s="33"/>
      <c r="NC159" s="33"/>
      <c r="ND159" s="33"/>
      <c r="NE159" s="33"/>
      <c r="NF159" s="33"/>
      <c r="NG159" s="33"/>
      <c r="NH159" s="33"/>
      <c r="NI159" s="33"/>
      <c r="NJ159" s="33"/>
      <c r="NK159" s="33"/>
      <c r="NL159" s="33"/>
      <c r="NM159" s="33"/>
      <c r="NN159" s="33"/>
      <c r="NO159" s="33"/>
      <c r="NP159" s="33"/>
      <c r="NQ159" s="33"/>
      <c r="NR159" s="33"/>
      <c r="NS159" s="33"/>
      <c r="NT159" s="31">
        <f>COUNTIF(F159:NS159,"1")</f>
        <v>14</v>
      </c>
      <c r="NU159" s="80">
        <f>NT160/NT159</f>
        <v>1</v>
      </c>
      <c r="NV159" s="29" t="str">
        <f>+IF(NX159&gt;=1,"1",0)</f>
        <v>1</v>
      </c>
      <c r="NW159" s="38">
        <f>MOD(ROW(NW159),2)</f>
        <v>1</v>
      </c>
      <c r="NX159" s="35">
        <f>COUNTIF(F159:AU159,"1")</f>
        <v>14</v>
      </c>
      <c r="NY159" s="80">
        <f t="shared" si="270"/>
        <v>1</v>
      </c>
      <c r="NZ159" s="29">
        <f>+IF(OB159&gt;=1,"1",0)</f>
        <v>0</v>
      </c>
      <c r="OA159" s="38">
        <f>MOD(ROW(OA159),2)</f>
        <v>1</v>
      </c>
      <c r="OB159" s="35">
        <f>COUNTIF(AV159:CK159,"1")</f>
        <v>0</v>
      </c>
      <c r="OC159" s="80" t="e">
        <f>OB160/OB159</f>
        <v>#DIV/0!</v>
      </c>
      <c r="OD159" s="29">
        <f>+IF(OF159&gt;=1,"1",0)</f>
        <v>0</v>
      </c>
      <c r="OE159" s="38">
        <f>MOD(ROW(OE159),2)</f>
        <v>1</v>
      </c>
      <c r="OF159" s="35">
        <f>COUNTIF(CL159:EA159,"1")</f>
        <v>0</v>
      </c>
      <c r="OG159" s="80" t="e">
        <f>OF160/OF159</f>
        <v>#DIV/0!</v>
      </c>
      <c r="OH159" s="29">
        <f>+IF(OJ159&gt;=1,"1",0)</f>
        <v>0</v>
      </c>
      <c r="OI159" s="38">
        <f>MOD(ROW(OI159),2)</f>
        <v>1</v>
      </c>
      <c r="OJ159" s="35">
        <f>COUNTIF(EB159:FQ159,"1")</f>
        <v>0</v>
      </c>
      <c r="OK159" s="79" t="e">
        <f>OJ160/OJ159</f>
        <v>#DIV/0!</v>
      </c>
      <c r="OL159" s="29">
        <f>+IF(ON159&gt;=1,"1",0)</f>
        <v>0</v>
      </c>
      <c r="OM159" s="38">
        <f>MOD(ROW(OM159),2)</f>
        <v>1</v>
      </c>
      <c r="ON159" s="35">
        <f>COUNTIF(FR159:HG159,"1")</f>
        <v>0</v>
      </c>
      <c r="OO159" s="79" t="e">
        <f>ON160/ON159</f>
        <v>#DIV/0!</v>
      </c>
      <c r="OP159" s="29">
        <f>+IF(OR159&gt;=1,"1",0)</f>
        <v>0</v>
      </c>
      <c r="OQ159" s="38">
        <f>MOD(ROW(OQ159),2)</f>
        <v>1</v>
      </c>
      <c r="OR159" s="35">
        <f>COUNTIF(HH159:IW159,"1")</f>
        <v>0</v>
      </c>
      <c r="OS159" s="79" t="e">
        <f>OR160/OR159</f>
        <v>#DIV/0!</v>
      </c>
      <c r="OT159" s="29">
        <f>+IF(OV159&gt;=1,"1",0)</f>
        <v>0</v>
      </c>
      <c r="OU159" s="38">
        <f>MOD(ROW(OU159),2)</f>
        <v>1</v>
      </c>
      <c r="OV159" s="35">
        <f>COUNTIF(IX159:KM159,"1")</f>
        <v>0</v>
      </c>
      <c r="OW159" s="79" t="e">
        <f>OV160/OV159</f>
        <v>#DIV/0!</v>
      </c>
      <c r="OX159" s="29">
        <f>+IF(OZ159&gt;=1,"1",0)</f>
        <v>0</v>
      </c>
      <c r="OY159" s="38">
        <f>MOD(ROW(OY159),2)</f>
        <v>1</v>
      </c>
      <c r="OZ159" s="35">
        <f>COUNTIF(KN159:MC159,"1")</f>
        <v>0</v>
      </c>
      <c r="PA159" s="79" t="e">
        <f>OZ160/OZ159</f>
        <v>#DIV/0!</v>
      </c>
      <c r="PB159" s="29">
        <f>+IF(PD159&gt;=1,"1",0)</f>
        <v>0</v>
      </c>
      <c r="PC159" s="38">
        <f>MOD(ROW(PC159),2)</f>
        <v>1</v>
      </c>
      <c r="PD159" s="35">
        <f>COUNTIF(MD159:NS159,"1")</f>
        <v>0</v>
      </c>
      <c r="PE159" s="79" t="e">
        <f>PD160/PD159</f>
        <v>#DIV/0!</v>
      </c>
    </row>
    <row r="160" spans="1:421" ht="15.75" customHeight="1" outlineLevel="1" thickBot="1" x14ac:dyDescent="0.3">
      <c r="C160" s="83"/>
      <c r="D160" s="72"/>
      <c r="E160" s="54" t="s">
        <v>9</v>
      </c>
      <c r="F160" s="34"/>
      <c r="G160" s="34"/>
      <c r="H160" s="34"/>
      <c r="I160" s="34"/>
      <c r="J160" s="34"/>
      <c r="K160" s="34"/>
      <c r="L160" s="34"/>
      <c r="M160" s="34" t="s">
        <v>75</v>
      </c>
      <c r="N160" s="34"/>
      <c r="O160" s="34"/>
      <c r="P160" s="70"/>
      <c r="Q160" s="34" t="s">
        <v>75</v>
      </c>
      <c r="R160" s="34" t="s">
        <v>75</v>
      </c>
      <c r="S160" s="34" t="s">
        <v>75</v>
      </c>
      <c r="T160" s="34" t="s">
        <v>75</v>
      </c>
      <c r="U160" s="34"/>
      <c r="V160" s="34"/>
      <c r="W160" s="70"/>
      <c r="X160" s="34" t="s">
        <v>75</v>
      </c>
      <c r="Y160" s="34" t="s">
        <v>75</v>
      </c>
      <c r="Z160" s="34" t="s">
        <v>75</v>
      </c>
      <c r="AA160" s="34" t="s">
        <v>75</v>
      </c>
      <c r="AB160" s="34"/>
      <c r="AC160" s="34"/>
      <c r="AD160" s="34" t="s">
        <v>75</v>
      </c>
      <c r="AE160" s="34" t="s">
        <v>75</v>
      </c>
      <c r="AF160" s="34" t="s">
        <v>75</v>
      </c>
      <c r="AG160" s="34" t="s">
        <v>75</v>
      </c>
      <c r="AH160" s="34" t="s">
        <v>75</v>
      </c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  <c r="HB160" s="34"/>
      <c r="HC160" s="34"/>
      <c r="HD160" s="34"/>
      <c r="HE160" s="34"/>
      <c r="HF160" s="34"/>
      <c r="HG160" s="34"/>
      <c r="HH160" s="34"/>
      <c r="HI160" s="34"/>
      <c r="HJ160" s="34"/>
      <c r="HK160" s="34"/>
      <c r="HL160" s="34"/>
      <c r="HM160" s="34"/>
      <c r="HN160" s="34"/>
      <c r="HO160" s="34"/>
      <c r="HP160" s="34"/>
      <c r="HQ160" s="34"/>
      <c r="HR160" s="34"/>
      <c r="HS160" s="34"/>
      <c r="HT160" s="34"/>
      <c r="HU160" s="34"/>
      <c r="HV160" s="34"/>
      <c r="HW160" s="34"/>
      <c r="HX160" s="34"/>
      <c r="HY160" s="34"/>
      <c r="HZ160" s="34"/>
      <c r="IA160" s="34"/>
      <c r="IB160" s="34"/>
      <c r="IC160" s="34"/>
      <c r="ID160" s="34"/>
      <c r="IE160" s="34"/>
      <c r="IF160" s="34"/>
      <c r="IG160" s="34"/>
      <c r="IH160" s="34"/>
      <c r="II160" s="34"/>
      <c r="IJ160" s="34"/>
      <c r="IK160" s="34"/>
      <c r="IL160" s="34"/>
      <c r="IM160" s="34"/>
      <c r="IN160" s="34"/>
      <c r="IO160" s="34"/>
      <c r="IP160" s="34"/>
      <c r="IQ160" s="34"/>
      <c r="IR160" s="34"/>
      <c r="IS160" s="34"/>
      <c r="IT160" s="34"/>
      <c r="IU160" s="34"/>
      <c r="IV160" s="34"/>
      <c r="IW160" s="34"/>
      <c r="IX160" s="34"/>
      <c r="IY160" s="34"/>
      <c r="IZ160" s="34"/>
      <c r="JA160" s="34"/>
      <c r="JB160" s="34"/>
      <c r="JC160" s="34"/>
      <c r="JD160" s="34"/>
      <c r="JE160" s="34"/>
      <c r="JF160" s="34"/>
      <c r="JG160" s="34"/>
      <c r="JH160" s="34"/>
      <c r="JI160" s="34"/>
      <c r="JJ160" s="34"/>
      <c r="JK160" s="34"/>
      <c r="JL160" s="34"/>
      <c r="JM160" s="34"/>
      <c r="JN160" s="34"/>
      <c r="JO160" s="34"/>
      <c r="JP160" s="34"/>
      <c r="JQ160" s="34"/>
      <c r="JR160" s="34"/>
      <c r="JS160" s="34"/>
      <c r="JT160" s="34"/>
      <c r="JU160" s="34"/>
      <c r="JV160" s="34"/>
      <c r="JW160" s="34"/>
      <c r="JX160" s="34"/>
      <c r="JY160" s="34"/>
      <c r="JZ160" s="34"/>
      <c r="KA160" s="34"/>
      <c r="KB160" s="34"/>
      <c r="KC160" s="34"/>
      <c r="KD160" s="34"/>
      <c r="KE160" s="34"/>
      <c r="KF160" s="34"/>
      <c r="KG160" s="34"/>
      <c r="KH160" s="34"/>
      <c r="KI160" s="34"/>
      <c r="KJ160" s="34"/>
      <c r="KK160" s="34"/>
      <c r="KL160" s="34"/>
      <c r="KM160" s="34"/>
      <c r="KN160" s="34"/>
      <c r="KO160" s="34"/>
      <c r="KP160" s="34"/>
      <c r="KQ160" s="34"/>
      <c r="KR160" s="34"/>
      <c r="KS160" s="34"/>
      <c r="KT160" s="34"/>
      <c r="KU160" s="34"/>
      <c r="KV160" s="34"/>
      <c r="KW160" s="34"/>
      <c r="KX160" s="34"/>
      <c r="KY160" s="34"/>
      <c r="KZ160" s="34"/>
      <c r="LA160" s="34"/>
      <c r="LB160" s="34"/>
      <c r="LC160" s="34"/>
      <c r="LD160" s="34"/>
      <c r="LE160" s="34"/>
      <c r="LF160" s="34"/>
      <c r="LG160" s="34"/>
      <c r="LH160" s="34"/>
      <c r="LI160" s="34"/>
      <c r="LJ160" s="34"/>
      <c r="LK160" s="34"/>
      <c r="LL160" s="34"/>
      <c r="LM160" s="34"/>
      <c r="LN160" s="34"/>
      <c r="LO160" s="34"/>
      <c r="LP160" s="34"/>
      <c r="LQ160" s="34"/>
      <c r="LR160" s="34"/>
      <c r="LS160" s="34"/>
      <c r="LT160" s="34"/>
      <c r="LU160" s="34"/>
      <c r="LV160" s="34"/>
      <c r="LW160" s="34"/>
      <c r="LX160" s="34"/>
      <c r="LY160" s="34"/>
      <c r="LZ160" s="34"/>
      <c r="MA160" s="34"/>
      <c r="MB160" s="34"/>
      <c r="MC160" s="34"/>
      <c r="MD160" s="34"/>
      <c r="ME160" s="34"/>
      <c r="MF160" s="34"/>
      <c r="MG160" s="34"/>
      <c r="MH160" s="34"/>
      <c r="MI160" s="34"/>
      <c r="MJ160" s="34"/>
      <c r="MK160" s="34"/>
      <c r="ML160" s="34"/>
      <c r="MM160" s="34"/>
      <c r="MN160" s="34"/>
      <c r="MO160" s="34"/>
      <c r="MP160" s="34"/>
      <c r="MQ160" s="34"/>
      <c r="MR160" s="34"/>
      <c r="MS160" s="34"/>
      <c r="MT160" s="34"/>
      <c r="MU160" s="34"/>
      <c r="MV160" s="34"/>
      <c r="MW160" s="34"/>
      <c r="MX160" s="34"/>
      <c r="MY160" s="34"/>
      <c r="MZ160" s="34"/>
      <c r="NA160" s="34"/>
      <c r="NB160" s="34"/>
      <c r="NC160" s="34"/>
      <c r="ND160" s="34"/>
      <c r="NE160" s="34"/>
      <c r="NF160" s="34"/>
      <c r="NG160" s="34"/>
      <c r="NH160" s="34"/>
      <c r="NI160" s="34"/>
      <c r="NJ160" s="34"/>
      <c r="NK160" s="34"/>
      <c r="NL160" s="34"/>
      <c r="NM160" s="34"/>
      <c r="NN160" s="34"/>
      <c r="NO160" s="34"/>
      <c r="NP160" s="34"/>
      <c r="NQ160" s="34"/>
      <c r="NR160" s="34"/>
      <c r="NS160" s="34"/>
      <c r="NT160" s="7">
        <f>COUNTIF(F160:NS160,"x")</f>
        <v>14</v>
      </c>
      <c r="NU160" s="81"/>
      <c r="NV160" s="32">
        <f>IF(NX160=0,"0",NX160/NX159)</f>
        <v>1</v>
      </c>
      <c r="NW160" s="37">
        <f>MOD(ROW(NW160),2)</f>
        <v>0</v>
      </c>
      <c r="NX160" s="36">
        <f>COUNTIF(F160:AU160,"x")</f>
        <v>14</v>
      </c>
      <c r="NY160" s="81"/>
      <c r="NZ160" s="32" t="str">
        <f>IF(OB160=0,"0",OB160/OB159)</f>
        <v>0</v>
      </c>
      <c r="OA160" s="37">
        <f>MOD(ROW(OA160),2)</f>
        <v>0</v>
      </c>
      <c r="OB160" s="36">
        <f>COUNTIF(AV160:CK160,"x")</f>
        <v>0</v>
      </c>
      <c r="OC160" s="81"/>
      <c r="OD160" s="32" t="str">
        <f>IF(OF160=0,"0",OF160/OF159)</f>
        <v>0</v>
      </c>
      <c r="OE160" s="37">
        <f>MOD(ROW(OE160),2)</f>
        <v>0</v>
      </c>
      <c r="OF160" s="36">
        <f>COUNTIF(CL160:EA160,"x")</f>
        <v>0</v>
      </c>
      <c r="OG160" s="81"/>
      <c r="OH160" s="32" t="str">
        <f>IF(OJ160=0,"0",OJ160/OJ159)</f>
        <v>0</v>
      </c>
      <c r="OI160" s="37">
        <f>MOD(ROW(OI160),2)</f>
        <v>0</v>
      </c>
      <c r="OJ160" s="36">
        <f>COUNTIF(EB160:FQ160,"x")</f>
        <v>0</v>
      </c>
      <c r="OK160" s="74"/>
      <c r="OL160" s="32" t="str">
        <f>IF(ON160=0,"0",ON160/ON159)</f>
        <v>0</v>
      </c>
      <c r="OM160" s="37">
        <f>MOD(ROW(OM160),2)</f>
        <v>0</v>
      </c>
      <c r="ON160" s="36">
        <f>COUNTIF(FR160:HG160,"x")</f>
        <v>0</v>
      </c>
      <c r="OO160" s="74"/>
      <c r="OP160" s="32" t="str">
        <f>IF(OR160=0,"0",OR160/OR159)</f>
        <v>0</v>
      </c>
      <c r="OQ160" s="37">
        <f>MOD(ROW(OQ160),2)</f>
        <v>0</v>
      </c>
      <c r="OR160" s="36">
        <f>COUNTIF(HH160:IW160,"x")</f>
        <v>0</v>
      </c>
      <c r="OS160" s="74"/>
      <c r="OT160" s="32" t="str">
        <f>IF(OV160=0,"0",OV160/OV159)</f>
        <v>0</v>
      </c>
      <c r="OU160" s="37">
        <f>MOD(ROW(OU160),2)</f>
        <v>0</v>
      </c>
      <c r="OV160" s="36">
        <f>COUNTIF(IX160:KM160,"x")</f>
        <v>0</v>
      </c>
      <c r="OW160" s="74"/>
      <c r="OX160" s="32" t="str">
        <f>IF(OZ160=0,"0",OZ160/OZ159)</f>
        <v>0</v>
      </c>
      <c r="OY160" s="37">
        <f>MOD(ROW(OY160),2)</f>
        <v>0</v>
      </c>
      <c r="OZ160" s="36">
        <f>COUNTIF(KN160:MC160,"x")</f>
        <v>0</v>
      </c>
      <c r="PA160" s="74"/>
      <c r="PB160" s="32" t="str">
        <f>IF(PD160=0,"0",PD160/PD159)</f>
        <v>0</v>
      </c>
      <c r="PC160" s="37">
        <f>MOD(ROW(PC160),2)</f>
        <v>0</v>
      </c>
      <c r="PD160" s="36">
        <f>COUNTIF(MD160:NS160,"x")</f>
        <v>0</v>
      </c>
      <c r="PE160" s="74"/>
    </row>
    <row r="161" spans="1:421" ht="15.75" customHeight="1" outlineLevel="1" x14ac:dyDescent="0.25">
      <c r="C161" s="82" t="s">
        <v>106</v>
      </c>
      <c r="D161" s="71" t="s">
        <v>73</v>
      </c>
      <c r="E161" s="53" t="s">
        <v>8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69"/>
      <c r="Q161" s="33"/>
      <c r="R161" s="33"/>
      <c r="S161" s="33"/>
      <c r="T161" s="33"/>
      <c r="U161" s="33"/>
      <c r="V161" s="33"/>
      <c r="W161" s="69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>
        <v>1</v>
      </c>
      <c r="AM161" s="33"/>
      <c r="AN161" s="33"/>
      <c r="AO161" s="33"/>
      <c r="AP161" s="33"/>
      <c r="AQ161" s="33"/>
      <c r="AR161" s="33">
        <v>1</v>
      </c>
      <c r="AS161" s="33">
        <v>1</v>
      </c>
      <c r="AT161" s="33">
        <v>1</v>
      </c>
      <c r="AU161" s="33">
        <v>1</v>
      </c>
      <c r="AV161" s="33">
        <v>1</v>
      </c>
      <c r="AW161" s="33"/>
      <c r="AX161" s="33"/>
      <c r="AY161" s="33">
        <v>1</v>
      </c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>
        <v>1</v>
      </c>
      <c r="BQ161" s="33">
        <v>1</v>
      </c>
      <c r="BR161" s="33"/>
      <c r="BS161" s="33"/>
      <c r="BT161" s="33">
        <v>1</v>
      </c>
      <c r="BU161" s="33">
        <v>1</v>
      </c>
      <c r="BV161" s="33">
        <v>1</v>
      </c>
      <c r="BW161" s="33">
        <v>1</v>
      </c>
      <c r="BX161" s="33">
        <v>1</v>
      </c>
      <c r="BY161" s="33"/>
      <c r="BZ161" s="33"/>
      <c r="CA161" s="33">
        <v>1</v>
      </c>
      <c r="CB161" s="33">
        <v>1</v>
      </c>
      <c r="CC161" s="33">
        <v>1</v>
      </c>
      <c r="CD161" s="33">
        <v>1</v>
      </c>
      <c r="CE161" s="33">
        <v>1</v>
      </c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33"/>
      <c r="HQ161" s="33"/>
      <c r="HR161" s="33"/>
      <c r="HS161" s="33"/>
      <c r="HT161" s="33"/>
      <c r="HU161" s="33"/>
      <c r="HV161" s="33"/>
      <c r="HW161" s="33"/>
      <c r="HX161" s="33"/>
      <c r="HY161" s="33"/>
      <c r="HZ161" s="33"/>
      <c r="IA161" s="33"/>
      <c r="IB161" s="33"/>
      <c r="IC161" s="33"/>
      <c r="ID161" s="33"/>
      <c r="IE161" s="33"/>
      <c r="IF161" s="33"/>
      <c r="IG161" s="33"/>
      <c r="IH161" s="33"/>
      <c r="II161" s="33"/>
      <c r="IJ161" s="33"/>
      <c r="IK161" s="33"/>
      <c r="IL161" s="33"/>
      <c r="IM161" s="33"/>
      <c r="IN161" s="33"/>
      <c r="IO161" s="33"/>
      <c r="IP161" s="33"/>
      <c r="IQ161" s="33"/>
      <c r="IR161" s="33"/>
      <c r="IS161" s="33"/>
      <c r="IT161" s="33"/>
      <c r="IU161" s="33"/>
      <c r="IV161" s="33"/>
      <c r="IW161" s="33"/>
      <c r="IX161" s="33"/>
      <c r="IY161" s="33"/>
      <c r="IZ161" s="33"/>
      <c r="JA161" s="33"/>
      <c r="JB161" s="33"/>
      <c r="JC161" s="33"/>
      <c r="JD161" s="33"/>
      <c r="JE161" s="33"/>
      <c r="JF161" s="33"/>
      <c r="JG161" s="33"/>
      <c r="JH161" s="33"/>
      <c r="JI161" s="33"/>
      <c r="JJ161" s="33"/>
      <c r="JK161" s="33"/>
      <c r="JL161" s="33"/>
      <c r="JM161" s="33"/>
      <c r="JN161" s="33"/>
      <c r="JO161" s="33"/>
      <c r="JP161" s="33"/>
      <c r="JQ161" s="33"/>
      <c r="JR161" s="33"/>
      <c r="JS161" s="33"/>
      <c r="JT161" s="33"/>
      <c r="JU161" s="33"/>
      <c r="JV161" s="33"/>
      <c r="JW161" s="33"/>
      <c r="JX161" s="33"/>
      <c r="JY161" s="33"/>
      <c r="JZ161" s="33"/>
      <c r="KA161" s="33"/>
      <c r="KB161" s="33"/>
      <c r="KC161" s="33"/>
      <c r="KD161" s="33"/>
      <c r="KE161" s="33"/>
      <c r="KF161" s="33"/>
      <c r="KG161" s="33"/>
      <c r="KH161" s="33"/>
      <c r="KI161" s="33"/>
      <c r="KJ161" s="33"/>
      <c r="KK161" s="33"/>
      <c r="KL161" s="33"/>
      <c r="KM161" s="33"/>
      <c r="KN161" s="33"/>
      <c r="KO161" s="33"/>
      <c r="KP161" s="33"/>
      <c r="KQ161" s="33"/>
      <c r="KR161" s="33"/>
      <c r="KS161" s="33"/>
      <c r="KT161" s="33"/>
      <c r="KU161" s="33"/>
      <c r="KV161" s="33"/>
      <c r="KW161" s="33"/>
      <c r="KX161" s="33"/>
      <c r="KY161" s="33"/>
      <c r="KZ161" s="33"/>
      <c r="LA161" s="33"/>
      <c r="LB161" s="33"/>
      <c r="LC161" s="33"/>
      <c r="LD161" s="33"/>
      <c r="LE161" s="33"/>
      <c r="LF161" s="33"/>
      <c r="LG161" s="33"/>
      <c r="LH161" s="33"/>
      <c r="LI161" s="33"/>
      <c r="LJ161" s="33"/>
      <c r="LK161" s="33"/>
      <c r="LL161" s="33"/>
      <c r="LM161" s="33"/>
      <c r="LN161" s="33"/>
      <c r="LO161" s="33"/>
      <c r="LP161" s="33"/>
      <c r="LQ161" s="33"/>
      <c r="LR161" s="33"/>
      <c r="LS161" s="33"/>
      <c r="LT161" s="33"/>
      <c r="LU161" s="33"/>
      <c r="LV161" s="33"/>
      <c r="LW161" s="33"/>
      <c r="LX161" s="33"/>
      <c r="LY161" s="33"/>
      <c r="LZ161" s="33"/>
      <c r="MA161" s="33"/>
      <c r="MB161" s="33"/>
      <c r="MC161" s="33"/>
      <c r="MD161" s="33"/>
      <c r="ME161" s="33"/>
      <c r="MF161" s="33"/>
      <c r="MG161" s="33"/>
      <c r="MH161" s="33"/>
      <c r="MI161" s="33"/>
      <c r="MJ161" s="33"/>
      <c r="MK161" s="33"/>
      <c r="ML161" s="33"/>
      <c r="MM161" s="33"/>
      <c r="MN161" s="33"/>
      <c r="MO161" s="33"/>
      <c r="MP161" s="33"/>
      <c r="MQ161" s="33"/>
      <c r="MR161" s="33"/>
      <c r="MS161" s="33"/>
      <c r="MT161" s="33"/>
      <c r="MU161" s="33"/>
      <c r="MV161" s="33"/>
      <c r="MW161" s="33"/>
      <c r="MX161" s="33"/>
      <c r="MY161" s="33"/>
      <c r="MZ161" s="33"/>
      <c r="NA161" s="33"/>
      <c r="NB161" s="33"/>
      <c r="NC161" s="33"/>
      <c r="ND161" s="33"/>
      <c r="NE161" s="33"/>
      <c r="NF161" s="33"/>
      <c r="NG161" s="33"/>
      <c r="NH161" s="33"/>
      <c r="NI161" s="33"/>
      <c r="NJ161" s="33"/>
      <c r="NK161" s="33"/>
      <c r="NL161" s="33"/>
      <c r="NM161" s="33"/>
      <c r="NN161" s="33"/>
      <c r="NO161" s="33"/>
      <c r="NP161" s="33"/>
      <c r="NQ161" s="33"/>
      <c r="NR161" s="33"/>
      <c r="NS161" s="33"/>
      <c r="NT161" s="31">
        <f>COUNTIF(F161:NS161,"1")</f>
        <v>19</v>
      </c>
      <c r="NU161" s="80">
        <f>NT162/NT161</f>
        <v>0.31578947368421051</v>
      </c>
      <c r="NV161" s="29" t="str">
        <f>+IF(NX161&gt;=1,"1",0)</f>
        <v>1</v>
      </c>
      <c r="NW161" s="38">
        <f t="shared" ref="NW161:NW164" si="310">MOD(ROW(NW161),2)</f>
        <v>1</v>
      </c>
      <c r="NX161" s="35">
        <f>COUNTIF(F161:AU161,"1")</f>
        <v>5</v>
      </c>
      <c r="NY161" s="80">
        <f t="shared" si="270"/>
        <v>1</v>
      </c>
      <c r="NZ161" s="29" t="str">
        <f>+IF(OB161&gt;=1,"1",0)</f>
        <v>1</v>
      </c>
      <c r="OA161" s="38">
        <f t="shared" ref="OA161:OA164" si="311">MOD(ROW(OA161),2)</f>
        <v>1</v>
      </c>
      <c r="OB161" s="35">
        <f>COUNTIF(AV161:CK161,"1")</f>
        <v>14</v>
      </c>
      <c r="OC161" s="80">
        <f>OB162/OB161</f>
        <v>7.1428571428571425E-2</v>
      </c>
      <c r="OD161" s="29">
        <f>+IF(OF161&gt;=1,"1",0)</f>
        <v>0</v>
      </c>
      <c r="OE161" s="38">
        <f t="shared" ref="OE161:OE164" si="312">MOD(ROW(OE161),2)</f>
        <v>1</v>
      </c>
      <c r="OF161" s="35">
        <f>COUNTIF(CL161:EA161,"1")</f>
        <v>0</v>
      </c>
      <c r="OG161" s="80" t="e">
        <f>OF162/OF161</f>
        <v>#DIV/0!</v>
      </c>
      <c r="OH161" s="29">
        <f>+IF(OJ161&gt;=1,"1",0)</f>
        <v>0</v>
      </c>
      <c r="OI161" s="38">
        <f t="shared" ref="OI161:OI164" si="313">MOD(ROW(OI161),2)</f>
        <v>1</v>
      </c>
      <c r="OJ161" s="35">
        <f>COUNTIF(EB161:FQ161,"1")</f>
        <v>0</v>
      </c>
      <c r="OK161" s="79" t="e">
        <f>OJ162/OJ161</f>
        <v>#DIV/0!</v>
      </c>
      <c r="OL161" s="29">
        <f>+IF(ON161&gt;=1,"1",0)</f>
        <v>0</v>
      </c>
      <c r="OM161" s="38">
        <f t="shared" ref="OM161:OM164" si="314">MOD(ROW(OM161),2)</f>
        <v>1</v>
      </c>
      <c r="ON161" s="35">
        <f>COUNTIF(FR161:HG161,"1")</f>
        <v>0</v>
      </c>
      <c r="OO161" s="79" t="e">
        <f>ON162/ON161</f>
        <v>#DIV/0!</v>
      </c>
      <c r="OP161" s="29">
        <f>+IF(OR161&gt;=1,"1",0)</f>
        <v>0</v>
      </c>
      <c r="OQ161" s="38">
        <f t="shared" ref="OQ161:OQ164" si="315">MOD(ROW(OQ161),2)</f>
        <v>1</v>
      </c>
      <c r="OR161" s="35">
        <f>COUNTIF(HH161:IW161,"1")</f>
        <v>0</v>
      </c>
      <c r="OS161" s="79" t="e">
        <f>OR162/OR161</f>
        <v>#DIV/0!</v>
      </c>
      <c r="OT161" s="29">
        <f>+IF(OV161&gt;=1,"1",0)</f>
        <v>0</v>
      </c>
      <c r="OU161" s="38">
        <f t="shared" ref="OU161:OU164" si="316">MOD(ROW(OU161),2)</f>
        <v>1</v>
      </c>
      <c r="OV161" s="35">
        <f>COUNTIF(IX161:KM161,"1")</f>
        <v>0</v>
      </c>
      <c r="OW161" s="79" t="e">
        <f>OV162/OV161</f>
        <v>#DIV/0!</v>
      </c>
      <c r="OX161" s="29">
        <f>+IF(OZ161&gt;=1,"1",0)</f>
        <v>0</v>
      </c>
      <c r="OY161" s="38">
        <f t="shared" ref="OY161:OY164" si="317">MOD(ROW(OY161),2)</f>
        <v>1</v>
      </c>
      <c r="OZ161" s="35">
        <f>COUNTIF(KN161:MC161,"1")</f>
        <v>0</v>
      </c>
      <c r="PA161" s="79" t="e">
        <f>OZ162/OZ161</f>
        <v>#DIV/0!</v>
      </c>
      <c r="PB161" s="29">
        <f>+IF(PD161&gt;=1,"1",0)</f>
        <v>0</v>
      </c>
      <c r="PC161" s="38">
        <f t="shared" ref="PC161:PC164" si="318">MOD(ROW(PC161),2)</f>
        <v>1</v>
      </c>
      <c r="PD161" s="35">
        <f>COUNTIF(MD161:NS161,"1")</f>
        <v>0</v>
      </c>
      <c r="PE161" s="79" t="e">
        <f>PD162/PD161</f>
        <v>#DIV/0!</v>
      </c>
    </row>
    <row r="162" spans="1:421" ht="15.75" customHeight="1" outlineLevel="1" thickBot="1" x14ac:dyDescent="0.3">
      <c r="C162" s="83"/>
      <c r="D162" s="72"/>
      <c r="E162" s="54" t="s">
        <v>9</v>
      </c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70"/>
      <c r="Q162" s="34"/>
      <c r="R162" s="34"/>
      <c r="S162" s="34"/>
      <c r="T162" s="34"/>
      <c r="U162" s="34"/>
      <c r="V162" s="34"/>
      <c r="W162" s="70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 t="s">
        <v>116</v>
      </c>
      <c r="AM162" s="34"/>
      <c r="AN162" s="34"/>
      <c r="AO162" s="34"/>
      <c r="AP162" s="34"/>
      <c r="AQ162" s="34"/>
      <c r="AR162" s="34" t="s">
        <v>116</v>
      </c>
      <c r="AS162" s="34" t="s">
        <v>116</v>
      </c>
      <c r="AT162" s="34" t="s">
        <v>116</v>
      </c>
      <c r="AU162" s="34" t="s">
        <v>116</v>
      </c>
      <c r="AV162" s="34" t="s">
        <v>116</v>
      </c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  <c r="HB162" s="34"/>
      <c r="HC162" s="34"/>
      <c r="HD162" s="34"/>
      <c r="HE162" s="34"/>
      <c r="HF162" s="34"/>
      <c r="HG162" s="34"/>
      <c r="HH162" s="34"/>
      <c r="HI162" s="34"/>
      <c r="HJ162" s="34"/>
      <c r="HK162" s="34"/>
      <c r="HL162" s="34"/>
      <c r="HM162" s="34"/>
      <c r="HN162" s="34"/>
      <c r="HO162" s="34"/>
      <c r="HP162" s="34"/>
      <c r="HQ162" s="34"/>
      <c r="HR162" s="34"/>
      <c r="HS162" s="34"/>
      <c r="HT162" s="34"/>
      <c r="HU162" s="34"/>
      <c r="HV162" s="34"/>
      <c r="HW162" s="34"/>
      <c r="HX162" s="34"/>
      <c r="HY162" s="34"/>
      <c r="HZ162" s="34"/>
      <c r="IA162" s="34"/>
      <c r="IB162" s="34"/>
      <c r="IC162" s="34"/>
      <c r="ID162" s="34"/>
      <c r="IE162" s="34"/>
      <c r="IF162" s="34"/>
      <c r="IG162" s="34"/>
      <c r="IH162" s="34"/>
      <c r="II162" s="34"/>
      <c r="IJ162" s="34"/>
      <c r="IK162" s="34"/>
      <c r="IL162" s="34"/>
      <c r="IM162" s="34"/>
      <c r="IN162" s="34"/>
      <c r="IO162" s="34"/>
      <c r="IP162" s="34"/>
      <c r="IQ162" s="34"/>
      <c r="IR162" s="34"/>
      <c r="IS162" s="34"/>
      <c r="IT162" s="34"/>
      <c r="IU162" s="34"/>
      <c r="IV162" s="34"/>
      <c r="IW162" s="34"/>
      <c r="IX162" s="34"/>
      <c r="IY162" s="34"/>
      <c r="IZ162" s="34"/>
      <c r="JA162" s="34"/>
      <c r="JB162" s="34"/>
      <c r="JC162" s="34"/>
      <c r="JD162" s="34"/>
      <c r="JE162" s="34"/>
      <c r="JF162" s="34"/>
      <c r="JG162" s="34"/>
      <c r="JH162" s="34"/>
      <c r="JI162" s="34"/>
      <c r="JJ162" s="34"/>
      <c r="JK162" s="34"/>
      <c r="JL162" s="34"/>
      <c r="JM162" s="34"/>
      <c r="JN162" s="34"/>
      <c r="JO162" s="34"/>
      <c r="JP162" s="34"/>
      <c r="JQ162" s="34"/>
      <c r="JR162" s="34"/>
      <c r="JS162" s="34"/>
      <c r="JT162" s="34"/>
      <c r="JU162" s="34"/>
      <c r="JV162" s="34"/>
      <c r="JW162" s="34"/>
      <c r="JX162" s="34"/>
      <c r="JY162" s="34"/>
      <c r="JZ162" s="34"/>
      <c r="KA162" s="34"/>
      <c r="KB162" s="34"/>
      <c r="KC162" s="34"/>
      <c r="KD162" s="34"/>
      <c r="KE162" s="34"/>
      <c r="KF162" s="34"/>
      <c r="KG162" s="34"/>
      <c r="KH162" s="34"/>
      <c r="KI162" s="34"/>
      <c r="KJ162" s="34"/>
      <c r="KK162" s="34"/>
      <c r="KL162" s="34"/>
      <c r="KM162" s="34"/>
      <c r="KN162" s="34"/>
      <c r="KO162" s="34"/>
      <c r="KP162" s="34"/>
      <c r="KQ162" s="34"/>
      <c r="KR162" s="34"/>
      <c r="KS162" s="34"/>
      <c r="KT162" s="34"/>
      <c r="KU162" s="34"/>
      <c r="KV162" s="34"/>
      <c r="KW162" s="34"/>
      <c r="KX162" s="34"/>
      <c r="KY162" s="34"/>
      <c r="KZ162" s="34"/>
      <c r="LA162" s="34"/>
      <c r="LB162" s="34"/>
      <c r="LC162" s="34"/>
      <c r="LD162" s="34"/>
      <c r="LE162" s="34"/>
      <c r="LF162" s="34"/>
      <c r="LG162" s="34"/>
      <c r="LH162" s="34"/>
      <c r="LI162" s="34"/>
      <c r="LJ162" s="34"/>
      <c r="LK162" s="34"/>
      <c r="LL162" s="34"/>
      <c r="LM162" s="34"/>
      <c r="LN162" s="34"/>
      <c r="LO162" s="34"/>
      <c r="LP162" s="34"/>
      <c r="LQ162" s="34"/>
      <c r="LR162" s="34"/>
      <c r="LS162" s="34"/>
      <c r="LT162" s="34"/>
      <c r="LU162" s="34"/>
      <c r="LV162" s="34"/>
      <c r="LW162" s="34"/>
      <c r="LX162" s="34"/>
      <c r="LY162" s="34"/>
      <c r="LZ162" s="34"/>
      <c r="MA162" s="34"/>
      <c r="MB162" s="34"/>
      <c r="MC162" s="34"/>
      <c r="MD162" s="34"/>
      <c r="ME162" s="34"/>
      <c r="MF162" s="34"/>
      <c r="MG162" s="34"/>
      <c r="MH162" s="34"/>
      <c r="MI162" s="34"/>
      <c r="MJ162" s="34"/>
      <c r="MK162" s="34"/>
      <c r="ML162" s="34"/>
      <c r="MM162" s="34"/>
      <c r="MN162" s="34"/>
      <c r="MO162" s="34"/>
      <c r="MP162" s="34"/>
      <c r="MQ162" s="34"/>
      <c r="MR162" s="34"/>
      <c r="MS162" s="34"/>
      <c r="MT162" s="34"/>
      <c r="MU162" s="34"/>
      <c r="MV162" s="34"/>
      <c r="MW162" s="34"/>
      <c r="MX162" s="34"/>
      <c r="MY162" s="34"/>
      <c r="MZ162" s="34"/>
      <c r="NA162" s="34"/>
      <c r="NB162" s="34"/>
      <c r="NC162" s="34"/>
      <c r="ND162" s="34"/>
      <c r="NE162" s="34"/>
      <c r="NF162" s="34"/>
      <c r="NG162" s="34"/>
      <c r="NH162" s="34"/>
      <c r="NI162" s="34"/>
      <c r="NJ162" s="34"/>
      <c r="NK162" s="34"/>
      <c r="NL162" s="34"/>
      <c r="NM162" s="34"/>
      <c r="NN162" s="34"/>
      <c r="NO162" s="34"/>
      <c r="NP162" s="34"/>
      <c r="NQ162" s="34"/>
      <c r="NR162" s="34"/>
      <c r="NS162" s="34"/>
      <c r="NT162" s="7">
        <f>COUNTIF(F162:NS162,"x")</f>
        <v>6</v>
      </c>
      <c r="NU162" s="81"/>
      <c r="NV162" s="32">
        <f>IF(NX162=0,"0",NX162/NX161)</f>
        <v>1</v>
      </c>
      <c r="NW162" s="37">
        <f t="shared" si="310"/>
        <v>0</v>
      </c>
      <c r="NX162" s="36">
        <f>COUNTIF(F162:AU162,"x")</f>
        <v>5</v>
      </c>
      <c r="NY162" s="81"/>
      <c r="NZ162" s="32">
        <f>IF(OB162=0,"0",OB162/OB161)</f>
        <v>7.1428571428571425E-2</v>
      </c>
      <c r="OA162" s="37">
        <f t="shared" si="311"/>
        <v>0</v>
      </c>
      <c r="OB162" s="36">
        <f>COUNTIF(AV162:CK162,"x")</f>
        <v>1</v>
      </c>
      <c r="OC162" s="81"/>
      <c r="OD162" s="32" t="str">
        <f>IF(OF162=0,"0",OF162/OF161)</f>
        <v>0</v>
      </c>
      <c r="OE162" s="37">
        <f t="shared" si="312"/>
        <v>0</v>
      </c>
      <c r="OF162" s="36">
        <f>COUNTIF(CL162:EA162,"x")</f>
        <v>0</v>
      </c>
      <c r="OG162" s="81"/>
      <c r="OH162" s="32" t="str">
        <f>IF(OJ162=0,"0",OJ162/OJ161)</f>
        <v>0</v>
      </c>
      <c r="OI162" s="37">
        <f t="shared" si="313"/>
        <v>0</v>
      </c>
      <c r="OJ162" s="36">
        <f>COUNTIF(EB162:FQ162,"x")</f>
        <v>0</v>
      </c>
      <c r="OK162" s="74"/>
      <c r="OL162" s="32" t="str">
        <f>IF(ON162=0,"0",ON162/ON161)</f>
        <v>0</v>
      </c>
      <c r="OM162" s="37">
        <f t="shared" si="314"/>
        <v>0</v>
      </c>
      <c r="ON162" s="36">
        <f>COUNTIF(FR162:HG162,"x")</f>
        <v>0</v>
      </c>
      <c r="OO162" s="74"/>
      <c r="OP162" s="32" t="str">
        <f>IF(OR162=0,"0",OR162/OR161)</f>
        <v>0</v>
      </c>
      <c r="OQ162" s="37">
        <f t="shared" si="315"/>
        <v>0</v>
      </c>
      <c r="OR162" s="36">
        <f>COUNTIF(HH162:IW162,"x")</f>
        <v>0</v>
      </c>
      <c r="OS162" s="74"/>
      <c r="OT162" s="32" t="str">
        <f>IF(OV162=0,"0",OV162/OV161)</f>
        <v>0</v>
      </c>
      <c r="OU162" s="37">
        <f t="shared" si="316"/>
        <v>0</v>
      </c>
      <c r="OV162" s="36">
        <f>COUNTIF(IX162:KM162,"x")</f>
        <v>0</v>
      </c>
      <c r="OW162" s="74"/>
      <c r="OX162" s="32" t="str">
        <f>IF(OZ162=0,"0",OZ162/OZ161)</f>
        <v>0</v>
      </c>
      <c r="OY162" s="37">
        <f t="shared" si="317"/>
        <v>0</v>
      </c>
      <c r="OZ162" s="36">
        <f>COUNTIF(KN162:MC162,"x")</f>
        <v>0</v>
      </c>
      <c r="PA162" s="74"/>
      <c r="PB162" s="32" t="str">
        <f>IF(PD162=0,"0",PD162/PD161)</f>
        <v>0</v>
      </c>
      <c r="PC162" s="37">
        <f t="shared" si="318"/>
        <v>0</v>
      </c>
      <c r="PD162" s="36">
        <f>COUNTIF(MD162:NS162,"x")</f>
        <v>0</v>
      </c>
      <c r="PE162" s="74"/>
    </row>
    <row r="163" spans="1:421" ht="15.75" customHeight="1" outlineLevel="1" x14ac:dyDescent="0.25">
      <c r="C163" s="82" t="s">
        <v>38</v>
      </c>
      <c r="D163" s="59"/>
      <c r="E163" s="53" t="s">
        <v>8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69"/>
      <c r="Q163" s="33"/>
      <c r="R163" s="33"/>
      <c r="S163" s="33"/>
      <c r="T163" s="33"/>
      <c r="U163" s="33"/>
      <c r="V163" s="33"/>
      <c r="W163" s="69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33"/>
      <c r="HQ163" s="33"/>
      <c r="HR163" s="33"/>
      <c r="HS163" s="33"/>
      <c r="HT163" s="33"/>
      <c r="HU163" s="33"/>
      <c r="HV163" s="33"/>
      <c r="HW163" s="33"/>
      <c r="HX163" s="33"/>
      <c r="HY163" s="33"/>
      <c r="HZ163" s="33"/>
      <c r="IA163" s="33"/>
      <c r="IB163" s="33"/>
      <c r="IC163" s="33"/>
      <c r="ID163" s="33"/>
      <c r="IE163" s="33"/>
      <c r="IF163" s="33"/>
      <c r="IG163" s="33"/>
      <c r="IH163" s="33"/>
      <c r="II163" s="33"/>
      <c r="IJ163" s="33"/>
      <c r="IK163" s="33"/>
      <c r="IL163" s="33"/>
      <c r="IM163" s="33"/>
      <c r="IN163" s="33"/>
      <c r="IO163" s="33"/>
      <c r="IP163" s="33"/>
      <c r="IQ163" s="33"/>
      <c r="IR163" s="33"/>
      <c r="IS163" s="33"/>
      <c r="IT163" s="33"/>
      <c r="IU163" s="33"/>
      <c r="IV163" s="33"/>
      <c r="IW163" s="33"/>
      <c r="IX163" s="33"/>
      <c r="IY163" s="33"/>
      <c r="IZ163" s="33"/>
      <c r="JA163" s="33"/>
      <c r="JB163" s="33"/>
      <c r="JC163" s="33"/>
      <c r="JD163" s="33"/>
      <c r="JE163" s="33"/>
      <c r="JF163" s="33"/>
      <c r="JG163" s="33"/>
      <c r="JH163" s="33"/>
      <c r="JI163" s="33"/>
      <c r="JJ163" s="33"/>
      <c r="JK163" s="33"/>
      <c r="JL163" s="33"/>
      <c r="JM163" s="33"/>
      <c r="JN163" s="33"/>
      <c r="JO163" s="33"/>
      <c r="JP163" s="33"/>
      <c r="JQ163" s="33"/>
      <c r="JR163" s="33"/>
      <c r="JS163" s="33"/>
      <c r="JT163" s="33"/>
      <c r="JU163" s="33"/>
      <c r="JV163" s="33"/>
      <c r="JW163" s="33"/>
      <c r="JX163" s="33"/>
      <c r="JY163" s="33"/>
      <c r="JZ163" s="33"/>
      <c r="KA163" s="33"/>
      <c r="KB163" s="33"/>
      <c r="KC163" s="33"/>
      <c r="KD163" s="33"/>
      <c r="KE163" s="33"/>
      <c r="KF163" s="33"/>
      <c r="KG163" s="33"/>
      <c r="KH163" s="33"/>
      <c r="KI163" s="33"/>
      <c r="KJ163" s="33"/>
      <c r="KK163" s="33"/>
      <c r="KL163" s="33"/>
      <c r="KM163" s="33"/>
      <c r="KN163" s="33"/>
      <c r="KO163" s="33"/>
      <c r="KP163" s="33"/>
      <c r="KQ163" s="33"/>
      <c r="KR163" s="33"/>
      <c r="KS163" s="33"/>
      <c r="KT163" s="33"/>
      <c r="KU163" s="33"/>
      <c r="KV163" s="33"/>
      <c r="KW163" s="33"/>
      <c r="KX163" s="33"/>
      <c r="KY163" s="33"/>
      <c r="KZ163" s="33"/>
      <c r="LA163" s="33"/>
      <c r="LB163" s="33"/>
      <c r="LC163" s="33"/>
      <c r="LD163" s="33"/>
      <c r="LE163" s="33"/>
      <c r="LF163" s="33"/>
      <c r="LG163" s="33"/>
      <c r="LH163" s="33"/>
      <c r="LI163" s="33"/>
      <c r="LJ163" s="33"/>
      <c r="LK163" s="33"/>
      <c r="LL163" s="33"/>
      <c r="LM163" s="33"/>
      <c r="LN163" s="33"/>
      <c r="LO163" s="33"/>
      <c r="LP163" s="33"/>
      <c r="LQ163" s="33"/>
      <c r="LR163" s="33"/>
      <c r="LS163" s="33"/>
      <c r="LT163" s="33"/>
      <c r="LU163" s="33"/>
      <c r="LV163" s="33"/>
      <c r="LW163" s="33"/>
      <c r="LX163" s="33"/>
      <c r="LY163" s="33"/>
      <c r="LZ163" s="33"/>
      <c r="MA163" s="33"/>
      <c r="MB163" s="33"/>
      <c r="MC163" s="33"/>
      <c r="MD163" s="33"/>
      <c r="ME163" s="33"/>
      <c r="MF163" s="33"/>
      <c r="MG163" s="33"/>
      <c r="MH163" s="33"/>
      <c r="MI163" s="33"/>
      <c r="MJ163" s="33"/>
      <c r="MK163" s="33"/>
      <c r="ML163" s="33"/>
      <c r="MM163" s="33"/>
      <c r="MN163" s="33"/>
      <c r="MO163" s="33"/>
      <c r="MP163" s="33"/>
      <c r="MQ163" s="33"/>
      <c r="MR163" s="33"/>
      <c r="MS163" s="33"/>
      <c r="MT163" s="33"/>
      <c r="MU163" s="33"/>
      <c r="MV163" s="33"/>
      <c r="MW163" s="33"/>
      <c r="MX163" s="33"/>
      <c r="MY163" s="33"/>
      <c r="MZ163" s="33"/>
      <c r="NA163" s="33"/>
      <c r="NB163" s="33"/>
      <c r="NC163" s="33"/>
      <c r="ND163" s="33"/>
      <c r="NE163" s="33"/>
      <c r="NF163" s="33"/>
      <c r="NG163" s="33"/>
      <c r="NH163" s="33"/>
      <c r="NI163" s="33"/>
      <c r="NJ163" s="33"/>
      <c r="NK163" s="33"/>
      <c r="NL163" s="33"/>
      <c r="NM163" s="33"/>
      <c r="NN163" s="33"/>
      <c r="NO163" s="33"/>
      <c r="NP163" s="33"/>
      <c r="NQ163" s="33"/>
      <c r="NR163" s="33"/>
      <c r="NS163" s="33"/>
      <c r="NT163" s="31">
        <f>COUNTIF(F163:NS163,"1")</f>
        <v>0</v>
      </c>
      <c r="NU163" s="80" t="e">
        <f>NT164/NT163</f>
        <v>#DIV/0!</v>
      </c>
      <c r="NV163" s="29">
        <f>+IF(NX163&gt;=1,"1",0)</f>
        <v>0</v>
      </c>
      <c r="NW163" s="38">
        <f t="shared" si="310"/>
        <v>1</v>
      </c>
      <c r="NX163" s="35">
        <f>COUNTIF(F163:AU163,"1")</f>
        <v>0</v>
      </c>
      <c r="NY163" s="80" t="e">
        <f t="shared" si="270"/>
        <v>#DIV/0!</v>
      </c>
      <c r="NZ163" s="29">
        <f>+IF(OB163&gt;=1,"1",0)</f>
        <v>0</v>
      </c>
      <c r="OA163" s="38">
        <f t="shared" si="311"/>
        <v>1</v>
      </c>
      <c r="OB163" s="35">
        <f>COUNTIF(AV163:CK163,"1")</f>
        <v>0</v>
      </c>
      <c r="OC163" s="80" t="e">
        <f>OB164/OB163</f>
        <v>#DIV/0!</v>
      </c>
      <c r="OD163" s="29">
        <f>+IF(OF163&gt;=1,"1",0)</f>
        <v>0</v>
      </c>
      <c r="OE163" s="38">
        <f t="shared" si="312"/>
        <v>1</v>
      </c>
      <c r="OF163" s="35">
        <f>COUNTIF(CL163:EA163,"1")</f>
        <v>0</v>
      </c>
      <c r="OG163" s="80" t="e">
        <f>OF164/OF163</f>
        <v>#DIV/0!</v>
      </c>
      <c r="OH163" s="29">
        <f>+IF(OJ163&gt;=1,"1",0)</f>
        <v>0</v>
      </c>
      <c r="OI163" s="38">
        <f t="shared" si="313"/>
        <v>1</v>
      </c>
      <c r="OJ163" s="35">
        <f>COUNTIF(EB163:FQ163,"1")</f>
        <v>0</v>
      </c>
      <c r="OK163" s="79" t="e">
        <f>OJ164/OJ163</f>
        <v>#DIV/0!</v>
      </c>
      <c r="OL163" s="29">
        <f>+IF(ON163&gt;=1,"1",0)</f>
        <v>0</v>
      </c>
      <c r="OM163" s="38">
        <f t="shared" si="314"/>
        <v>1</v>
      </c>
      <c r="ON163" s="35">
        <f>COUNTIF(FR163:HG163,"1")</f>
        <v>0</v>
      </c>
      <c r="OO163" s="79" t="e">
        <f>ON164/ON163</f>
        <v>#DIV/0!</v>
      </c>
      <c r="OP163" s="29">
        <f>+IF(OR163&gt;=1,"1",0)</f>
        <v>0</v>
      </c>
      <c r="OQ163" s="38">
        <f t="shared" si="315"/>
        <v>1</v>
      </c>
      <c r="OR163" s="35">
        <f>COUNTIF(HH163:IW163,"1")</f>
        <v>0</v>
      </c>
      <c r="OS163" s="79" t="e">
        <f>OR164/OR163</f>
        <v>#DIV/0!</v>
      </c>
      <c r="OT163" s="29">
        <f>+IF(OV163&gt;=1,"1",0)</f>
        <v>0</v>
      </c>
      <c r="OU163" s="38">
        <f t="shared" si="316"/>
        <v>1</v>
      </c>
      <c r="OV163" s="35">
        <f>COUNTIF(IX163:KM163,"1")</f>
        <v>0</v>
      </c>
      <c r="OW163" s="79" t="e">
        <f>OV164/OV163</f>
        <v>#DIV/0!</v>
      </c>
      <c r="OX163" s="29">
        <f>+IF(OZ163&gt;=1,"1",0)</f>
        <v>0</v>
      </c>
      <c r="OY163" s="38">
        <f t="shared" si="317"/>
        <v>1</v>
      </c>
      <c r="OZ163" s="35">
        <f>COUNTIF(KN163:MC163,"1")</f>
        <v>0</v>
      </c>
      <c r="PA163" s="79" t="e">
        <f>OZ164/OZ163</f>
        <v>#DIV/0!</v>
      </c>
      <c r="PB163" s="29">
        <f>+IF(PD163&gt;=1,"1",0)</f>
        <v>0</v>
      </c>
      <c r="PC163" s="38">
        <f t="shared" si="318"/>
        <v>1</v>
      </c>
      <c r="PD163" s="35">
        <f>COUNTIF(MD163:NS163,"1")</f>
        <v>0</v>
      </c>
      <c r="PE163" s="79" t="e">
        <f>PD164/PD163</f>
        <v>#DIV/0!</v>
      </c>
    </row>
    <row r="164" spans="1:421" ht="15.75" customHeight="1" outlineLevel="1" thickBot="1" x14ac:dyDescent="0.3">
      <c r="C164" s="83"/>
      <c r="D164" s="60"/>
      <c r="E164" s="54" t="s">
        <v>9</v>
      </c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70"/>
      <c r="Q164" s="34"/>
      <c r="R164" s="34"/>
      <c r="S164" s="34"/>
      <c r="T164" s="34"/>
      <c r="U164" s="34"/>
      <c r="V164" s="34"/>
      <c r="W164" s="70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  <c r="HB164" s="34"/>
      <c r="HC164" s="34"/>
      <c r="HD164" s="34"/>
      <c r="HE164" s="34"/>
      <c r="HF164" s="34"/>
      <c r="HG164" s="34"/>
      <c r="HH164" s="34"/>
      <c r="HI164" s="34"/>
      <c r="HJ164" s="34"/>
      <c r="HK164" s="34"/>
      <c r="HL164" s="34"/>
      <c r="HM164" s="34"/>
      <c r="HN164" s="34"/>
      <c r="HO164" s="34"/>
      <c r="HP164" s="34"/>
      <c r="HQ164" s="34"/>
      <c r="HR164" s="34"/>
      <c r="HS164" s="34"/>
      <c r="HT164" s="34"/>
      <c r="HU164" s="34"/>
      <c r="HV164" s="34"/>
      <c r="HW164" s="34"/>
      <c r="HX164" s="34"/>
      <c r="HY164" s="34"/>
      <c r="HZ164" s="34"/>
      <c r="IA164" s="34"/>
      <c r="IB164" s="34"/>
      <c r="IC164" s="34"/>
      <c r="ID164" s="34"/>
      <c r="IE164" s="34"/>
      <c r="IF164" s="34"/>
      <c r="IG164" s="34"/>
      <c r="IH164" s="34"/>
      <c r="II164" s="34"/>
      <c r="IJ164" s="34"/>
      <c r="IK164" s="34"/>
      <c r="IL164" s="34"/>
      <c r="IM164" s="34"/>
      <c r="IN164" s="34"/>
      <c r="IO164" s="34"/>
      <c r="IP164" s="34"/>
      <c r="IQ164" s="34"/>
      <c r="IR164" s="34"/>
      <c r="IS164" s="34"/>
      <c r="IT164" s="34"/>
      <c r="IU164" s="34"/>
      <c r="IV164" s="34"/>
      <c r="IW164" s="34"/>
      <c r="IX164" s="34"/>
      <c r="IY164" s="34"/>
      <c r="IZ164" s="34"/>
      <c r="JA164" s="34"/>
      <c r="JB164" s="34"/>
      <c r="JC164" s="34"/>
      <c r="JD164" s="34"/>
      <c r="JE164" s="34"/>
      <c r="JF164" s="34"/>
      <c r="JG164" s="34"/>
      <c r="JH164" s="34"/>
      <c r="JI164" s="34"/>
      <c r="JJ164" s="34"/>
      <c r="JK164" s="34"/>
      <c r="JL164" s="34"/>
      <c r="JM164" s="34"/>
      <c r="JN164" s="34"/>
      <c r="JO164" s="34"/>
      <c r="JP164" s="34"/>
      <c r="JQ164" s="34"/>
      <c r="JR164" s="34"/>
      <c r="JS164" s="34"/>
      <c r="JT164" s="34"/>
      <c r="JU164" s="34"/>
      <c r="JV164" s="34"/>
      <c r="JW164" s="34"/>
      <c r="JX164" s="34"/>
      <c r="JY164" s="34"/>
      <c r="JZ164" s="34"/>
      <c r="KA164" s="34"/>
      <c r="KB164" s="34"/>
      <c r="KC164" s="34"/>
      <c r="KD164" s="34"/>
      <c r="KE164" s="34"/>
      <c r="KF164" s="34"/>
      <c r="KG164" s="34"/>
      <c r="KH164" s="34"/>
      <c r="KI164" s="34"/>
      <c r="KJ164" s="34"/>
      <c r="KK164" s="34"/>
      <c r="KL164" s="34"/>
      <c r="KM164" s="34"/>
      <c r="KN164" s="34"/>
      <c r="KO164" s="34"/>
      <c r="KP164" s="34"/>
      <c r="KQ164" s="34"/>
      <c r="KR164" s="34"/>
      <c r="KS164" s="34"/>
      <c r="KT164" s="34"/>
      <c r="KU164" s="34"/>
      <c r="KV164" s="34"/>
      <c r="KW164" s="34"/>
      <c r="KX164" s="34"/>
      <c r="KY164" s="34"/>
      <c r="KZ164" s="34"/>
      <c r="LA164" s="34"/>
      <c r="LB164" s="34"/>
      <c r="LC164" s="34"/>
      <c r="LD164" s="34"/>
      <c r="LE164" s="34"/>
      <c r="LF164" s="34"/>
      <c r="LG164" s="34"/>
      <c r="LH164" s="34"/>
      <c r="LI164" s="34"/>
      <c r="LJ164" s="34"/>
      <c r="LK164" s="34"/>
      <c r="LL164" s="34"/>
      <c r="LM164" s="34"/>
      <c r="LN164" s="34"/>
      <c r="LO164" s="34"/>
      <c r="LP164" s="34"/>
      <c r="LQ164" s="34"/>
      <c r="LR164" s="34"/>
      <c r="LS164" s="34"/>
      <c r="LT164" s="34"/>
      <c r="LU164" s="34"/>
      <c r="LV164" s="34"/>
      <c r="LW164" s="34"/>
      <c r="LX164" s="34"/>
      <c r="LY164" s="34"/>
      <c r="LZ164" s="34"/>
      <c r="MA164" s="34"/>
      <c r="MB164" s="34"/>
      <c r="MC164" s="34"/>
      <c r="MD164" s="34"/>
      <c r="ME164" s="34"/>
      <c r="MF164" s="34"/>
      <c r="MG164" s="34"/>
      <c r="MH164" s="34"/>
      <c r="MI164" s="34"/>
      <c r="MJ164" s="34"/>
      <c r="MK164" s="34"/>
      <c r="ML164" s="34"/>
      <c r="MM164" s="34"/>
      <c r="MN164" s="34"/>
      <c r="MO164" s="34"/>
      <c r="MP164" s="34"/>
      <c r="MQ164" s="34"/>
      <c r="MR164" s="34"/>
      <c r="MS164" s="34"/>
      <c r="MT164" s="34"/>
      <c r="MU164" s="34"/>
      <c r="MV164" s="34"/>
      <c r="MW164" s="34"/>
      <c r="MX164" s="34"/>
      <c r="MY164" s="34"/>
      <c r="MZ164" s="34"/>
      <c r="NA164" s="34"/>
      <c r="NB164" s="34"/>
      <c r="NC164" s="34"/>
      <c r="ND164" s="34"/>
      <c r="NE164" s="34"/>
      <c r="NF164" s="34"/>
      <c r="NG164" s="34"/>
      <c r="NH164" s="34"/>
      <c r="NI164" s="34"/>
      <c r="NJ164" s="34"/>
      <c r="NK164" s="34"/>
      <c r="NL164" s="34"/>
      <c r="NM164" s="34"/>
      <c r="NN164" s="34"/>
      <c r="NO164" s="34"/>
      <c r="NP164" s="34"/>
      <c r="NQ164" s="34"/>
      <c r="NR164" s="34"/>
      <c r="NS164" s="34"/>
      <c r="NT164" s="7">
        <f>COUNTIF(F164:NS164,"x")</f>
        <v>0</v>
      </c>
      <c r="NU164" s="81"/>
      <c r="NV164" s="32" t="str">
        <f>IF(NX164=0,"0",NX164/NX163)</f>
        <v>0</v>
      </c>
      <c r="NW164" s="37">
        <f t="shared" si="310"/>
        <v>0</v>
      </c>
      <c r="NX164" s="36">
        <f>COUNTIF(F164:AU164,"x")</f>
        <v>0</v>
      </c>
      <c r="NY164" s="81"/>
      <c r="NZ164" s="32" t="str">
        <f>IF(OB164=0,"0",OB164/OB163)</f>
        <v>0</v>
      </c>
      <c r="OA164" s="37">
        <f t="shared" si="311"/>
        <v>0</v>
      </c>
      <c r="OB164" s="36">
        <f>COUNTIF(AV164:CK164,"x")</f>
        <v>0</v>
      </c>
      <c r="OC164" s="81"/>
      <c r="OD164" s="32" t="str">
        <f>IF(OF164=0,"0",OF164/OF163)</f>
        <v>0</v>
      </c>
      <c r="OE164" s="37">
        <f t="shared" si="312"/>
        <v>0</v>
      </c>
      <c r="OF164" s="36">
        <f>COUNTIF(CL164:EA164,"x")</f>
        <v>0</v>
      </c>
      <c r="OG164" s="81"/>
      <c r="OH164" s="32" t="str">
        <f>IF(OJ164=0,"0",OJ164/OJ163)</f>
        <v>0</v>
      </c>
      <c r="OI164" s="37">
        <f t="shared" si="313"/>
        <v>0</v>
      </c>
      <c r="OJ164" s="36">
        <f>COUNTIF(EB164:FQ164,"x")</f>
        <v>0</v>
      </c>
      <c r="OK164" s="74"/>
      <c r="OL164" s="32" t="str">
        <f>IF(ON164=0,"0",ON164/ON163)</f>
        <v>0</v>
      </c>
      <c r="OM164" s="37">
        <f t="shared" si="314"/>
        <v>0</v>
      </c>
      <c r="ON164" s="36">
        <f>COUNTIF(FR164:HG164,"x")</f>
        <v>0</v>
      </c>
      <c r="OO164" s="74"/>
      <c r="OP164" s="32" t="str">
        <f>IF(OR164=0,"0",OR164/OR163)</f>
        <v>0</v>
      </c>
      <c r="OQ164" s="37">
        <f t="shared" si="315"/>
        <v>0</v>
      </c>
      <c r="OR164" s="36">
        <f>COUNTIF(HH164:IW164,"x")</f>
        <v>0</v>
      </c>
      <c r="OS164" s="74"/>
      <c r="OT164" s="32" t="str">
        <f>IF(OV164=0,"0",OV164/OV163)</f>
        <v>0</v>
      </c>
      <c r="OU164" s="37">
        <f t="shared" si="316"/>
        <v>0</v>
      </c>
      <c r="OV164" s="36">
        <f>COUNTIF(IX164:KM164,"x")</f>
        <v>0</v>
      </c>
      <c r="OW164" s="74"/>
      <c r="OX164" s="32" t="str">
        <f>IF(OZ164=0,"0",OZ164/OZ163)</f>
        <v>0</v>
      </c>
      <c r="OY164" s="37">
        <f t="shared" si="317"/>
        <v>0</v>
      </c>
      <c r="OZ164" s="36">
        <f>COUNTIF(KN164:MC164,"x")</f>
        <v>0</v>
      </c>
      <c r="PA164" s="74"/>
      <c r="PB164" s="32" t="str">
        <f>IF(PD164=0,"0",PD164/PD163)</f>
        <v>0</v>
      </c>
      <c r="PC164" s="37">
        <f t="shared" si="318"/>
        <v>0</v>
      </c>
      <c r="PD164" s="36">
        <f>COUNTIF(MD164:NS164,"x")</f>
        <v>0</v>
      </c>
      <c r="PE164" s="74"/>
    </row>
    <row r="165" spans="1:421" ht="15.75" customHeight="1" outlineLevel="1" x14ac:dyDescent="0.25">
      <c r="C165" s="82" t="s">
        <v>107</v>
      </c>
      <c r="D165" s="59"/>
      <c r="E165" s="53" t="s">
        <v>8</v>
      </c>
      <c r="F165" s="33"/>
      <c r="G165" s="33"/>
      <c r="H165" s="33"/>
      <c r="I165" s="33"/>
      <c r="J165" s="33"/>
      <c r="K165" s="33"/>
      <c r="L165" s="33">
        <v>1</v>
      </c>
      <c r="M165" s="33">
        <v>1</v>
      </c>
      <c r="N165" s="33"/>
      <c r="O165" s="33"/>
      <c r="P165" s="69"/>
      <c r="Q165" s="33"/>
      <c r="R165" s="33"/>
      <c r="S165" s="33"/>
      <c r="T165" s="33"/>
      <c r="U165" s="33"/>
      <c r="V165" s="33"/>
      <c r="W165" s="69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  <c r="HI165" s="33"/>
      <c r="HJ165" s="33"/>
      <c r="HK165" s="33"/>
      <c r="HL165" s="33"/>
      <c r="HM165" s="33"/>
      <c r="HN165" s="33"/>
      <c r="HO165" s="33"/>
      <c r="HP165" s="33"/>
      <c r="HQ165" s="33"/>
      <c r="HR165" s="33"/>
      <c r="HS165" s="33"/>
      <c r="HT165" s="33"/>
      <c r="HU165" s="33"/>
      <c r="HV165" s="33"/>
      <c r="HW165" s="33"/>
      <c r="HX165" s="33"/>
      <c r="HY165" s="33"/>
      <c r="HZ165" s="33"/>
      <c r="IA165" s="33"/>
      <c r="IB165" s="33"/>
      <c r="IC165" s="33"/>
      <c r="ID165" s="33"/>
      <c r="IE165" s="33"/>
      <c r="IF165" s="33"/>
      <c r="IG165" s="33"/>
      <c r="IH165" s="33"/>
      <c r="II165" s="33"/>
      <c r="IJ165" s="33"/>
      <c r="IK165" s="33"/>
      <c r="IL165" s="33"/>
      <c r="IM165" s="33"/>
      <c r="IN165" s="33"/>
      <c r="IO165" s="33"/>
      <c r="IP165" s="33"/>
      <c r="IQ165" s="33"/>
      <c r="IR165" s="33"/>
      <c r="IS165" s="33"/>
      <c r="IT165" s="33"/>
      <c r="IU165" s="33"/>
      <c r="IV165" s="33"/>
      <c r="IW165" s="33"/>
      <c r="IX165" s="33"/>
      <c r="IY165" s="33"/>
      <c r="IZ165" s="33"/>
      <c r="JA165" s="33"/>
      <c r="JB165" s="33"/>
      <c r="JC165" s="33"/>
      <c r="JD165" s="33"/>
      <c r="JE165" s="33"/>
      <c r="JF165" s="33"/>
      <c r="JG165" s="33"/>
      <c r="JH165" s="33"/>
      <c r="JI165" s="33"/>
      <c r="JJ165" s="33"/>
      <c r="JK165" s="33"/>
      <c r="JL165" s="33"/>
      <c r="JM165" s="33"/>
      <c r="JN165" s="33"/>
      <c r="JO165" s="33"/>
      <c r="JP165" s="33"/>
      <c r="JQ165" s="33"/>
      <c r="JR165" s="33"/>
      <c r="JS165" s="33"/>
      <c r="JT165" s="33"/>
      <c r="JU165" s="33"/>
      <c r="JV165" s="33"/>
      <c r="JW165" s="33"/>
      <c r="JX165" s="33"/>
      <c r="JY165" s="33"/>
      <c r="JZ165" s="33"/>
      <c r="KA165" s="33"/>
      <c r="KB165" s="33"/>
      <c r="KC165" s="33"/>
      <c r="KD165" s="33"/>
      <c r="KE165" s="33"/>
      <c r="KF165" s="33"/>
      <c r="KG165" s="33"/>
      <c r="KH165" s="33"/>
      <c r="KI165" s="33"/>
      <c r="KJ165" s="33"/>
      <c r="KK165" s="33"/>
      <c r="KL165" s="33"/>
      <c r="KM165" s="33"/>
      <c r="KN165" s="33"/>
      <c r="KO165" s="33"/>
      <c r="KP165" s="33"/>
      <c r="KQ165" s="33"/>
      <c r="KR165" s="33"/>
      <c r="KS165" s="33"/>
      <c r="KT165" s="33"/>
      <c r="KU165" s="33"/>
      <c r="KV165" s="33"/>
      <c r="KW165" s="33"/>
      <c r="KX165" s="33"/>
      <c r="KY165" s="33"/>
      <c r="KZ165" s="33"/>
      <c r="LA165" s="33"/>
      <c r="LB165" s="33"/>
      <c r="LC165" s="33"/>
      <c r="LD165" s="33"/>
      <c r="LE165" s="33"/>
      <c r="LF165" s="33"/>
      <c r="LG165" s="33"/>
      <c r="LH165" s="33"/>
      <c r="LI165" s="33"/>
      <c r="LJ165" s="33"/>
      <c r="LK165" s="33"/>
      <c r="LL165" s="33"/>
      <c r="LM165" s="33"/>
      <c r="LN165" s="33"/>
      <c r="LO165" s="33"/>
      <c r="LP165" s="33"/>
      <c r="LQ165" s="33"/>
      <c r="LR165" s="33"/>
      <c r="LS165" s="33"/>
      <c r="LT165" s="33"/>
      <c r="LU165" s="33"/>
      <c r="LV165" s="33"/>
      <c r="LW165" s="33"/>
      <c r="LX165" s="33"/>
      <c r="LY165" s="33"/>
      <c r="LZ165" s="33"/>
      <c r="MA165" s="33"/>
      <c r="MB165" s="33"/>
      <c r="MC165" s="33"/>
      <c r="MD165" s="33"/>
      <c r="ME165" s="33"/>
      <c r="MF165" s="33"/>
      <c r="MG165" s="33"/>
      <c r="MH165" s="33"/>
      <c r="MI165" s="33"/>
      <c r="MJ165" s="33"/>
      <c r="MK165" s="33"/>
      <c r="ML165" s="33"/>
      <c r="MM165" s="33"/>
      <c r="MN165" s="33"/>
      <c r="MO165" s="33"/>
      <c r="MP165" s="33"/>
      <c r="MQ165" s="33"/>
      <c r="MR165" s="33"/>
      <c r="MS165" s="33"/>
      <c r="MT165" s="33"/>
      <c r="MU165" s="33"/>
      <c r="MV165" s="33"/>
      <c r="MW165" s="33"/>
      <c r="MX165" s="33"/>
      <c r="MY165" s="33"/>
      <c r="MZ165" s="33"/>
      <c r="NA165" s="33"/>
      <c r="NB165" s="33"/>
      <c r="NC165" s="33"/>
      <c r="ND165" s="33"/>
      <c r="NE165" s="33"/>
      <c r="NF165" s="33"/>
      <c r="NG165" s="33"/>
      <c r="NH165" s="33"/>
      <c r="NI165" s="33"/>
      <c r="NJ165" s="33"/>
      <c r="NK165" s="33"/>
      <c r="NL165" s="33"/>
      <c r="NM165" s="33"/>
      <c r="NN165" s="33"/>
      <c r="NO165" s="33"/>
      <c r="NP165" s="33"/>
      <c r="NQ165" s="33"/>
      <c r="NR165" s="33"/>
      <c r="NS165" s="33"/>
      <c r="NT165" s="31">
        <f>COUNTIF(F165:NS165,"1")</f>
        <v>2</v>
      </c>
      <c r="NU165" s="80">
        <f>NT166/NT165</f>
        <v>1</v>
      </c>
      <c r="NV165" s="29" t="str">
        <f>+IF(NX165&gt;=1,"1",0)</f>
        <v>1</v>
      </c>
      <c r="NW165" s="38">
        <f t="shared" ref="NW165:NW166" si="319">MOD(ROW(NW165),2)</f>
        <v>1</v>
      </c>
      <c r="NX165" s="35">
        <f>COUNTIF(F165:AU165,"1")</f>
        <v>2</v>
      </c>
      <c r="NY165" s="80">
        <f t="shared" ref="NY165:NY173" si="320">NX166/NX165</f>
        <v>1</v>
      </c>
      <c r="NZ165" s="29">
        <f>+IF(OB165&gt;=1,"1",0)</f>
        <v>0</v>
      </c>
      <c r="OA165" s="38">
        <f t="shared" ref="OA165:OA166" si="321">MOD(ROW(OA165),2)</f>
        <v>1</v>
      </c>
      <c r="OB165" s="35">
        <f>COUNTIF(AV165:CK165,"1")</f>
        <v>0</v>
      </c>
      <c r="OC165" s="80" t="e">
        <f>OB166/OB165</f>
        <v>#DIV/0!</v>
      </c>
      <c r="OD165" s="29">
        <f>+IF(OF165&gt;=1,"1",0)</f>
        <v>0</v>
      </c>
      <c r="OE165" s="38">
        <f t="shared" ref="OE165:OE166" si="322">MOD(ROW(OE165),2)</f>
        <v>1</v>
      </c>
      <c r="OF165" s="35">
        <f>COUNTIF(CL165:EA165,"1")</f>
        <v>0</v>
      </c>
      <c r="OG165" s="80" t="e">
        <f>OF166/OF165</f>
        <v>#DIV/0!</v>
      </c>
      <c r="OH165" s="29">
        <f>+IF(OJ165&gt;=1,"1",0)</f>
        <v>0</v>
      </c>
      <c r="OI165" s="38">
        <f t="shared" ref="OI165:OI166" si="323">MOD(ROW(OI165),2)</f>
        <v>1</v>
      </c>
      <c r="OJ165" s="35">
        <f>COUNTIF(EB165:FQ165,"1")</f>
        <v>0</v>
      </c>
      <c r="OK165" s="79" t="e">
        <f>OJ166/OJ165</f>
        <v>#DIV/0!</v>
      </c>
      <c r="OL165" s="29">
        <f>+IF(ON165&gt;=1,"1",0)</f>
        <v>0</v>
      </c>
      <c r="OM165" s="38">
        <f t="shared" ref="OM165:OM166" si="324">MOD(ROW(OM165),2)</f>
        <v>1</v>
      </c>
      <c r="ON165" s="35">
        <f>COUNTIF(FR165:HG165,"1")</f>
        <v>0</v>
      </c>
      <c r="OO165" s="79" t="e">
        <f>ON166/ON165</f>
        <v>#DIV/0!</v>
      </c>
      <c r="OP165" s="29">
        <f>+IF(OR165&gt;=1,"1",0)</f>
        <v>0</v>
      </c>
      <c r="OQ165" s="38">
        <f t="shared" ref="OQ165:OQ166" si="325">MOD(ROW(OQ165),2)</f>
        <v>1</v>
      </c>
      <c r="OR165" s="35">
        <f>COUNTIF(HH165:IW165,"1")</f>
        <v>0</v>
      </c>
      <c r="OS165" s="79" t="e">
        <f>OR166/OR165</f>
        <v>#DIV/0!</v>
      </c>
      <c r="OT165" s="29">
        <f>+IF(OV165&gt;=1,"1",0)</f>
        <v>0</v>
      </c>
      <c r="OU165" s="38">
        <f t="shared" ref="OU165:OU166" si="326">MOD(ROW(OU165),2)</f>
        <v>1</v>
      </c>
      <c r="OV165" s="35">
        <f>COUNTIF(IX165:KM165,"1")</f>
        <v>0</v>
      </c>
      <c r="OW165" s="79" t="e">
        <f>OV166/OV165</f>
        <v>#DIV/0!</v>
      </c>
      <c r="OX165" s="29">
        <f>+IF(OZ165&gt;=1,"1",0)</f>
        <v>0</v>
      </c>
      <c r="OY165" s="38">
        <f t="shared" ref="OY165:OY166" si="327">MOD(ROW(OY165),2)</f>
        <v>1</v>
      </c>
      <c r="OZ165" s="35">
        <f>COUNTIF(KN165:MC165,"1")</f>
        <v>0</v>
      </c>
      <c r="PA165" s="79" t="e">
        <f>OZ166/OZ165</f>
        <v>#DIV/0!</v>
      </c>
      <c r="PB165" s="29">
        <f>+IF(PD165&gt;=1,"1",0)</f>
        <v>0</v>
      </c>
      <c r="PC165" s="38">
        <f t="shared" ref="PC165:PC166" si="328">MOD(ROW(PC165),2)</f>
        <v>1</v>
      </c>
      <c r="PD165" s="35">
        <f>COUNTIF(MD165:NS165,"1")</f>
        <v>0</v>
      </c>
      <c r="PE165" s="79" t="e">
        <f>PD166/PD165</f>
        <v>#DIV/0!</v>
      </c>
    </row>
    <row r="166" spans="1:421" ht="15.75" customHeight="1" outlineLevel="1" thickBot="1" x14ac:dyDescent="0.3">
      <c r="C166" s="83"/>
      <c r="D166" s="60"/>
      <c r="E166" s="54" t="s">
        <v>9</v>
      </c>
      <c r="F166" s="34"/>
      <c r="G166" s="34"/>
      <c r="H166" s="34"/>
      <c r="I166" s="34"/>
      <c r="J166" s="34"/>
      <c r="K166" s="34"/>
      <c r="L166" s="34" t="s">
        <v>75</v>
      </c>
      <c r="M166" s="34" t="s">
        <v>75</v>
      </c>
      <c r="N166" s="34"/>
      <c r="O166" s="34"/>
      <c r="P166" s="70"/>
      <c r="Q166" s="34"/>
      <c r="R166" s="34"/>
      <c r="S166" s="34"/>
      <c r="T166" s="34"/>
      <c r="U166" s="34"/>
      <c r="V166" s="34"/>
      <c r="W166" s="70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  <c r="FS166" s="34"/>
      <c r="FT166" s="34"/>
      <c r="FU166" s="34"/>
      <c r="FV166" s="34"/>
      <c r="FW166" s="34"/>
      <c r="FX166" s="34"/>
      <c r="FY166" s="34"/>
      <c r="FZ166" s="34"/>
      <c r="GA166" s="34"/>
      <c r="GB166" s="34"/>
      <c r="GC166" s="34"/>
      <c r="GD166" s="34"/>
      <c r="GE166" s="34"/>
      <c r="GF166" s="34"/>
      <c r="GG166" s="34"/>
      <c r="GH166" s="34"/>
      <c r="GI166" s="34"/>
      <c r="GJ166" s="34"/>
      <c r="GK166" s="34"/>
      <c r="GL166" s="34"/>
      <c r="GM166" s="34"/>
      <c r="GN166" s="34"/>
      <c r="GO166" s="34"/>
      <c r="GP166" s="34"/>
      <c r="GQ166" s="34"/>
      <c r="GR166" s="34"/>
      <c r="GS166" s="34"/>
      <c r="GT166" s="34"/>
      <c r="GU166" s="34"/>
      <c r="GV166" s="34"/>
      <c r="GW166" s="34"/>
      <c r="GX166" s="34"/>
      <c r="GY166" s="34"/>
      <c r="GZ166" s="34"/>
      <c r="HA166" s="34"/>
      <c r="HB166" s="34"/>
      <c r="HC166" s="34"/>
      <c r="HD166" s="34"/>
      <c r="HE166" s="34"/>
      <c r="HF166" s="34"/>
      <c r="HG166" s="34"/>
      <c r="HH166" s="34"/>
      <c r="HI166" s="34"/>
      <c r="HJ166" s="34"/>
      <c r="HK166" s="34"/>
      <c r="HL166" s="34"/>
      <c r="HM166" s="34"/>
      <c r="HN166" s="34"/>
      <c r="HO166" s="34"/>
      <c r="HP166" s="34"/>
      <c r="HQ166" s="34"/>
      <c r="HR166" s="34"/>
      <c r="HS166" s="34"/>
      <c r="HT166" s="34"/>
      <c r="HU166" s="34"/>
      <c r="HV166" s="34"/>
      <c r="HW166" s="34"/>
      <c r="HX166" s="34"/>
      <c r="HY166" s="34"/>
      <c r="HZ166" s="34"/>
      <c r="IA166" s="34"/>
      <c r="IB166" s="34"/>
      <c r="IC166" s="34"/>
      <c r="ID166" s="34"/>
      <c r="IE166" s="34"/>
      <c r="IF166" s="34"/>
      <c r="IG166" s="34"/>
      <c r="IH166" s="34"/>
      <c r="II166" s="34"/>
      <c r="IJ166" s="34"/>
      <c r="IK166" s="34"/>
      <c r="IL166" s="34"/>
      <c r="IM166" s="34"/>
      <c r="IN166" s="34"/>
      <c r="IO166" s="34"/>
      <c r="IP166" s="34"/>
      <c r="IQ166" s="34"/>
      <c r="IR166" s="34"/>
      <c r="IS166" s="34"/>
      <c r="IT166" s="34"/>
      <c r="IU166" s="34"/>
      <c r="IV166" s="34"/>
      <c r="IW166" s="34"/>
      <c r="IX166" s="34"/>
      <c r="IY166" s="34"/>
      <c r="IZ166" s="34"/>
      <c r="JA166" s="34"/>
      <c r="JB166" s="34"/>
      <c r="JC166" s="34"/>
      <c r="JD166" s="34"/>
      <c r="JE166" s="34"/>
      <c r="JF166" s="34"/>
      <c r="JG166" s="34"/>
      <c r="JH166" s="34"/>
      <c r="JI166" s="34"/>
      <c r="JJ166" s="34"/>
      <c r="JK166" s="34"/>
      <c r="JL166" s="34"/>
      <c r="JM166" s="34"/>
      <c r="JN166" s="34"/>
      <c r="JO166" s="34"/>
      <c r="JP166" s="34"/>
      <c r="JQ166" s="34"/>
      <c r="JR166" s="34"/>
      <c r="JS166" s="34"/>
      <c r="JT166" s="34"/>
      <c r="JU166" s="34"/>
      <c r="JV166" s="34"/>
      <c r="JW166" s="34"/>
      <c r="JX166" s="34"/>
      <c r="JY166" s="34"/>
      <c r="JZ166" s="34"/>
      <c r="KA166" s="34"/>
      <c r="KB166" s="34"/>
      <c r="KC166" s="34"/>
      <c r="KD166" s="34"/>
      <c r="KE166" s="34"/>
      <c r="KF166" s="34"/>
      <c r="KG166" s="34"/>
      <c r="KH166" s="34"/>
      <c r="KI166" s="34"/>
      <c r="KJ166" s="34"/>
      <c r="KK166" s="34"/>
      <c r="KL166" s="34"/>
      <c r="KM166" s="34"/>
      <c r="KN166" s="34"/>
      <c r="KO166" s="34"/>
      <c r="KP166" s="34"/>
      <c r="KQ166" s="34"/>
      <c r="KR166" s="34"/>
      <c r="KS166" s="34"/>
      <c r="KT166" s="34"/>
      <c r="KU166" s="34"/>
      <c r="KV166" s="34"/>
      <c r="KW166" s="34"/>
      <c r="KX166" s="34"/>
      <c r="KY166" s="34"/>
      <c r="KZ166" s="34"/>
      <c r="LA166" s="34"/>
      <c r="LB166" s="34"/>
      <c r="LC166" s="34"/>
      <c r="LD166" s="34"/>
      <c r="LE166" s="34"/>
      <c r="LF166" s="34"/>
      <c r="LG166" s="34"/>
      <c r="LH166" s="34"/>
      <c r="LI166" s="34"/>
      <c r="LJ166" s="34"/>
      <c r="LK166" s="34"/>
      <c r="LL166" s="34"/>
      <c r="LM166" s="34"/>
      <c r="LN166" s="34"/>
      <c r="LO166" s="34"/>
      <c r="LP166" s="34"/>
      <c r="LQ166" s="34"/>
      <c r="LR166" s="34"/>
      <c r="LS166" s="34"/>
      <c r="LT166" s="34"/>
      <c r="LU166" s="34"/>
      <c r="LV166" s="34"/>
      <c r="LW166" s="34"/>
      <c r="LX166" s="34"/>
      <c r="LY166" s="34"/>
      <c r="LZ166" s="34"/>
      <c r="MA166" s="34"/>
      <c r="MB166" s="34"/>
      <c r="MC166" s="34"/>
      <c r="MD166" s="34"/>
      <c r="ME166" s="34"/>
      <c r="MF166" s="34"/>
      <c r="MG166" s="34"/>
      <c r="MH166" s="34"/>
      <c r="MI166" s="34"/>
      <c r="MJ166" s="34"/>
      <c r="MK166" s="34"/>
      <c r="ML166" s="34"/>
      <c r="MM166" s="34"/>
      <c r="MN166" s="34"/>
      <c r="MO166" s="34"/>
      <c r="MP166" s="34"/>
      <c r="MQ166" s="34"/>
      <c r="MR166" s="34"/>
      <c r="MS166" s="34"/>
      <c r="MT166" s="34"/>
      <c r="MU166" s="34"/>
      <c r="MV166" s="34"/>
      <c r="MW166" s="34"/>
      <c r="MX166" s="34"/>
      <c r="MY166" s="34"/>
      <c r="MZ166" s="34"/>
      <c r="NA166" s="34"/>
      <c r="NB166" s="34"/>
      <c r="NC166" s="34"/>
      <c r="ND166" s="34"/>
      <c r="NE166" s="34"/>
      <c r="NF166" s="34"/>
      <c r="NG166" s="34"/>
      <c r="NH166" s="34"/>
      <c r="NI166" s="34"/>
      <c r="NJ166" s="34"/>
      <c r="NK166" s="34"/>
      <c r="NL166" s="34"/>
      <c r="NM166" s="34"/>
      <c r="NN166" s="34"/>
      <c r="NO166" s="34"/>
      <c r="NP166" s="34"/>
      <c r="NQ166" s="34"/>
      <c r="NR166" s="34"/>
      <c r="NS166" s="34"/>
      <c r="NT166" s="7">
        <f>COUNTIF(F166:NS166,"x")</f>
        <v>2</v>
      </c>
      <c r="NU166" s="81"/>
      <c r="NV166" s="32">
        <f>IF(NX166=0,"0",NX166/NX165)</f>
        <v>1</v>
      </c>
      <c r="NW166" s="37">
        <f t="shared" si="319"/>
        <v>0</v>
      </c>
      <c r="NX166" s="36">
        <f>COUNTIF(F166:AU166,"x")</f>
        <v>2</v>
      </c>
      <c r="NY166" s="81"/>
      <c r="NZ166" s="32" t="str">
        <f>IF(OB166=0,"0",OB166/OB165)</f>
        <v>0</v>
      </c>
      <c r="OA166" s="37">
        <f t="shared" si="321"/>
        <v>0</v>
      </c>
      <c r="OB166" s="36">
        <f>COUNTIF(AV166:CK166,"x")</f>
        <v>0</v>
      </c>
      <c r="OC166" s="81"/>
      <c r="OD166" s="32" t="str">
        <f>IF(OF166=0,"0",OF166/OF165)</f>
        <v>0</v>
      </c>
      <c r="OE166" s="37">
        <f t="shared" si="322"/>
        <v>0</v>
      </c>
      <c r="OF166" s="36">
        <f>COUNTIF(CL166:EA166,"x")</f>
        <v>0</v>
      </c>
      <c r="OG166" s="81"/>
      <c r="OH166" s="32" t="str">
        <f>IF(OJ166=0,"0",OJ166/OJ165)</f>
        <v>0</v>
      </c>
      <c r="OI166" s="37">
        <f t="shared" si="323"/>
        <v>0</v>
      </c>
      <c r="OJ166" s="36">
        <f>COUNTIF(EB166:FQ166,"x")</f>
        <v>0</v>
      </c>
      <c r="OK166" s="74"/>
      <c r="OL166" s="32" t="str">
        <f>IF(ON166=0,"0",ON166/ON165)</f>
        <v>0</v>
      </c>
      <c r="OM166" s="37">
        <f t="shared" si="324"/>
        <v>0</v>
      </c>
      <c r="ON166" s="36">
        <f>COUNTIF(FR166:HG166,"x")</f>
        <v>0</v>
      </c>
      <c r="OO166" s="74"/>
      <c r="OP166" s="32" t="str">
        <f>IF(OR166=0,"0",OR166/OR165)</f>
        <v>0</v>
      </c>
      <c r="OQ166" s="37">
        <f t="shared" si="325"/>
        <v>0</v>
      </c>
      <c r="OR166" s="36">
        <f>COUNTIF(HH166:IW166,"x")</f>
        <v>0</v>
      </c>
      <c r="OS166" s="74"/>
      <c r="OT166" s="32" t="str">
        <f>IF(OV166=0,"0",OV166/OV165)</f>
        <v>0</v>
      </c>
      <c r="OU166" s="37">
        <f t="shared" si="326"/>
        <v>0</v>
      </c>
      <c r="OV166" s="36">
        <f>COUNTIF(IX166:KM166,"x")</f>
        <v>0</v>
      </c>
      <c r="OW166" s="74"/>
      <c r="OX166" s="32" t="str">
        <f>IF(OZ166=0,"0",OZ166/OZ165)</f>
        <v>0</v>
      </c>
      <c r="OY166" s="37">
        <f t="shared" si="327"/>
        <v>0</v>
      </c>
      <c r="OZ166" s="36">
        <f>COUNTIF(KN166:MC166,"x")</f>
        <v>0</v>
      </c>
      <c r="PA166" s="74"/>
      <c r="PB166" s="32" t="str">
        <f>IF(PD166=0,"0",PD166/PD165)</f>
        <v>0</v>
      </c>
      <c r="PC166" s="37">
        <f t="shared" si="328"/>
        <v>0</v>
      </c>
      <c r="PD166" s="36">
        <f>COUNTIF(MD166:NS166,"x")</f>
        <v>0</v>
      </c>
      <c r="PE166" s="74"/>
    </row>
    <row r="167" spans="1:421" ht="15" customHeight="1" x14ac:dyDescent="0.25">
      <c r="A167" s="18"/>
      <c r="B167" s="18"/>
      <c r="C167" s="94" t="s">
        <v>40</v>
      </c>
      <c r="D167" s="57"/>
      <c r="E167" s="51" t="s">
        <v>8</v>
      </c>
      <c r="F167" s="12">
        <f>COUNTIF(F169:F172,"1")</f>
        <v>0</v>
      </c>
      <c r="G167" s="12">
        <f>COUNTIF(G169:G172,"1")</f>
        <v>0</v>
      </c>
      <c r="H167" s="12">
        <f>COUNTIF(H169:H172,"1")</f>
        <v>0</v>
      </c>
      <c r="I167" s="12">
        <f>COUNTIF(I169:I172,"1")</f>
        <v>0</v>
      </c>
      <c r="J167" s="12">
        <f>COUNTIF(J169:J172,"1")</f>
        <v>0</v>
      </c>
      <c r="K167" s="12">
        <f>COUNTIF(K169:K172,"1")</f>
        <v>0</v>
      </c>
      <c r="L167" s="12">
        <f>COUNTIF(L169:L172,"1")</f>
        <v>0</v>
      </c>
      <c r="M167" s="12">
        <f>COUNTIF(M169:M172,"1")</f>
        <v>0</v>
      </c>
      <c r="N167" s="12">
        <f>COUNTIF(N169:N172,"1")</f>
        <v>0</v>
      </c>
      <c r="O167" s="12">
        <f>COUNTIF(O169:O172,"1")</f>
        <v>0</v>
      </c>
      <c r="P167" s="69">
        <f>COUNTIF(P169:P172,"1")</f>
        <v>0</v>
      </c>
      <c r="Q167" s="12">
        <f>COUNTIF(Q169:Q172,"1")</f>
        <v>0</v>
      </c>
      <c r="R167" s="12">
        <f>COUNTIF(R169:R172,"1")</f>
        <v>0</v>
      </c>
      <c r="S167" s="12">
        <f>COUNTIF(S169:S172,"1")</f>
        <v>0</v>
      </c>
      <c r="T167" s="12">
        <f>COUNTIF(T169:T172,"1")</f>
        <v>0</v>
      </c>
      <c r="U167" s="12">
        <f>COUNTIF(U169:U172,"1")</f>
        <v>0</v>
      </c>
      <c r="V167" s="12">
        <f>COUNTIF(V169:V172,"1")</f>
        <v>0</v>
      </c>
      <c r="W167" s="69">
        <f>COUNTIF(W169:W172,"1")</f>
        <v>0</v>
      </c>
      <c r="X167" s="12">
        <f>COUNTIF(X169:X172,"1")</f>
        <v>0</v>
      </c>
      <c r="Y167" s="12">
        <f>COUNTIF(Y169:Y172,"1")</f>
        <v>0</v>
      </c>
      <c r="Z167" s="12">
        <f>COUNTIF(Z169:Z172,"1")</f>
        <v>0</v>
      </c>
      <c r="AA167" s="12">
        <f>COUNTIF(AA169:AA172,"1")</f>
        <v>0</v>
      </c>
      <c r="AB167" s="12">
        <f>COUNTIF(AB169:AB172,"1")</f>
        <v>0</v>
      </c>
      <c r="AC167" s="12">
        <f>COUNTIF(AC169:AC172,"1")</f>
        <v>0</v>
      </c>
      <c r="AD167" s="12">
        <f>COUNTIF(AD169:AD172,"1")</f>
        <v>0</v>
      </c>
      <c r="AE167" s="12">
        <f>COUNTIF(AE169:AE172,"1")</f>
        <v>0</v>
      </c>
      <c r="AF167" s="12">
        <f>COUNTIF(AF169:AF172,"1")</f>
        <v>0</v>
      </c>
      <c r="AG167" s="12">
        <f>COUNTIF(AG169:AG172,"1")</f>
        <v>0</v>
      </c>
      <c r="AH167" s="12">
        <f>COUNTIF(AH169:AH172,"1")</f>
        <v>0</v>
      </c>
      <c r="AI167" s="12">
        <f>COUNTIF(AI169:AI172,"1")</f>
        <v>0</v>
      </c>
      <c r="AJ167" s="12">
        <f>COUNTIF(AJ169:AJ172,"1")</f>
        <v>0</v>
      </c>
      <c r="AK167" s="12">
        <f>COUNTIF(AK169:AK172,"1")</f>
        <v>0</v>
      </c>
      <c r="AL167" s="12">
        <f>COUNTIF(AL169:AL172,"1")</f>
        <v>0</v>
      </c>
      <c r="AM167" s="12">
        <f>COUNTIF(AM169:AM172,"1")</f>
        <v>0</v>
      </c>
      <c r="AN167" s="12">
        <f>COUNTIF(AN169:AN172,"1")</f>
        <v>0</v>
      </c>
      <c r="AO167" s="12">
        <f>COUNTIF(AO169:AO172,"1")</f>
        <v>0</v>
      </c>
      <c r="AP167" s="12">
        <f>COUNTIF(AP169:AP172,"1")</f>
        <v>0</v>
      </c>
      <c r="AQ167" s="12">
        <f>COUNTIF(AQ169:AQ172,"1")</f>
        <v>0</v>
      </c>
      <c r="AR167" s="12">
        <f>COUNTIF(AR169:AR172,"1")</f>
        <v>0</v>
      </c>
      <c r="AS167" s="12">
        <f>COUNTIF(AS169:AS172,"1")</f>
        <v>0</v>
      </c>
      <c r="AT167" s="12">
        <f>COUNTIF(AT169:AT172,"1")</f>
        <v>0</v>
      </c>
      <c r="AU167" s="12">
        <f>COUNTIF(AU169:AU172,"1")</f>
        <v>0</v>
      </c>
      <c r="AV167" s="12">
        <f>COUNTIF(AV169:AV172,"1")</f>
        <v>0</v>
      </c>
      <c r="AW167" s="12">
        <f>COUNTIF(AW169:AW172,"1")</f>
        <v>0</v>
      </c>
      <c r="AX167" s="12">
        <f>COUNTIF(AX169:AX172,"1")</f>
        <v>0</v>
      </c>
      <c r="AY167" s="12">
        <f>COUNTIF(AY169:AY172,"1")</f>
        <v>0</v>
      </c>
      <c r="AZ167" s="12">
        <f>COUNTIF(AZ169:AZ172,"1")</f>
        <v>0</v>
      </c>
      <c r="BA167" s="12">
        <f>COUNTIF(BA169:BA172,"1")</f>
        <v>0</v>
      </c>
      <c r="BB167" s="12">
        <f>COUNTIF(BB169:BB172,"1")</f>
        <v>0</v>
      </c>
      <c r="BC167" s="12">
        <f>COUNTIF(BC169:BC172,"1")</f>
        <v>0</v>
      </c>
      <c r="BD167" s="12">
        <f>COUNTIF(BD169:BD172,"1")</f>
        <v>0</v>
      </c>
      <c r="BE167" s="12">
        <f>COUNTIF(BE169:BE172,"1")</f>
        <v>0</v>
      </c>
      <c r="BF167" s="12">
        <f>COUNTIF(BF169:BF172,"1")</f>
        <v>0</v>
      </c>
      <c r="BG167" s="12">
        <f>COUNTIF(BG169:BG172,"1")</f>
        <v>0</v>
      </c>
      <c r="BH167" s="12">
        <f>COUNTIF(BH169:BH172,"1")</f>
        <v>0</v>
      </c>
      <c r="BI167" s="12">
        <f>COUNTIF(BI169:BI172,"1")</f>
        <v>0</v>
      </c>
      <c r="BJ167" s="12">
        <f>COUNTIF(BJ169:BJ172,"1")</f>
        <v>0</v>
      </c>
      <c r="BK167" s="12">
        <f>COUNTIF(BK169:BK172,"1")</f>
        <v>0</v>
      </c>
      <c r="BL167" s="12">
        <f>COUNTIF(BL169:BL172,"1")</f>
        <v>0</v>
      </c>
      <c r="BM167" s="12">
        <f>COUNTIF(BM169:BM172,"1")</f>
        <v>0</v>
      </c>
      <c r="BN167" s="12">
        <f>COUNTIF(BN169:BN172,"1")</f>
        <v>0</v>
      </c>
      <c r="BO167" s="12">
        <f>COUNTIF(BO169:BO172,"1")</f>
        <v>0</v>
      </c>
      <c r="BP167" s="12">
        <f>COUNTIF(BP169:BP172,"1")</f>
        <v>0</v>
      </c>
      <c r="BQ167" s="12">
        <f>COUNTIF(BQ169:BQ172,"1")</f>
        <v>0</v>
      </c>
      <c r="BR167" s="12">
        <f>COUNTIF(BR169:BR172,"1")</f>
        <v>0</v>
      </c>
      <c r="BS167" s="12">
        <f>COUNTIF(BS169:BS172,"1")</f>
        <v>0</v>
      </c>
      <c r="BT167" s="12">
        <f>COUNTIF(BT169:BT172,"1")</f>
        <v>0</v>
      </c>
      <c r="BU167" s="12">
        <f>COUNTIF(BU169:BU172,"1")</f>
        <v>0</v>
      </c>
      <c r="BV167" s="12">
        <f>COUNTIF(BV169:BV172,"1")</f>
        <v>0</v>
      </c>
      <c r="BW167" s="12">
        <f>COUNTIF(BW169:BW172,"1")</f>
        <v>0</v>
      </c>
      <c r="BX167" s="12">
        <f>COUNTIF(BX169:BX172,"1")</f>
        <v>0</v>
      </c>
      <c r="BY167" s="12">
        <f>COUNTIF(BY169:BY172,"1")</f>
        <v>0</v>
      </c>
      <c r="BZ167" s="12">
        <f>COUNTIF(BZ169:BZ172,"1")</f>
        <v>0</v>
      </c>
      <c r="CA167" s="12">
        <f>COUNTIF(CA169:CA172,"1")</f>
        <v>0</v>
      </c>
      <c r="CB167" s="12">
        <f>COUNTIF(CB169:CB172,"1")</f>
        <v>0</v>
      </c>
      <c r="CC167" s="12">
        <f>COUNTIF(CC169:CC172,"1")</f>
        <v>0</v>
      </c>
      <c r="CD167" s="12">
        <f>COUNTIF(CD169:CD172,"1")</f>
        <v>0</v>
      </c>
      <c r="CE167" s="12">
        <f>COUNTIF(CE169:CE172,"1")</f>
        <v>0</v>
      </c>
      <c r="CF167" s="12">
        <f>COUNTIF(CF169:CF172,"1")</f>
        <v>0</v>
      </c>
      <c r="CG167" s="12">
        <f>COUNTIF(CG169:CG172,"1")</f>
        <v>0</v>
      </c>
      <c r="CH167" s="12">
        <f>COUNTIF(CH169:CH172,"1")</f>
        <v>0</v>
      </c>
      <c r="CI167" s="12">
        <f>COUNTIF(CI169:CI172,"1")</f>
        <v>0</v>
      </c>
      <c r="CJ167" s="12">
        <f>COUNTIF(CJ169:CJ172,"1")</f>
        <v>0</v>
      </c>
      <c r="CK167" s="12">
        <f>COUNTIF(CK169:CK172,"1")</f>
        <v>0</v>
      </c>
      <c r="CL167" s="12">
        <f>COUNTIF(CL169:CL172,"1")</f>
        <v>0</v>
      </c>
      <c r="CM167" s="12">
        <f>COUNTIF(CM169:CM172,"1")</f>
        <v>0</v>
      </c>
      <c r="CN167" s="12">
        <f>COUNTIF(CN169:CN172,"1")</f>
        <v>0</v>
      </c>
      <c r="CO167" s="12">
        <f>COUNTIF(CO169:CO172,"1")</f>
        <v>0</v>
      </c>
      <c r="CP167" s="12">
        <f>COUNTIF(CP169:CP172,"1")</f>
        <v>0</v>
      </c>
      <c r="CQ167" s="12">
        <f>COUNTIF(CQ169:CQ172,"1")</f>
        <v>0</v>
      </c>
      <c r="CR167" s="12">
        <f>COUNTIF(CR169:CR172,"1")</f>
        <v>0</v>
      </c>
      <c r="CS167" s="12">
        <f>COUNTIF(CS169:CS172,"1")</f>
        <v>0</v>
      </c>
      <c r="CT167" s="12">
        <f>COUNTIF(CT169:CT172,"1")</f>
        <v>0</v>
      </c>
      <c r="CU167" s="12">
        <f>COUNTIF(CU169:CU172,"1")</f>
        <v>0</v>
      </c>
      <c r="CV167" s="12">
        <f>COUNTIF(CV169:CV172,"1")</f>
        <v>0</v>
      </c>
      <c r="CW167" s="12">
        <f>COUNTIF(CW169:CW172,"1")</f>
        <v>0</v>
      </c>
      <c r="CX167" s="12">
        <f>COUNTIF(CX169:CX172,"1")</f>
        <v>0</v>
      </c>
      <c r="CY167" s="12">
        <f>COUNTIF(CY169:CY172,"1")</f>
        <v>0</v>
      </c>
      <c r="CZ167" s="12">
        <f>COUNTIF(CZ169:CZ172,"1")</f>
        <v>0</v>
      </c>
      <c r="DA167" s="12">
        <f>COUNTIF(DA169:DA172,"1")</f>
        <v>0</v>
      </c>
      <c r="DB167" s="12">
        <f>COUNTIF(DB169:DB172,"1")</f>
        <v>0</v>
      </c>
      <c r="DC167" s="12">
        <f>COUNTIF(DC169:DC172,"1")</f>
        <v>0</v>
      </c>
      <c r="DD167" s="12">
        <f>COUNTIF(DD169:DD172,"1")</f>
        <v>0</v>
      </c>
      <c r="DE167" s="12">
        <f>COUNTIF(DE169:DE172,"1")</f>
        <v>0</v>
      </c>
      <c r="DF167" s="12">
        <f>COUNTIF(DF169:DF172,"1")</f>
        <v>0</v>
      </c>
      <c r="DG167" s="12">
        <f>COUNTIF(DG169:DG172,"1")</f>
        <v>0</v>
      </c>
      <c r="DH167" s="12">
        <f>COUNTIF(DH169:DH172,"1")</f>
        <v>0</v>
      </c>
      <c r="DI167" s="12">
        <f>COUNTIF(DI169:DI172,"1")</f>
        <v>0</v>
      </c>
      <c r="DJ167" s="12">
        <f>COUNTIF(DJ169:DJ172,"1")</f>
        <v>0</v>
      </c>
      <c r="DK167" s="12">
        <f>COUNTIF(DK169:DK172,"1")</f>
        <v>0</v>
      </c>
      <c r="DL167" s="12">
        <f>COUNTIF(DL169:DL172,"1")</f>
        <v>0</v>
      </c>
      <c r="DM167" s="12">
        <f>COUNTIF(DM169:DM172,"1")</f>
        <v>0</v>
      </c>
      <c r="DN167" s="12">
        <f>COUNTIF(DN169:DN172,"1")</f>
        <v>0</v>
      </c>
      <c r="DO167" s="12">
        <f>COUNTIF(DO169:DO172,"1")</f>
        <v>0</v>
      </c>
      <c r="DP167" s="12">
        <f>COUNTIF(DP169:DP172,"1")</f>
        <v>0</v>
      </c>
      <c r="DQ167" s="12">
        <f>COUNTIF(DQ169:DQ172,"1")</f>
        <v>0</v>
      </c>
      <c r="DR167" s="12">
        <f>COUNTIF(DR169:DR172,"1")</f>
        <v>0</v>
      </c>
      <c r="DS167" s="12">
        <f>COUNTIF(DS169:DS172,"1")</f>
        <v>0</v>
      </c>
      <c r="DT167" s="12">
        <f>COUNTIF(DT169:DT172,"1")</f>
        <v>0</v>
      </c>
      <c r="DU167" s="12">
        <f>COUNTIF(DU169:DU172,"1")</f>
        <v>0</v>
      </c>
      <c r="DV167" s="12">
        <f>COUNTIF(DV169:DV172,"1")</f>
        <v>0</v>
      </c>
      <c r="DW167" s="12">
        <f>COUNTIF(DW169:DW172,"1")</f>
        <v>0</v>
      </c>
      <c r="DX167" s="12">
        <f>COUNTIF(DX169:DX172,"1")</f>
        <v>0</v>
      </c>
      <c r="DY167" s="12">
        <f>COUNTIF(DY169:DY172,"1")</f>
        <v>0</v>
      </c>
      <c r="DZ167" s="12">
        <f>COUNTIF(DZ169:DZ172,"1")</f>
        <v>0</v>
      </c>
      <c r="EA167" s="12">
        <f>COUNTIF(EA169:EA172,"1")</f>
        <v>0</v>
      </c>
      <c r="EB167" s="12">
        <f>COUNTIF(EB169:EB172,"1")</f>
        <v>0</v>
      </c>
      <c r="EC167" s="12">
        <f>COUNTIF(EC169:EC172,"1")</f>
        <v>0</v>
      </c>
      <c r="ED167" s="12">
        <f>COUNTIF(ED169:ED172,"1")</f>
        <v>0</v>
      </c>
      <c r="EE167" s="12">
        <f>COUNTIF(EE169:EE172,"1")</f>
        <v>0</v>
      </c>
      <c r="EF167" s="12">
        <f>COUNTIF(EF169:EF172,"1")</f>
        <v>0</v>
      </c>
      <c r="EG167" s="12">
        <f>COUNTIF(EG169:EG172,"1")</f>
        <v>0</v>
      </c>
      <c r="EH167" s="12">
        <f>COUNTIF(EH169:EH172,"1")</f>
        <v>0</v>
      </c>
      <c r="EI167" s="12">
        <f>COUNTIF(EI169:EI172,"1")</f>
        <v>0</v>
      </c>
      <c r="EJ167" s="12">
        <f>COUNTIF(EJ169:EJ172,"1")</f>
        <v>0</v>
      </c>
      <c r="EK167" s="12">
        <f>COUNTIF(EK169:EK172,"1")</f>
        <v>0</v>
      </c>
      <c r="EL167" s="12">
        <f>COUNTIF(EL169:EL172,"1")</f>
        <v>0</v>
      </c>
      <c r="EM167" s="12">
        <f>COUNTIF(EM169:EM172,"1")</f>
        <v>0</v>
      </c>
      <c r="EN167" s="12">
        <f>COUNTIF(EN169:EN172,"1")</f>
        <v>0</v>
      </c>
      <c r="EO167" s="12">
        <f>COUNTIF(EO169:EO172,"1")</f>
        <v>0</v>
      </c>
      <c r="EP167" s="12">
        <f>COUNTIF(EP169:EP172,"1")</f>
        <v>0</v>
      </c>
      <c r="EQ167" s="12">
        <f>COUNTIF(EQ169:EQ172,"1")</f>
        <v>0</v>
      </c>
      <c r="ER167" s="12">
        <f>COUNTIF(ER169:ER172,"1")</f>
        <v>0</v>
      </c>
      <c r="ES167" s="12">
        <f>COUNTIF(ES169:ES172,"1")</f>
        <v>0</v>
      </c>
      <c r="ET167" s="12">
        <f>COUNTIF(ET169:ET172,"1")</f>
        <v>0</v>
      </c>
      <c r="EU167" s="12">
        <f>COUNTIF(EU169:EU172,"1")</f>
        <v>0</v>
      </c>
      <c r="EV167" s="12">
        <f>COUNTIF(EV169:EV172,"1")</f>
        <v>0</v>
      </c>
      <c r="EW167" s="12">
        <f>COUNTIF(EW169:EW172,"1")</f>
        <v>0</v>
      </c>
      <c r="EX167" s="12">
        <f>COUNTIF(EX169:EX172,"1")</f>
        <v>0</v>
      </c>
      <c r="EY167" s="12">
        <f>COUNTIF(EY169:EY172,"1")</f>
        <v>0</v>
      </c>
      <c r="EZ167" s="12">
        <f>COUNTIF(EZ169:EZ172,"1")</f>
        <v>0</v>
      </c>
      <c r="FA167" s="12">
        <f>COUNTIF(FA169:FA172,"1")</f>
        <v>0</v>
      </c>
      <c r="FB167" s="12">
        <f>COUNTIF(FB169:FB172,"1")</f>
        <v>0</v>
      </c>
      <c r="FC167" s="12">
        <f>COUNTIF(FC169:FC172,"1")</f>
        <v>0</v>
      </c>
      <c r="FD167" s="12">
        <f>COUNTIF(FD169:FD172,"1")</f>
        <v>0</v>
      </c>
      <c r="FE167" s="12">
        <f>COUNTIF(FE169:FE172,"1")</f>
        <v>0</v>
      </c>
      <c r="FF167" s="12">
        <f>COUNTIF(FF169:FF172,"1")</f>
        <v>0</v>
      </c>
      <c r="FG167" s="12">
        <f>COUNTIF(FG169:FG172,"1")</f>
        <v>0</v>
      </c>
      <c r="FH167" s="12">
        <f>COUNTIF(FH169:FH172,"1")</f>
        <v>0</v>
      </c>
      <c r="FI167" s="12">
        <f>COUNTIF(FI169:FI172,"1")</f>
        <v>0</v>
      </c>
      <c r="FJ167" s="12">
        <f>COUNTIF(FJ169:FJ172,"1")</f>
        <v>0</v>
      </c>
      <c r="FK167" s="12">
        <f>COUNTIF(FK169:FK172,"1")</f>
        <v>0</v>
      </c>
      <c r="FL167" s="12">
        <f>COUNTIF(FL169:FL172,"1")</f>
        <v>0</v>
      </c>
      <c r="FM167" s="12">
        <f>COUNTIF(FM169:FM172,"1")</f>
        <v>0</v>
      </c>
      <c r="FN167" s="12">
        <f>COUNTIF(FN169:FN172,"1")</f>
        <v>0</v>
      </c>
      <c r="FO167" s="12">
        <f>COUNTIF(FO169:FO172,"1")</f>
        <v>0</v>
      </c>
      <c r="FP167" s="12">
        <f>COUNTIF(FP169:FP172,"1")</f>
        <v>0</v>
      </c>
      <c r="FQ167" s="12">
        <f>COUNTIF(FQ169:FQ172,"1")</f>
        <v>0</v>
      </c>
      <c r="FR167" s="12">
        <f>COUNTIF(FR169:FR172,"1")</f>
        <v>0</v>
      </c>
      <c r="FS167" s="12">
        <f>COUNTIF(FS169:FS172,"1")</f>
        <v>0</v>
      </c>
      <c r="FT167" s="12">
        <f>COUNTIF(FT169:FT172,"1")</f>
        <v>0</v>
      </c>
      <c r="FU167" s="12">
        <f>COUNTIF(FU169:FU172,"1")</f>
        <v>0</v>
      </c>
      <c r="FV167" s="12">
        <f>COUNTIF(FV169:FV172,"1")</f>
        <v>0</v>
      </c>
      <c r="FW167" s="12">
        <f>COUNTIF(FW169:FW172,"1")</f>
        <v>0</v>
      </c>
      <c r="FX167" s="12">
        <f>COUNTIF(FX169:FX172,"1")</f>
        <v>0</v>
      </c>
      <c r="FY167" s="12">
        <f>COUNTIF(FY169:FY172,"1")</f>
        <v>0</v>
      </c>
      <c r="FZ167" s="12">
        <f>COUNTIF(FZ169:FZ172,"1")</f>
        <v>0</v>
      </c>
      <c r="GA167" s="12">
        <f>COUNTIF(GA169:GA172,"1")</f>
        <v>0</v>
      </c>
      <c r="GB167" s="12">
        <f>COUNTIF(GB169:GB172,"1")</f>
        <v>0</v>
      </c>
      <c r="GC167" s="12">
        <f>COUNTIF(GC169:GC172,"1")</f>
        <v>0</v>
      </c>
      <c r="GD167" s="12">
        <f>COUNTIF(GD169:GD172,"1")</f>
        <v>0</v>
      </c>
      <c r="GE167" s="12">
        <f>COUNTIF(GE169:GE172,"1")</f>
        <v>0</v>
      </c>
      <c r="GF167" s="12">
        <f>COUNTIF(GF169:GF172,"1")</f>
        <v>0</v>
      </c>
      <c r="GG167" s="12">
        <f>COUNTIF(GG169:GG172,"1")</f>
        <v>0</v>
      </c>
      <c r="GH167" s="12">
        <f>COUNTIF(GH169:GH172,"1")</f>
        <v>0</v>
      </c>
      <c r="GI167" s="12">
        <f>COUNTIF(GI169:GI172,"1")</f>
        <v>0</v>
      </c>
      <c r="GJ167" s="12">
        <f>COUNTIF(GJ169:GJ172,"1")</f>
        <v>0</v>
      </c>
      <c r="GK167" s="12">
        <f>COUNTIF(GK169:GK172,"1")</f>
        <v>0</v>
      </c>
      <c r="GL167" s="12">
        <f>COUNTIF(GL169:GL172,"1")</f>
        <v>0</v>
      </c>
      <c r="GM167" s="12">
        <f>COUNTIF(GM169:GM172,"1")</f>
        <v>0</v>
      </c>
      <c r="GN167" s="12">
        <f>COUNTIF(GN169:GN172,"1")</f>
        <v>0</v>
      </c>
      <c r="GO167" s="12">
        <f>COUNTIF(GO169:GO172,"1")</f>
        <v>0</v>
      </c>
      <c r="GP167" s="12">
        <f>COUNTIF(GP169:GP172,"1")</f>
        <v>0</v>
      </c>
      <c r="GQ167" s="12">
        <f>COUNTIF(GQ169:GQ172,"1")</f>
        <v>0</v>
      </c>
      <c r="GR167" s="12">
        <f>COUNTIF(GR169:GR172,"1")</f>
        <v>0</v>
      </c>
      <c r="GS167" s="12">
        <f>COUNTIF(GS169:GS172,"1")</f>
        <v>0</v>
      </c>
      <c r="GT167" s="12">
        <f>COUNTIF(GT169:GT172,"1")</f>
        <v>0</v>
      </c>
      <c r="GU167" s="12">
        <f>COUNTIF(GU169:GU172,"1")</f>
        <v>0</v>
      </c>
      <c r="GV167" s="12">
        <f>COUNTIF(GV169:GV172,"1")</f>
        <v>0</v>
      </c>
      <c r="GW167" s="12">
        <f>COUNTIF(GW169:GW172,"1")</f>
        <v>0</v>
      </c>
      <c r="GX167" s="12">
        <f>COUNTIF(GX169:GX172,"1")</f>
        <v>0</v>
      </c>
      <c r="GY167" s="12">
        <f>COUNTIF(GY169:GY172,"1")</f>
        <v>0</v>
      </c>
      <c r="GZ167" s="12">
        <f>COUNTIF(GZ169:GZ172,"1")</f>
        <v>0</v>
      </c>
      <c r="HA167" s="12">
        <f>COUNTIF(HA169:HA172,"1")</f>
        <v>0</v>
      </c>
      <c r="HB167" s="12">
        <f>COUNTIF(HB169:HB172,"1")</f>
        <v>0</v>
      </c>
      <c r="HC167" s="12">
        <f>COUNTIF(HC169:HC172,"1")</f>
        <v>0</v>
      </c>
      <c r="HD167" s="12">
        <f>COUNTIF(HD169:HD172,"1")</f>
        <v>0</v>
      </c>
      <c r="HE167" s="12">
        <f>COUNTIF(HE169:HE172,"1")</f>
        <v>0</v>
      </c>
      <c r="HF167" s="12">
        <f>COUNTIF(HF169:HF172,"1")</f>
        <v>0</v>
      </c>
      <c r="HG167" s="12">
        <f>COUNTIF(HG169:HG172,"1")</f>
        <v>0</v>
      </c>
      <c r="HH167" s="12">
        <f>COUNTIF(HH169:HH172,"1")</f>
        <v>0</v>
      </c>
      <c r="HI167" s="12">
        <f>COUNTIF(HI169:HI172,"1")</f>
        <v>0</v>
      </c>
      <c r="HJ167" s="12">
        <f>COUNTIF(HJ169:HJ172,"1")</f>
        <v>0</v>
      </c>
      <c r="HK167" s="12">
        <f>COUNTIF(HK169:HK172,"1")</f>
        <v>0</v>
      </c>
      <c r="HL167" s="12">
        <f>COUNTIF(HL169:HL172,"1")</f>
        <v>0</v>
      </c>
      <c r="HM167" s="12">
        <f>COUNTIF(HM169:HM172,"1")</f>
        <v>0</v>
      </c>
      <c r="HN167" s="12">
        <f>COUNTIF(HN169:HN172,"1")</f>
        <v>0</v>
      </c>
      <c r="HO167" s="12">
        <f>COUNTIF(HO169:HO172,"1")</f>
        <v>0</v>
      </c>
      <c r="HP167" s="12">
        <f>COUNTIF(HP169:HP172,"1")</f>
        <v>0</v>
      </c>
      <c r="HQ167" s="12">
        <f>COUNTIF(HQ169:HQ172,"1")</f>
        <v>0</v>
      </c>
      <c r="HR167" s="12">
        <f>COUNTIF(HR169:HR172,"1")</f>
        <v>0</v>
      </c>
      <c r="HS167" s="12">
        <f>COUNTIF(HS169:HS172,"1")</f>
        <v>0</v>
      </c>
      <c r="HT167" s="12">
        <f>COUNTIF(HT169:HT172,"1")</f>
        <v>0</v>
      </c>
      <c r="HU167" s="12">
        <f>COUNTIF(HU169:HU172,"1")</f>
        <v>0</v>
      </c>
      <c r="HV167" s="12">
        <f>COUNTIF(HV169:HV172,"1")</f>
        <v>0</v>
      </c>
      <c r="HW167" s="12">
        <f>COUNTIF(HW169:HW172,"1")</f>
        <v>0</v>
      </c>
      <c r="HX167" s="12">
        <f>COUNTIF(HX169:HX172,"1")</f>
        <v>0</v>
      </c>
      <c r="HY167" s="12">
        <f>COUNTIF(HY169:HY172,"1")</f>
        <v>0</v>
      </c>
      <c r="HZ167" s="12">
        <f>COUNTIF(HZ169:HZ172,"1")</f>
        <v>0</v>
      </c>
      <c r="IA167" s="12">
        <f>COUNTIF(IA169:IA172,"1")</f>
        <v>0</v>
      </c>
      <c r="IB167" s="12">
        <f>COUNTIF(IB169:IB172,"1")</f>
        <v>0</v>
      </c>
      <c r="IC167" s="12">
        <f>COUNTIF(IC169:IC172,"1")</f>
        <v>0</v>
      </c>
      <c r="ID167" s="12">
        <f>COUNTIF(ID169:ID172,"1")</f>
        <v>0</v>
      </c>
      <c r="IE167" s="12">
        <f>COUNTIF(IE169:IE172,"1")</f>
        <v>0</v>
      </c>
      <c r="IF167" s="12">
        <f>COUNTIF(IF169:IF172,"1")</f>
        <v>0</v>
      </c>
      <c r="IG167" s="12">
        <f>COUNTIF(IG169:IG172,"1")</f>
        <v>0</v>
      </c>
      <c r="IH167" s="12">
        <f>COUNTIF(IH169:IH172,"1")</f>
        <v>0</v>
      </c>
      <c r="II167" s="12">
        <f>COUNTIF(II169:II172,"1")</f>
        <v>0</v>
      </c>
      <c r="IJ167" s="12">
        <f>COUNTIF(IJ169:IJ172,"1")</f>
        <v>0</v>
      </c>
      <c r="IK167" s="12">
        <f>COUNTIF(IK169:IK172,"1")</f>
        <v>0</v>
      </c>
      <c r="IL167" s="12">
        <f>COUNTIF(IL169:IL172,"1")</f>
        <v>0</v>
      </c>
      <c r="IM167" s="12">
        <f>COUNTIF(IM169:IM172,"1")</f>
        <v>0</v>
      </c>
      <c r="IN167" s="12">
        <f>COUNTIF(IN169:IN172,"1")</f>
        <v>0</v>
      </c>
      <c r="IO167" s="12">
        <f>COUNTIF(IO169:IO172,"1")</f>
        <v>0</v>
      </c>
      <c r="IP167" s="12">
        <f>COUNTIF(IP169:IP172,"1")</f>
        <v>0</v>
      </c>
      <c r="IQ167" s="12">
        <f>COUNTIF(IQ169:IQ172,"1")</f>
        <v>0</v>
      </c>
      <c r="IR167" s="12">
        <f>COUNTIF(IR169:IR172,"1")</f>
        <v>0</v>
      </c>
      <c r="IS167" s="12">
        <f>COUNTIF(IS169:IS172,"1")</f>
        <v>0</v>
      </c>
      <c r="IT167" s="12">
        <f>COUNTIF(IT169:IT172,"1")</f>
        <v>0</v>
      </c>
      <c r="IU167" s="12">
        <f>COUNTIF(IU169:IU172,"1")</f>
        <v>0</v>
      </c>
      <c r="IV167" s="12">
        <f>COUNTIF(IV169:IV172,"1")</f>
        <v>0</v>
      </c>
      <c r="IW167" s="12">
        <f>COUNTIF(IW169:IW172,"1")</f>
        <v>0</v>
      </c>
      <c r="IX167" s="12">
        <f>COUNTIF(IX169:IX172,"1")</f>
        <v>0</v>
      </c>
      <c r="IY167" s="12">
        <f>COUNTIF(IY169:IY172,"1")</f>
        <v>0</v>
      </c>
      <c r="IZ167" s="12">
        <f>COUNTIF(IZ169:IZ172,"1")</f>
        <v>0</v>
      </c>
      <c r="JA167" s="12">
        <f>COUNTIF(JA169:JA172,"1")</f>
        <v>0</v>
      </c>
      <c r="JB167" s="12">
        <f>COUNTIF(JB169:JB172,"1")</f>
        <v>0</v>
      </c>
      <c r="JC167" s="12">
        <f>COUNTIF(JC169:JC172,"1")</f>
        <v>0</v>
      </c>
      <c r="JD167" s="12">
        <f>COUNTIF(JD169:JD172,"1")</f>
        <v>0</v>
      </c>
      <c r="JE167" s="12">
        <f>COUNTIF(JE169:JE172,"1")</f>
        <v>0</v>
      </c>
      <c r="JF167" s="12">
        <f>COUNTIF(JF169:JF172,"1")</f>
        <v>0</v>
      </c>
      <c r="JG167" s="12">
        <f>COUNTIF(JG169:JG172,"1")</f>
        <v>0</v>
      </c>
      <c r="JH167" s="12">
        <f>COUNTIF(JH169:JH172,"1")</f>
        <v>0</v>
      </c>
      <c r="JI167" s="12">
        <f>COUNTIF(JI169:JI172,"1")</f>
        <v>0</v>
      </c>
      <c r="JJ167" s="12">
        <f>COUNTIF(JJ169:JJ172,"1")</f>
        <v>0</v>
      </c>
      <c r="JK167" s="12">
        <f>COUNTIF(JK169:JK172,"1")</f>
        <v>0</v>
      </c>
      <c r="JL167" s="12">
        <f>COUNTIF(JL169:JL172,"1")</f>
        <v>0</v>
      </c>
      <c r="JM167" s="12">
        <f>COUNTIF(JM169:JM172,"1")</f>
        <v>0</v>
      </c>
      <c r="JN167" s="12">
        <f>COUNTIF(JN169:JN172,"1")</f>
        <v>0</v>
      </c>
      <c r="JO167" s="12">
        <f>COUNTIF(JO169:JO172,"1")</f>
        <v>0</v>
      </c>
      <c r="JP167" s="12">
        <f>COUNTIF(JP169:JP172,"1")</f>
        <v>0</v>
      </c>
      <c r="JQ167" s="12">
        <f>COUNTIF(JQ169:JQ172,"1")</f>
        <v>0</v>
      </c>
      <c r="JR167" s="12">
        <f>COUNTIF(JR169:JR172,"1")</f>
        <v>0</v>
      </c>
      <c r="JS167" s="12">
        <f>COUNTIF(JS169:JS172,"1")</f>
        <v>0</v>
      </c>
      <c r="JT167" s="12">
        <f>COUNTIF(JT169:JT172,"1")</f>
        <v>0</v>
      </c>
      <c r="JU167" s="12">
        <f>COUNTIF(JU169:JU172,"1")</f>
        <v>0</v>
      </c>
      <c r="JV167" s="12">
        <f>COUNTIF(JV169:JV172,"1")</f>
        <v>0</v>
      </c>
      <c r="JW167" s="12">
        <f>COUNTIF(JW169:JW172,"1")</f>
        <v>0</v>
      </c>
      <c r="JX167" s="12">
        <f>COUNTIF(JX169:JX172,"1")</f>
        <v>0</v>
      </c>
      <c r="JY167" s="12">
        <f>COUNTIF(JY169:JY172,"1")</f>
        <v>0</v>
      </c>
      <c r="JZ167" s="12">
        <f>COUNTIF(JZ169:JZ172,"1")</f>
        <v>0</v>
      </c>
      <c r="KA167" s="12">
        <f>COUNTIF(KA169:KA172,"1")</f>
        <v>0</v>
      </c>
      <c r="KB167" s="12">
        <f>COUNTIF(KB169:KB172,"1")</f>
        <v>0</v>
      </c>
      <c r="KC167" s="12">
        <f>COUNTIF(KC169:KC172,"1")</f>
        <v>0</v>
      </c>
      <c r="KD167" s="12">
        <f>COUNTIF(KD169:KD172,"1")</f>
        <v>0</v>
      </c>
      <c r="KE167" s="12">
        <f>COUNTIF(KE169:KE172,"1")</f>
        <v>0</v>
      </c>
      <c r="KF167" s="12">
        <f>COUNTIF(KF169:KF172,"1")</f>
        <v>0</v>
      </c>
      <c r="KG167" s="12">
        <f>COUNTIF(KG169:KG172,"1")</f>
        <v>0</v>
      </c>
      <c r="KH167" s="12">
        <f>COUNTIF(KH169:KH172,"1")</f>
        <v>0</v>
      </c>
      <c r="KI167" s="12">
        <f>COUNTIF(KI169:KI172,"1")</f>
        <v>0</v>
      </c>
      <c r="KJ167" s="12">
        <f>COUNTIF(KJ169:KJ172,"1")</f>
        <v>0</v>
      </c>
      <c r="KK167" s="12">
        <f>COUNTIF(KK169:KK172,"1")</f>
        <v>0</v>
      </c>
      <c r="KL167" s="12">
        <f>COUNTIF(KL169:KL172,"1")</f>
        <v>0</v>
      </c>
      <c r="KM167" s="12">
        <f>COUNTIF(KM169:KM172,"1")</f>
        <v>0</v>
      </c>
      <c r="KN167" s="12">
        <f>COUNTIF(KN169:KN172,"1")</f>
        <v>0</v>
      </c>
      <c r="KO167" s="12">
        <f>COUNTIF(KO169:KO172,"1")</f>
        <v>0</v>
      </c>
      <c r="KP167" s="12">
        <f>COUNTIF(KP169:KP172,"1")</f>
        <v>0</v>
      </c>
      <c r="KQ167" s="12">
        <f>COUNTIF(KQ169:KQ172,"1")</f>
        <v>0</v>
      </c>
      <c r="KR167" s="12">
        <f>COUNTIF(KR169:KR172,"1")</f>
        <v>0</v>
      </c>
      <c r="KS167" s="12">
        <f>COUNTIF(KS169:KS172,"1")</f>
        <v>0</v>
      </c>
      <c r="KT167" s="12">
        <f>COUNTIF(KT169:KT172,"1")</f>
        <v>0</v>
      </c>
      <c r="KU167" s="12">
        <f>COUNTIF(KU169:KU172,"1")</f>
        <v>0</v>
      </c>
      <c r="KV167" s="12">
        <f>COUNTIF(KV169:KV172,"1")</f>
        <v>0</v>
      </c>
      <c r="KW167" s="12">
        <f>COUNTIF(KW169:KW172,"1")</f>
        <v>0</v>
      </c>
      <c r="KX167" s="12">
        <f>COUNTIF(KX169:KX172,"1")</f>
        <v>0</v>
      </c>
      <c r="KY167" s="12">
        <f>COUNTIF(KY169:KY172,"1")</f>
        <v>0</v>
      </c>
      <c r="KZ167" s="12">
        <f>COUNTIF(KZ169:KZ172,"1")</f>
        <v>0</v>
      </c>
      <c r="LA167" s="12">
        <f>COUNTIF(LA169:LA172,"1")</f>
        <v>0</v>
      </c>
      <c r="LB167" s="12">
        <f>COUNTIF(LB169:LB172,"1")</f>
        <v>0</v>
      </c>
      <c r="LC167" s="12">
        <f>COUNTIF(LC169:LC172,"1")</f>
        <v>0</v>
      </c>
      <c r="LD167" s="12">
        <f>COUNTIF(LD169:LD172,"1")</f>
        <v>0</v>
      </c>
      <c r="LE167" s="12">
        <f>COUNTIF(LE169:LE172,"1")</f>
        <v>0</v>
      </c>
      <c r="LF167" s="12">
        <f>COUNTIF(LF169:LF172,"1")</f>
        <v>0</v>
      </c>
      <c r="LG167" s="12">
        <f>COUNTIF(LG169:LG172,"1")</f>
        <v>0</v>
      </c>
      <c r="LH167" s="12">
        <f>COUNTIF(LH169:LH172,"1")</f>
        <v>0</v>
      </c>
      <c r="LI167" s="12">
        <f>COUNTIF(LI169:LI172,"1")</f>
        <v>0</v>
      </c>
      <c r="LJ167" s="12">
        <f>COUNTIF(LJ169:LJ172,"1")</f>
        <v>0</v>
      </c>
      <c r="LK167" s="12">
        <f>COUNTIF(LK169:LK172,"1")</f>
        <v>0</v>
      </c>
      <c r="LL167" s="12">
        <f>COUNTIF(LL169:LL172,"1")</f>
        <v>0</v>
      </c>
      <c r="LM167" s="12">
        <f>COUNTIF(LM169:LM172,"1")</f>
        <v>0</v>
      </c>
      <c r="LN167" s="12">
        <f>COUNTIF(LN169:LN172,"1")</f>
        <v>0</v>
      </c>
      <c r="LO167" s="12">
        <f>COUNTIF(LO169:LO172,"1")</f>
        <v>0</v>
      </c>
      <c r="LP167" s="12">
        <f>COUNTIF(LP169:LP172,"1")</f>
        <v>0</v>
      </c>
      <c r="LQ167" s="12">
        <f>COUNTIF(LQ169:LQ172,"1")</f>
        <v>0</v>
      </c>
      <c r="LR167" s="12">
        <f>COUNTIF(LR169:LR172,"1")</f>
        <v>0</v>
      </c>
      <c r="LS167" s="12">
        <f>COUNTIF(LS169:LS172,"1")</f>
        <v>0</v>
      </c>
      <c r="LT167" s="12">
        <f>COUNTIF(LT169:LT172,"1")</f>
        <v>0</v>
      </c>
      <c r="LU167" s="12">
        <f>COUNTIF(LU169:LU172,"1")</f>
        <v>0</v>
      </c>
      <c r="LV167" s="12">
        <f>COUNTIF(LV169:LV172,"1")</f>
        <v>0</v>
      </c>
      <c r="LW167" s="12">
        <f>COUNTIF(LW169:LW172,"1")</f>
        <v>0</v>
      </c>
      <c r="LX167" s="12">
        <f>COUNTIF(LX169:LX172,"1")</f>
        <v>0</v>
      </c>
      <c r="LY167" s="12">
        <f>COUNTIF(LY169:LY172,"1")</f>
        <v>0</v>
      </c>
      <c r="LZ167" s="12">
        <f>COUNTIF(LZ169:LZ172,"1")</f>
        <v>0</v>
      </c>
      <c r="MA167" s="12">
        <f>COUNTIF(MA169:MA172,"1")</f>
        <v>0</v>
      </c>
      <c r="MB167" s="12">
        <f>COUNTIF(MB169:MB172,"1")</f>
        <v>0</v>
      </c>
      <c r="MC167" s="12">
        <f>COUNTIF(MC169:MC172,"1")</f>
        <v>0</v>
      </c>
      <c r="MD167" s="12">
        <f>COUNTIF(MD169:MD172,"1")</f>
        <v>0</v>
      </c>
      <c r="ME167" s="12">
        <f>COUNTIF(ME169:ME172,"1")</f>
        <v>0</v>
      </c>
      <c r="MF167" s="12">
        <f>COUNTIF(MF169:MF172,"1")</f>
        <v>0</v>
      </c>
      <c r="MG167" s="12">
        <f>COUNTIF(MG169:MG172,"1")</f>
        <v>0</v>
      </c>
      <c r="MH167" s="12">
        <f>COUNTIF(MH169:MH172,"1")</f>
        <v>0</v>
      </c>
      <c r="MI167" s="12">
        <f>COUNTIF(MI169:MI172,"1")</f>
        <v>0</v>
      </c>
      <c r="MJ167" s="12">
        <f>COUNTIF(MJ169:MJ172,"1")</f>
        <v>0</v>
      </c>
      <c r="MK167" s="12">
        <f>COUNTIF(MK169:MK172,"1")</f>
        <v>0</v>
      </c>
      <c r="ML167" s="12">
        <f>COUNTIF(ML169:ML172,"1")</f>
        <v>0</v>
      </c>
      <c r="MM167" s="12">
        <f>COUNTIF(MM169:MM172,"1")</f>
        <v>0</v>
      </c>
      <c r="MN167" s="12">
        <f>COUNTIF(MN169:MN172,"1")</f>
        <v>0</v>
      </c>
      <c r="MO167" s="12">
        <f>COUNTIF(MO169:MO172,"1")</f>
        <v>0</v>
      </c>
      <c r="MP167" s="12">
        <f>COUNTIF(MP169:MP172,"1")</f>
        <v>0</v>
      </c>
      <c r="MQ167" s="12">
        <f>COUNTIF(MQ169:MQ172,"1")</f>
        <v>0</v>
      </c>
      <c r="MR167" s="12">
        <f>COUNTIF(MR169:MR172,"1")</f>
        <v>0</v>
      </c>
      <c r="MS167" s="12">
        <f>COUNTIF(MS169:MS172,"1")</f>
        <v>0</v>
      </c>
      <c r="MT167" s="12">
        <f>COUNTIF(MT169:MT172,"1")</f>
        <v>0</v>
      </c>
      <c r="MU167" s="12">
        <f>COUNTIF(MU169:MU172,"1")</f>
        <v>0</v>
      </c>
      <c r="MV167" s="12">
        <f>COUNTIF(MV169:MV172,"1")</f>
        <v>0</v>
      </c>
      <c r="MW167" s="12">
        <f>COUNTIF(MW169:MW172,"1")</f>
        <v>0</v>
      </c>
      <c r="MX167" s="12">
        <f>COUNTIF(MX169:MX172,"1")</f>
        <v>0</v>
      </c>
      <c r="MY167" s="12">
        <f>COUNTIF(MY169:MY172,"1")</f>
        <v>0</v>
      </c>
      <c r="MZ167" s="12">
        <f>COUNTIF(MZ169:MZ172,"1")</f>
        <v>0</v>
      </c>
      <c r="NA167" s="12">
        <f>COUNTIF(NA169:NA172,"1")</f>
        <v>0</v>
      </c>
      <c r="NB167" s="12">
        <f>COUNTIF(NB169:NB172,"1")</f>
        <v>0</v>
      </c>
      <c r="NC167" s="12">
        <f>COUNTIF(NC169:NC172,"1")</f>
        <v>0</v>
      </c>
      <c r="ND167" s="12">
        <f>COUNTIF(ND169:ND172,"1")</f>
        <v>0</v>
      </c>
      <c r="NE167" s="12">
        <f>COUNTIF(NE169:NE172,"1")</f>
        <v>0</v>
      </c>
      <c r="NF167" s="12">
        <f>COUNTIF(NF169:NF172,"1")</f>
        <v>0</v>
      </c>
      <c r="NG167" s="12">
        <f>COUNTIF(NG169:NG172,"1")</f>
        <v>0</v>
      </c>
      <c r="NH167" s="12">
        <f>COUNTIF(NH169:NH172,"1")</f>
        <v>0</v>
      </c>
      <c r="NI167" s="12">
        <f>COUNTIF(NI169:NI172,"1")</f>
        <v>0</v>
      </c>
      <c r="NJ167" s="12">
        <f>COUNTIF(NJ169:NJ172,"1")</f>
        <v>0</v>
      </c>
      <c r="NK167" s="12">
        <f>COUNTIF(NK169:NK172,"1")</f>
        <v>0</v>
      </c>
      <c r="NL167" s="12">
        <f>COUNTIF(NL169:NL172,"1")</f>
        <v>0</v>
      </c>
      <c r="NM167" s="12">
        <f>COUNTIF(NM169:NM172,"1")</f>
        <v>0</v>
      </c>
      <c r="NN167" s="12">
        <f>COUNTIF(NN169:NN172,"1")</f>
        <v>0</v>
      </c>
      <c r="NO167" s="12">
        <f>COUNTIF(NO169:NO172,"1")</f>
        <v>0</v>
      </c>
      <c r="NP167" s="12">
        <f>COUNTIF(NP169:NP172,"1")</f>
        <v>0</v>
      </c>
      <c r="NQ167" s="12">
        <f>COUNTIF(NQ169:NQ172,"1")</f>
        <v>0</v>
      </c>
      <c r="NR167" s="12">
        <f>COUNTIF(NR169:NR172,"1")</f>
        <v>0</v>
      </c>
      <c r="NS167" s="12">
        <f>COUNTIF(NS169:NS172,"1")</f>
        <v>0</v>
      </c>
      <c r="NT167" s="16">
        <f>SUM(F167:NS167)</f>
        <v>0</v>
      </c>
      <c r="NU167" s="92" t="e">
        <f>NT168/NT167</f>
        <v>#DIV/0!</v>
      </c>
      <c r="NV167" s="22">
        <f>SUMIF(NV169:NV172,1,NW169:NW172)</f>
        <v>0</v>
      </c>
      <c r="NW167" s="22">
        <f>SUMIF(NV169:NV172,1,NW169:NW172)</f>
        <v>0</v>
      </c>
      <c r="NX167" s="16">
        <f>SUM(F167:AU167)</f>
        <v>0</v>
      </c>
      <c r="NY167" s="92" t="e">
        <f t="shared" si="320"/>
        <v>#DIV/0!</v>
      </c>
      <c r="NZ167" s="22">
        <f>SUMIF(NZ169:NZ172,1,OA169:OA172)</f>
        <v>0</v>
      </c>
      <c r="OA167" s="22">
        <f>SUMIF(NZ169:NZ172,1,OA169:OA172)</f>
        <v>0</v>
      </c>
      <c r="OB167" s="16">
        <f>SUM(AV167:CK167)</f>
        <v>0</v>
      </c>
      <c r="OC167" s="92" t="e">
        <f>OB168/OB167</f>
        <v>#DIV/0!</v>
      </c>
      <c r="OD167" s="22">
        <f>SUMIF(OD169:OD172,1,OE169:OE172)</f>
        <v>0</v>
      </c>
      <c r="OE167" s="22">
        <f>SUMIF(OD169:OD172,1,OE169:OE172)</f>
        <v>0</v>
      </c>
      <c r="OF167" s="16">
        <f>SUM(CL167:EA167)</f>
        <v>0</v>
      </c>
      <c r="OG167" s="84" t="e">
        <f>OF168/OF167</f>
        <v>#DIV/0!</v>
      </c>
      <c r="OH167" s="22">
        <f>SUMIF(OH169:OH172,1,OI169:OI172)</f>
        <v>0</v>
      </c>
      <c r="OI167" s="22">
        <f>SUMIF(OH169:OH172,1,OI169:OI172)</f>
        <v>0</v>
      </c>
      <c r="OJ167" s="16">
        <f>SUM(EB167:FQ167)</f>
        <v>0</v>
      </c>
      <c r="OK167" s="84" t="e">
        <f>OJ168/OJ167</f>
        <v>#DIV/0!</v>
      </c>
      <c r="OL167" s="22">
        <f>SUMIF(OL169:OL172,1,OM169:OM172)</f>
        <v>0</v>
      </c>
      <c r="OM167" s="22">
        <f>SUMIF(OL169:OL172,1,OM169:OM172)</f>
        <v>0</v>
      </c>
      <c r="ON167" s="16">
        <f>SUM(FR167:HG167)</f>
        <v>0</v>
      </c>
      <c r="OO167" s="84" t="e">
        <f>ON168/ON167</f>
        <v>#DIV/0!</v>
      </c>
      <c r="OP167" s="22">
        <f>SUMIF(OP169:OP172,1,OQ169:OQ172)</f>
        <v>0</v>
      </c>
      <c r="OQ167" s="84" t="e">
        <f>OP168/OP167</f>
        <v>#DIV/0!</v>
      </c>
      <c r="OR167" s="16">
        <f>SUM(HH167:IW167)</f>
        <v>0</v>
      </c>
      <c r="OS167" s="84" t="e">
        <f>OR168/OR167</f>
        <v>#DIV/0!</v>
      </c>
      <c r="OT167" s="22">
        <f>SUMIF(OT169:OT172,1,OU169:OU172)</f>
        <v>0</v>
      </c>
      <c r="OU167" s="22">
        <f>SUMIF(OT169:OT172,1,OU169:OU172)</f>
        <v>0</v>
      </c>
      <c r="OV167" s="16">
        <f>SUM(IX167:KM167)</f>
        <v>0</v>
      </c>
      <c r="OW167" s="84" t="e">
        <f>OV168/OV167</f>
        <v>#DIV/0!</v>
      </c>
      <c r="OX167" s="22">
        <f>SUMIF(OX169:OX172,1,OY169:OY172)</f>
        <v>0</v>
      </c>
      <c r="OY167" s="22">
        <f>SUMIF(OX169:OX172,1,OY169:OY172)</f>
        <v>0</v>
      </c>
      <c r="OZ167" s="16">
        <f>SUM(KN167:MC167)</f>
        <v>0</v>
      </c>
      <c r="PA167" s="84" t="e">
        <f>OZ168/OZ167</f>
        <v>#DIV/0!</v>
      </c>
      <c r="PB167" s="22">
        <f>SUMIF(PB169:PB172,1,PC169:PC172)</f>
        <v>0</v>
      </c>
      <c r="PC167" s="22">
        <f>SUMIF(PB169:PB172,1,PC169:PC172)</f>
        <v>0</v>
      </c>
      <c r="PD167" s="16">
        <f>SUM(MD167:NS167)</f>
        <v>0</v>
      </c>
      <c r="PE167" s="84" t="e">
        <f>PD168/PD167</f>
        <v>#DIV/0!</v>
      </c>
    </row>
    <row r="168" spans="1:421" ht="15.75" customHeight="1" thickBot="1" x14ac:dyDescent="0.3">
      <c r="A168" s="18"/>
      <c r="B168" s="18"/>
      <c r="C168" s="95"/>
      <c r="D168" s="58"/>
      <c r="E168" s="52" t="s">
        <v>9</v>
      </c>
      <c r="F168" s="13">
        <f>COUNTIF(F169:F172,"X")</f>
        <v>0</v>
      </c>
      <c r="G168" s="13">
        <f>COUNTIF(G169:G172,"X")</f>
        <v>0</v>
      </c>
      <c r="H168" s="13">
        <f>COUNTIF(H169:H172,"X")</f>
        <v>0</v>
      </c>
      <c r="I168" s="13">
        <f>COUNTIF(I169:I172,"X")</f>
        <v>0</v>
      </c>
      <c r="J168" s="13">
        <f>COUNTIF(J169:J172,"X")</f>
        <v>0</v>
      </c>
      <c r="K168" s="13">
        <f>COUNTIF(K169:K172,"X")</f>
        <v>0</v>
      </c>
      <c r="L168" s="13">
        <f>COUNTIF(L169:L172,"X")</f>
        <v>0</v>
      </c>
      <c r="M168" s="13">
        <f>COUNTIF(M169:M172,"X")</f>
        <v>0</v>
      </c>
      <c r="N168" s="13">
        <f>COUNTIF(N169:N172,"X")</f>
        <v>0</v>
      </c>
      <c r="O168" s="13">
        <f>COUNTIF(O169:O172,"X")</f>
        <v>0</v>
      </c>
      <c r="P168" s="70">
        <f>COUNTIF(P169:P172,"X")</f>
        <v>0</v>
      </c>
      <c r="Q168" s="13">
        <f>COUNTIF(Q169:Q172,"X")</f>
        <v>0</v>
      </c>
      <c r="R168" s="13">
        <f>COUNTIF(R169:R172,"X")</f>
        <v>0</v>
      </c>
      <c r="S168" s="13">
        <f>COUNTIF(S169:S172,"X")</f>
        <v>0</v>
      </c>
      <c r="T168" s="13">
        <f>COUNTIF(T169:T172,"X")</f>
        <v>0</v>
      </c>
      <c r="U168" s="13">
        <f>COUNTIF(U169:U172,"X")</f>
        <v>0</v>
      </c>
      <c r="V168" s="13">
        <f>COUNTIF(V169:V172,"X")</f>
        <v>0</v>
      </c>
      <c r="W168" s="70">
        <f>COUNTIF(W169:W172,"X")</f>
        <v>0</v>
      </c>
      <c r="X168" s="13">
        <f>COUNTIF(X169:X172,"X")</f>
        <v>0</v>
      </c>
      <c r="Y168" s="13">
        <f>COUNTIF(Y169:Y172,"X")</f>
        <v>0</v>
      </c>
      <c r="Z168" s="13">
        <f>COUNTIF(Z169:Z172,"X")</f>
        <v>0</v>
      </c>
      <c r="AA168" s="13">
        <f>COUNTIF(AA169:AA172,"X")</f>
        <v>0</v>
      </c>
      <c r="AB168" s="13">
        <f>COUNTIF(AB169:AB172,"X")</f>
        <v>0</v>
      </c>
      <c r="AC168" s="13">
        <f>COUNTIF(AC169:AC172,"X")</f>
        <v>0</v>
      </c>
      <c r="AD168" s="13">
        <f>COUNTIF(AD169:AD172,"X")</f>
        <v>0</v>
      </c>
      <c r="AE168" s="13">
        <f>COUNTIF(AE169:AE172,"X")</f>
        <v>0</v>
      </c>
      <c r="AF168" s="13">
        <f>COUNTIF(AF169:AF172,"X")</f>
        <v>0</v>
      </c>
      <c r="AG168" s="13">
        <f>COUNTIF(AG169:AG172,"X")</f>
        <v>0</v>
      </c>
      <c r="AH168" s="13">
        <f>COUNTIF(AH169:AH172,"X")</f>
        <v>0</v>
      </c>
      <c r="AI168" s="13">
        <f>COUNTIF(AI169:AI172,"X")</f>
        <v>0</v>
      </c>
      <c r="AJ168" s="13">
        <f>COUNTIF(AJ169:AJ172,"X")</f>
        <v>0</v>
      </c>
      <c r="AK168" s="13">
        <f>COUNTIF(AK169:AK172,"X")</f>
        <v>0</v>
      </c>
      <c r="AL168" s="13">
        <f>COUNTIF(AL169:AL172,"X")</f>
        <v>0</v>
      </c>
      <c r="AM168" s="13">
        <f>COUNTIF(AM169:AM172,"X")</f>
        <v>0</v>
      </c>
      <c r="AN168" s="13">
        <f>COUNTIF(AN169:AN172,"X")</f>
        <v>0</v>
      </c>
      <c r="AO168" s="13">
        <f>COUNTIF(AO169:AO172,"X")</f>
        <v>0</v>
      </c>
      <c r="AP168" s="13">
        <f>COUNTIF(AP169:AP172,"X")</f>
        <v>0</v>
      </c>
      <c r="AQ168" s="13">
        <f>COUNTIF(AQ169:AQ172,"X")</f>
        <v>0</v>
      </c>
      <c r="AR168" s="13">
        <f>COUNTIF(AR169:AR172,"X")</f>
        <v>0</v>
      </c>
      <c r="AS168" s="13">
        <f>COUNTIF(AS169:AS172,"X")</f>
        <v>0</v>
      </c>
      <c r="AT168" s="13">
        <f>COUNTIF(AT169:AT172,"X")</f>
        <v>0</v>
      </c>
      <c r="AU168" s="13">
        <f>COUNTIF(AU169:AU172,"X")</f>
        <v>0</v>
      </c>
      <c r="AV168" s="13">
        <f>COUNTIF(AV169:AV172,"X")</f>
        <v>0</v>
      </c>
      <c r="AW168" s="13">
        <f>COUNTIF(AW169:AW172,"X")</f>
        <v>0</v>
      </c>
      <c r="AX168" s="13">
        <f>COUNTIF(AX169:AX172,"X")</f>
        <v>0</v>
      </c>
      <c r="AY168" s="13">
        <f>COUNTIF(AY169:AY172,"X")</f>
        <v>0</v>
      </c>
      <c r="AZ168" s="13">
        <f>COUNTIF(AZ169:AZ172,"X")</f>
        <v>0</v>
      </c>
      <c r="BA168" s="13">
        <f>COUNTIF(BA169:BA172,"X")</f>
        <v>0</v>
      </c>
      <c r="BB168" s="13">
        <f>COUNTIF(BB169:BB172,"X")</f>
        <v>0</v>
      </c>
      <c r="BC168" s="13">
        <f>COUNTIF(BC169:BC172,"X")</f>
        <v>0</v>
      </c>
      <c r="BD168" s="13">
        <f>COUNTIF(BD169:BD172,"X")</f>
        <v>0</v>
      </c>
      <c r="BE168" s="13">
        <f>COUNTIF(BE169:BE172,"X")</f>
        <v>0</v>
      </c>
      <c r="BF168" s="13">
        <f>COUNTIF(BF169:BF172,"X")</f>
        <v>0</v>
      </c>
      <c r="BG168" s="13">
        <f>COUNTIF(BG169:BG172,"X")</f>
        <v>0</v>
      </c>
      <c r="BH168" s="13">
        <f>COUNTIF(BH169:BH172,"X")</f>
        <v>0</v>
      </c>
      <c r="BI168" s="13">
        <f>COUNTIF(BI169:BI172,"X")</f>
        <v>0</v>
      </c>
      <c r="BJ168" s="13">
        <f>COUNTIF(BJ169:BJ172,"X")</f>
        <v>0</v>
      </c>
      <c r="BK168" s="13">
        <f>COUNTIF(BK169:BK172,"X")</f>
        <v>0</v>
      </c>
      <c r="BL168" s="13">
        <f>COUNTIF(BL169:BL172,"X")</f>
        <v>0</v>
      </c>
      <c r="BM168" s="13">
        <f>COUNTIF(BM169:BM172,"X")</f>
        <v>0</v>
      </c>
      <c r="BN168" s="13">
        <f>COUNTIF(BN169:BN172,"X")</f>
        <v>0</v>
      </c>
      <c r="BO168" s="13">
        <f>COUNTIF(BO169:BO172,"X")</f>
        <v>0</v>
      </c>
      <c r="BP168" s="13">
        <f>COUNTIF(BP169:BP172,"X")</f>
        <v>0</v>
      </c>
      <c r="BQ168" s="13">
        <f>COUNTIF(BQ169:BQ172,"X")</f>
        <v>0</v>
      </c>
      <c r="BR168" s="13">
        <f>COUNTIF(BR169:BR172,"X")</f>
        <v>0</v>
      </c>
      <c r="BS168" s="13">
        <f>COUNTIF(BS169:BS172,"X")</f>
        <v>0</v>
      </c>
      <c r="BT168" s="13">
        <f>COUNTIF(BT169:BT172,"X")</f>
        <v>0</v>
      </c>
      <c r="BU168" s="13">
        <f>COUNTIF(BU169:BU172,"X")</f>
        <v>0</v>
      </c>
      <c r="BV168" s="13">
        <f>COUNTIF(BV169:BV172,"X")</f>
        <v>0</v>
      </c>
      <c r="BW168" s="13">
        <f>COUNTIF(BW169:BW172,"X")</f>
        <v>0</v>
      </c>
      <c r="BX168" s="13">
        <f>COUNTIF(BX169:BX172,"X")</f>
        <v>0</v>
      </c>
      <c r="BY168" s="13">
        <f>COUNTIF(BY169:BY172,"X")</f>
        <v>0</v>
      </c>
      <c r="BZ168" s="13">
        <f>COUNTIF(BZ169:BZ172,"X")</f>
        <v>0</v>
      </c>
      <c r="CA168" s="13">
        <f>COUNTIF(CA169:CA172,"X")</f>
        <v>0</v>
      </c>
      <c r="CB168" s="13">
        <f>COUNTIF(CB169:CB172,"X")</f>
        <v>0</v>
      </c>
      <c r="CC168" s="13">
        <f>COUNTIF(CC169:CC172,"X")</f>
        <v>0</v>
      </c>
      <c r="CD168" s="13">
        <f>COUNTIF(CD169:CD172,"X")</f>
        <v>0</v>
      </c>
      <c r="CE168" s="13">
        <f>COUNTIF(CE169:CE172,"X")</f>
        <v>0</v>
      </c>
      <c r="CF168" s="13">
        <f>COUNTIF(CF169:CF172,"X")</f>
        <v>0</v>
      </c>
      <c r="CG168" s="13">
        <f>COUNTIF(CG169:CG172,"X")</f>
        <v>0</v>
      </c>
      <c r="CH168" s="13">
        <f>COUNTIF(CH169:CH172,"X")</f>
        <v>0</v>
      </c>
      <c r="CI168" s="13">
        <f>COUNTIF(CI169:CI172,"X")</f>
        <v>0</v>
      </c>
      <c r="CJ168" s="13">
        <f>COUNTIF(CJ169:CJ172,"X")</f>
        <v>0</v>
      </c>
      <c r="CK168" s="13">
        <f>COUNTIF(CK169:CK172,"X")</f>
        <v>0</v>
      </c>
      <c r="CL168" s="13">
        <f>COUNTIF(CL169:CL172,"X")</f>
        <v>0</v>
      </c>
      <c r="CM168" s="13">
        <f>COUNTIF(CM169:CM172,"X")</f>
        <v>0</v>
      </c>
      <c r="CN168" s="13">
        <f>COUNTIF(CN169:CN172,"X")</f>
        <v>0</v>
      </c>
      <c r="CO168" s="13">
        <f>COUNTIF(CO169:CO172,"X")</f>
        <v>0</v>
      </c>
      <c r="CP168" s="13">
        <f>COUNTIF(CP169:CP172,"X")</f>
        <v>0</v>
      </c>
      <c r="CQ168" s="13">
        <f>COUNTIF(CQ169:CQ172,"X")</f>
        <v>0</v>
      </c>
      <c r="CR168" s="13">
        <f>COUNTIF(CR169:CR172,"X")</f>
        <v>0</v>
      </c>
      <c r="CS168" s="13">
        <f>COUNTIF(CS169:CS172,"X")</f>
        <v>0</v>
      </c>
      <c r="CT168" s="13">
        <f>COUNTIF(CT169:CT172,"X")</f>
        <v>0</v>
      </c>
      <c r="CU168" s="13">
        <f>COUNTIF(CU169:CU172,"X")</f>
        <v>0</v>
      </c>
      <c r="CV168" s="13">
        <f>COUNTIF(CV169:CV172,"X")</f>
        <v>0</v>
      </c>
      <c r="CW168" s="13">
        <f>COUNTIF(CW169:CW172,"X")</f>
        <v>0</v>
      </c>
      <c r="CX168" s="13">
        <f>COUNTIF(CX169:CX172,"X")</f>
        <v>0</v>
      </c>
      <c r="CY168" s="13">
        <f>COUNTIF(CY169:CY172,"X")</f>
        <v>0</v>
      </c>
      <c r="CZ168" s="13">
        <f>COUNTIF(CZ169:CZ172,"X")</f>
        <v>0</v>
      </c>
      <c r="DA168" s="13">
        <f>COUNTIF(DA169:DA172,"X")</f>
        <v>0</v>
      </c>
      <c r="DB168" s="13">
        <f>COUNTIF(DB169:DB172,"X")</f>
        <v>0</v>
      </c>
      <c r="DC168" s="13">
        <f>COUNTIF(DC169:DC172,"X")</f>
        <v>0</v>
      </c>
      <c r="DD168" s="13">
        <f>COUNTIF(DD169:DD172,"X")</f>
        <v>0</v>
      </c>
      <c r="DE168" s="13">
        <f>COUNTIF(DE169:DE172,"X")</f>
        <v>0</v>
      </c>
      <c r="DF168" s="13">
        <f>COUNTIF(DF169:DF172,"X")</f>
        <v>0</v>
      </c>
      <c r="DG168" s="13">
        <f>COUNTIF(DG169:DG172,"X")</f>
        <v>0</v>
      </c>
      <c r="DH168" s="13">
        <f>COUNTIF(DH169:DH172,"X")</f>
        <v>0</v>
      </c>
      <c r="DI168" s="13">
        <f>COUNTIF(DI169:DI172,"X")</f>
        <v>0</v>
      </c>
      <c r="DJ168" s="13">
        <f>COUNTIF(DJ169:DJ172,"X")</f>
        <v>0</v>
      </c>
      <c r="DK168" s="13">
        <f>COUNTIF(DK169:DK172,"X")</f>
        <v>0</v>
      </c>
      <c r="DL168" s="13">
        <f>COUNTIF(DL169:DL172,"X")</f>
        <v>0</v>
      </c>
      <c r="DM168" s="13">
        <f>COUNTIF(DM169:DM172,"X")</f>
        <v>0</v>
      </c>
      <c r="DN168" s="13">
        <f>COUNTIF(DN169:DN172,"X")</f>
        <v>0</v>
      </c>
      <c r="DO168" s="13">
        <f>COUNTIF(DO169:DO172,"X")</f>
        <v>0</v>
      </c>
      <c r="DP168" s="13">
        <f>COUNTIF(DP169:DP172,"X")</f>
        <v>0</v>
      </c>
      <c r="DQ168" s="13">
        <f>COUNTIF(DQ169:DQ172,"X")</f>
        <v>0</v>
      </c>
      <c r="DR168" s="13">
        <f>COUNTIF(DR169:DR172,"X")</f>
        <v>0</v>
      </c>
      <c r="DS168" s="13">
        <f>COUNTIF(DS169:DS172,"X")</f>
        <v>0</v>
      </c>
      <c r="DT168" s="13">
        <f>COUNTIF(DT169:DT172,"X")</f>
        <v>0</v>
      </c>
      <c r="DU168" s="13">
        <f>COUNTIF(DU169:DU172,"X")</f>
        <v>0</v>
      </c>
      <c r="DV168" s="13">
        <f>COUNTIF(DV169:DV172,"X")</f>
        <v>0</v>
      </c>
      <c r="DW168" s="13">
        <f>COUNTIF(DW169:DW172,"X")</f>
        <v>0</v>
      </c>
      <c r="DX168" s="13">
        <f>COUNTIF(DX169:DX172,"X")</f>
        <v>0</v>
      </c>
      <c r="DY168" s="13">
        <f>COUNTIF(DY169:DY172,"X")</f>
        <v>0</v>
      </c>
      <c r="DZ168" s="13">
        <f>COUNTIF(DZ169:DZ172,"X")</f>
        <v>0</v>
      </c>
      <c r="EA168" s="13">
        <f>COUNTIF(EA169:EA172,"X")</f>
        <v>0</v>
      </c>
      <c r="EB168" s="13">
        <f>COUNTIF(EB169:EB172,"X")</f>
        <v>0</v>
      </c>
      <c r="EC168" s="13">
        <f>COUNTIF(EC169:EC172,"X")</f>
        <v>0</v>
      </c>
      <c r="ED168" s="13">
        <f>COUNTIF(ED169:ED172,"X")</f>
        <v>0</v>
      </c>
      <c r="EE168" s="13">
        <f>COUNTIF(EE169:EE172,"X")</f>
        <v>0</v>
      </c>
      <c r="EF168" s="13">
        <f>COUNTIF(EF169:EF172,"X")</f>
        <v>0</v>
      </c>
      <c r="EG168" s="13">
        <f>COUNTIF(EG169:EG172,"X")</f>
        <v>0</v>
      </c>
      <c r="EH168" s="13">
        <f>COUNTIF(EH169:EH172,"X")</f>
        <v>0</v>
      </c>
      <c r="EI168" s="13">
        <f>COUNTIF(EI169:EI172,"X")</f>
        <v>0</v>
      </c>
      <c r="EJ168" s="13">
        <f>COUNTIF(EJ169:EJ172,"X")</f>
        <v>0</v>
      </c>
      <c r="EK168" s="13">
        <f>COUNTIF(EK169:EK172,"X")</f>
        <v>0</v>
      </c>
      <c r="EL168" s="13">
        <f>COUNTIF(EL169:EL172,"X")</f>
        <v>0</v>
      </c>
      <c r="EM168" s="13">
        <f>COUNTIF(EM169:EM172,"X")</f>
        <v>0</v>
      </c>
      <c r="EN168" s="13">
        <f>COUNTIF(EN169:EN172,"X")</f>
        <v>0</v>
      </c>
      <c r="EO168" s="13">
        <f>COUNTIF(EO169:EO172,"X")</f>
        <v>0</v>
      </c>
      <c r="EP168" s="13">
        <f>COUNTIF(EP169:EP172,"X")</f>
        <v>0</v>
      </c>
      <c r="EQ168" s="13">
        <f>COUNTIF(EQ169:EQ172,"X")</f>
        <v>0</v>
      </c>
      <c r="ER168" s="13">
        <f>COUNTIF(ER169:ER172,"X")</f>
        <v>0</v>
      </c>
      <c r="ES168" s="13">
        <f>COUNTIF(ES169:ES172,"X")</f>
        <v>0</v>
      </c>
      <c r="ET168" s="13">
        <f>COUNTIF(ET169:ET172,"X")</f>
        <v>0</v>
      </c>
      <c r="EU168" s="13">
        <f>COUNTIF(EU169:EU172,"X")</f>
        <v>0</v>
      </c>
      <c r="EV168" s="13">
        <f>COUNTIF(EV169:EV172,"X")</f>
        <v>0</v>
      </c>
      <c r="EW168" s="13">
        <f>COUNTIF(EW169:EW172,"X")</f>
        <v>0</v>
      </c>
      <c r="EX168" s="13">
        <f>COUNTIF(EX169:EX172,"X")</f>
        <v>0</v>
      </c>
      <c r="EY168" s="13">
        <f>COUNTIF(EY169:EY172,"X")</f>
        <v>0</v>
      </c>
      <c r="EZ168" s="13">
        <f>COUNTIF(EZ169:EZ172,"X")</f>
        <v>0</v>
      </c>
      <c r="FA168" s="13">
        <f>COUNTIF(FA169:FA172,"X")</f>
        <v>0</v>
      </c>
      <c r="FB168" s="13">
        <f>COUNTIF(FB169:FB172,"X")</f>
        <v>0</v>
      </c>
      <c r="FC168" s="13">
        <f>COUNTIF(FC169:FC172,"X")</f>
        <v>0</v>
      </c>
      <c r="FD168" s="13">
        <f>COUNTIF(FD169:FD172,"X")</f>
        <v>0</v>
      </c>
      <c r="FE168" s="13">
        <f>COUNTIF(FE169:FE172,"X")</f>
        <v>0</v>
      </c>
      <c r="FF168" s="13">
        <f>COUNTIF(FF169:FF172,"X")</f>
        <v>0</v>
      </c>
      <c r="FG168" s="13">
        <f>COUNTIF(FG169:FG172,"X")</f>
        <v>0</v>
      </c>
      <c r="FH168" s="13">
        <f>COUNTIF(FH169:FH172,"X")</f>
        <v>0</v>
      </c>
      <c r="FI168" s="13">
        <f>COUNTIF(FI169:FI172,"X")</f>
        <v>0</v>
      </c>
      <c r="FJ168" s="13">
        <f>COUNTIF(FJ169:FJ172,"X")</f>
        <v>0</v>
      </c>
      <c r="FK168" s="13">
        <f>COUNTIF(FK169:FK172,"X")</f>
        <v>0</v>
      </c>
      <c r="FL168" s="13">
        <f>COUNTIF(FL169:FL172,"X")</f>
        <v>0</v>
      </c>
      <c r="FM168" s="13">
        <f>COUNTIF(FM169:FM172,"X")</f>
        <v>0</v>
      </c>
      <c r="FN168" s="13">
        <f>COUNTIF(FN169:FN172,"X")</f>
        <v>0</v>
      </c>
      <c r="FO168" s="13">
        <f>COUNTIF(FO169:FO172,"X")</f>
        <v>0</v>
      </c>
      <c r="FP168" s="13">
        <f>COUNTIF(FP169:FP172,"X")</f>
        <v>0</v>
      </c>
      <c r="FQ168" s="13">
        <f>COUNTIF(FQ169:FQ172,"X")</f>
        <v>0</v>
      </c>
      <c r="FR168" s="13">
        <f>COUNTIF(FR169:FR172,"X")</f>
        <v>0</v>
      </c>
      <c r="FS168" s="13">
        <f>COUNTIF(FS169:FS172,"X")</f>
        <v>0</v>
      </c>
      <c r="FT168" s="13">
        <f>COUNTIF(FT169:FT172,"X")</f>
        <v>0</v>
      </c>
      <c r="FU168" s="13">
        <f>COUNTIF(FU169:FU172,"X")</f>
        <v>0</v>
      </c>
      <c r="FV168" s="13">
        <f>COUNTIF(FV169:FV172,"X")</f>
        <v>0</v>
      </c>
      <c r="FW168" s="13">
        <f>COUNTIF(FW169:FW172,"X")</f>
        <v>0</v>
      </c>
      <c r="FX168" s="13">
        <f>COUNTIF(FX169:FX172,"X")</f>
        <v>0</v>
      </c>
      <c r="FY168" s="13">
        <f>COUNTIF(FY169:FY172,"X")</f>
        <v>0</v>
      </c>
      <c r="FZ168" s="13">
        <f>COUNTIF(FZ169:FZ172,"X")</f>
        <v>0</v>
      </c>
      <c r="GA168" s="13">
        <f>COUNTIF(GA169:GA172,"X")</f>
        <v>0</v>
      </c>
      <c r="GB168" s="13">
        <f>COUNTIF(GB169:GB172,"X")</f>
        <v>0</v>
      </c>
      <c r="GC168" s="13">
        <f>COUNTIF(GC169:GC172,"X")</f>
        <v>0</v>
      </c>
      <c r="GD168" s="13">
        <f>COUNTIF(GD169:GD172,"X")</f>
        <v>0</v>
      </c>
      <c r="GE168" s="13">
        <f>COUNTIF(GE169:GE172,"X")</f>
        <v>0</v>
      </c>
      <c r="GF168" s="13">
        <f>COUNTIF(GF169:GF172,"X")</f>
        <v>0</v>
      </c>
      <c r="GG168" s="13">
        <f>COUNTIF(GG169:GG172,"X")</f>
        <v>0</v>
      </c>
      <c r="GH168" s="13">
        <f>COUNTIF(GH169:GH172,"X")</f>
        <v>0</v>
      </c>
      <c r="GI168" s="13">
        <f>COUNTIF(GI169:GI172,"X")</f>
        <v>0</v>
      </c>
      <c r="GJ168" s="13">
        <f>COUNTIF(GJ169:GJ172,"X")</f>
        <v>0</v>
      </c>
      <c r="GK168" s="13">
        <f>COUNTIF(GK169:GK172,"X")</f>
        <v>0</v>
      </c>
      <c r="GL168" s="13">
        <f>COUNTIF(GL169:GL172,"X")</f>
        <v>0</v>
      </c>
      <c r="GM168" s="13">
        <f>COUNTIF(GM169:GM172,"X")</f>
        <v>0</v>
      </c>
      <c r="GN168" s="13">
        <f>COUNTIF(GN169:GN172,"X")</f>
        <v>0</v>
      </c>
      <c r="GO168" s="13">
        <f>COUNTIF(GO169:GO172,"X")</f>
        <v>0</v>
      </c>
      <c r="GP168" s="13">
        <f>COUNTIF(GP169:GP172,"X")</f>
        <v>0</v>
      </c>
      <c r="GQ168" s="13">
        <f>COUNTIF(GQ169:GQ172,"X")</f>
        <v>0</v>
      </c>
      <c r="GR168" s="13">
        <f>COUNTIF(GR169:GR172,"X")</f>
        <v>0</v>
      </c>
      <c r="GS168" s="13">
        <f>COUNTIF(GS169:GS172,"X")</f>
        <v>0</v>
      </c>
      <c r="GT168" s="13">
        <f>COUNTIF(GT169:GT172,"X")</f>
        <v>0</v>
      </c>
      <c r="GU168" s="13">
        <f>COUNTIF(GU169:GU172,"X")</f>
        <v>0</v>
      </c>
      <c r="GV168" s="13">
        <f>COUNTIF(GV169:GV172,"X")</f>
        <v>0</v>
      </c>
      <c r="GW168" s="13">
        <f>COUNTIF(GW169:GW172,"X")</f>
        <v>0</v>
      </c>
      <c r="GX168" s="13">
        <f>COUNTIF(GX169:GX172,"X")</f>
        <v>0</v>
      </c>
      <c r="GY168" s="13">
        <f>COUNTIF(GY169:GY172,"X")</f>
        <v>0</v>
      </c>
      <c r="GZ168" s="13">
        <f>COUNTIF(GZ169:GZ172,"X")</f>
        <v>0</v>
      </c>
      <c r="HA168" s="13">
        <f>COUNTIF(HA169:HA172,"X")</f>
        <v>0</v>
      </c>
      <c r="HB168" s="13">
        <f>COUNTIF(HB169:HB172,"X")</f>
        <v>0</v>
      </c>
      <c r="HC168" s="13">
        <f>COUNTIF(HC169:HC172,"X")</f>
        <v>0</v>
      </c>
      <c r="HD168" s="13">
        <f>COUNTIF(HD169:HD172,"X")</f>
        <v>0</v>
      </c>
      <c r="HE168" s="13">
        <f>COUNTIF(HE169:HE172,"X")</f>
        <v>0</v>
      </c>
      <c r="HF168" s="13">
        <f>COUNTIF(HF169:HF172,"X")</f>
        <v>0</v>
      </c>
      <c r="HG168" s="13">
        <f>COUNTIF(HG169:HG172,"X")</f>
        <v>0</v>
      </c>
      <c r="HH168" s="13">
        <f>COUNTIF(HH169:HH172,"X")</f>
        <v>0</v>
      </c>
      <c r="HI168" s="13">
        <f>COUNTIF(HI169:HI172,"X")</f>
        <v>0</v>
      </c>
      <c r="HJ168" s="13">
        <f>COUNTIF(HJ169:HJ172,"X")</f>
        <v>0</v>
      </c>
      <c r="HK168" s="13">
        <f>COUNTIF(HK169:HK172,"X")</f>
        <v>0</v>
      </c>
      <c r="HL168" s="13">
        <f>COUNTIF(HL169:HL172,"X")</f>
        <v>0</v>
      </c>
      <c r="HM168" s="13">
        <f>COUNTIF(HM169:HM172,"X")</f>
        <v>0</v>
      </c>
      <c r="HN168" s="13">
        <f>COUNTIF(HN169:HN172,"X")</f>
        <v>0</v>
      </c>
      <c r="HO168" s="13">
        <f>COUNTIF(HO169:HO172,"X")</f>
        <v>0</v>
      </c>
      <c r="HP168" s="13">
        <f>COUNTIF(HP169:HP172,"X")</f>
        <v>0</v>
      </c>
      <c r="HQ168" s="13">
        <f>COUNTIF(HQ169:HQ172,"X")</f>
        <v>0</v>
      </c>
      <c r="HR168" s="13">
        <f>COUNTIF(HR169:HR172,"X")</f>
        <v>0</v>
      </c>
      <c r="HS168" s="13">
        <f>COUNTIF(HS169:HS172,"X")</f>
        <v>0</v>
      </c>
      <c r="HT168" s="13">
        <f>COUNTIF(HT169:HT172,"X")</f>
        <v>0</v>
      </c>
      <c r="HU168" s="13">
        <f>COUNTIF(HU169:HU172,"X")</f>
        <v>0</v>
      </c>
      <c r="HV168" s="13">
        <f>COUNTIF(HV169:HV172,"X")</f>
        <v>0</v>
      </c>
      <c r="HW168" s="13">
        <f>COUNTIF(HW169:HW172,"X")</f>
        <v>0</v>
      </c>
      <c r="HX168" s="13">
        <f>COUNTIF(HX169:HX172,"X")</f>
        <v>0</v>
      </c>
      <c r="HY168" s="13">
        <f>COUNTIF(HY169:HY172,"X")</f>
        <v>0</v>
      </c>
      <c r="HZ168" s="13">
        <f>COUNTIF(HZ169:HZ172,"X")</f>
        <v>0</v>
      </c>
      <c r="IA168" s="13">
        <f>COUNTIF(IA169:IA172,"X")</f>
        <v>0</v>
      </c>
      <c r="IB168" s="13">
        <f>COUNTIF(IB169:IB172,"X")</f>
        <v>0</v>
      </c>
      <c r="IC168" s="13">
        <f>COUNTIF(IC169:IC172,"X")</f>
        <v>0</v>
      </c>
      <c r="ID168" s="13">
        <f>COUNTIF(ID169:ID172,"X")</f>
        <v>0</v>
      </c>
      <c r="IE168" s="13">
        <f>COUNTIF(IE169:IE172,"X")</f>
        <v>0</v>
      </c>
      <c r="IF168" s="13">
        <f>COUNTIF(IF169:IF172,"X")</f>
        <v>0</v>
      </c>
      <c r="IG168" s="13">
        <f>COUNTIF(IG169:IG172,"X")</f>
        <v>0</v>
      </c>
      <c r="IH168" s="13">
        <f>COUNTIF(IH169:IH172,"X")</f>
        <v>0</v>
      </c>
      <c r="II168" s="13">
        <f>COUNTIF(II169:II172,"X")</f>
        <v>0</v>
      </c>
      <c r="IJ168" s="13">
        <f>COUNTIF(IJ169:IJ172,"X")</f>
        <v>0</v>
      </c>
      <c r="IK168" s="13">
        <f>COUNTIF(IK169:IK172,"X")</f>
        <v>0</v>
      </c>
      <c r="IL168" s="13">
        <f>COUNTIF(IL169:IL172,"X")</f>
        <v>0</v>
      </c>
      <c r="IM168" s="13">
        <f>COUNTIF(IM169:IM172,"X")</f>
        <v>0</v>
      </c>
      <c r="IN168" s="13">
        <f>COUNTIF(IN169:IN172,"X")</f>
        <v>0</v>
      </c>
      <c r="IO168" s="13">
        <f>COUNTIF(IO169:IO172,"X")</f>
        <v>0</v>
      </c>
      <c r="IP168" s="13">
        <f>COUNTIF(IP169:IP172,"X")</f>
        <v>0</v>
      </c>
      <c r="IQ168" s="13">
        <f>COUNTIF(IQ169:IQ172,"X")</f>
        <v>0</v>
      </c>
      <c r="IR168" s="13">
        <f>COUNTIF(IR169:IR172,"X")</f>
        <v>0</v>
      </c>
      <c r="IS168" s="13">
        <f>COUNTIF(IS169:IS172,"X")</f>
        <v>0</v>
      </c>
      <c r="IT168" s="13">
        <f>COUNTIF(IT169:IT172,"X")</f>
        <v>0</v>
      </c>
      <c r="IU168" s="13">
        <f>COUNTIF(IU169:IU172,"X")</f>
        <v>0</v>
      </c>
      <c r="IV168" s="13">
        <f>COUNTIF(IV169:IV172,"X")</f>
        <v>0</v>
      </c>
      <c r="IW168" s="13">
        <f>COUNTIF(IW169:IW172,"X")</f>
        <v>0</v>
      </c>
      <c r="IX168" s="13">
        <f>COUNTIF(IX169:IX172,"X")</f>
        <v>0</v>
      </c>
      <c r="IY168" s="13">
        <f>COUNTIF(IY169:IY172,"X")</f>
        <v>0</v>
      </c>
      <c r="IZ168" s="13">
        <f>COUNTIF(IZ169:IZ172,"X")</f>
        <v>0</v>
      </c>
      <c r="JA168" s="13">
        <f>COUNTIF(JA169:JA172,"X")</f>
        <v>0</v>
      </c>
      <c r="JB168" s="13">
        <f>COUNTIF(JB169:JB172,"X")</f>
        <v>0</v>
      </c>
      <c r="JC168" s="13">
        <f>COUNTIF(JC169:JC172,"X")</f>
        <v>0</v>
      </c>
      <c r="JD168" s="13">
        <f>COUNTIF(JD169:JD172,"X")</f>
        <v>0</v>
      </c>
      <c r="JE168" s="13">
        <f>COUNTIF(JE169:JE172,"X")</f>
        <v>0</v>
      </c>
      <c r="JF168" s="13">
        <f>COUNTIF(JF169:JF172,"X")</f>
        <v>0</v>
      </c>
      <c r="JG168" s="13">
        <f>COUNTIF(JG169:JG172,"X")</f>
        <v>0</v>
      </c>
      <c r="JH168" s="13">
        <f>COUNTIF(JH169:JH172,"X")</f>
        <v>0</v>
      </c>
      <c r="JI168" s="13">
        <f>COUNTIF(JI169:JI172,"X")</f>
        <v>0</v>
      </c>
      <c r="JJ168" s="13">
        <f>COUNTIF(JJ169:JJ172,"X")</f>
        <v>0</v>
      </c>
      <c r="JK168" s="13">
        <f>COUNTIF(JK169:JK172,"X")</f>
        <v>0</v>
      </c>
      <c r="JL168" s="13">
        <f>COUNTIF(JL169:JL172,"X")</f>
        <v>0</v>
      </c>
      <c r="JM168" s="13">
        <f>COUNTIF(JM169:JM172,"X")</f>
        <v>0</v>
      </c>
      <c r="JN168" s="13">
        <f>COUNTIF(JN169:JN172,"X")</f>
        <v>0</v>
      </c>
      <c r="JO168" s="13">
        <f>COUNTIF(JO169:JO172,"X")</f>
        <v>0</v>
      </c>
      <c r="JP168" s="13">
        <f>COUNTIF(JP169:JP172,"X")</f>
        <v>0</v>
      </c>
      <c r="JQ168" s="13">
        <f>COUNTIF(JQ169:JQ172,"X")</f>
        <v>0</v>
      </c>
      <c r="JR168" s="13">
        <f>COUNTIF(JR169:JR172,"X")</f>
        <v>0</v>
      </c>
      <c r="JS168" s="13">
        <f>COUNTIF(JS169:JS172,"X")</f>
        <v>0</v>
      </c>
      <c r="JT168" s="13">
        <f>COUNTIF(JT169:JT172,"X")</f>
        <v>0</v>
      </c>
      <c r="JU168" s="13">
        <f>COUNTIF(JU169:JU172,"X")</f>
        <v>0</v>
      </c>
      <c r="JV168" s="13">
        <f>COUNTIF(JV169:JV172,"X")</f>
        <v>0</v>
      </c>
      <c r="JW168" s="13">
        <f>COUNTIF(JW169:JW172,"X")</f>
        <v>0</v>
      </c>
      <c r="JX168" s="13">
        <f>COUNTIF(JX169:JX172,"X")</f>
        <v>0</v>
      </c>
      <c r="JY168" s="13">
        <f>COUNTIF(JY169:JY172,"X")</f>
        <v>0</v>
      </c>
      <c r="JZ168" s="13">
        <f>COUNTIF(JZ169:JZ172,"X")</f>
        <v>0</v>
      </c>
      <c r="KA168" s="13">
        <f>COUNTIF(KA169:KA172,"X")</f>
        <v>0</v>
      </c>
      <c r="KB168" s="13">
        <f>COUNTIF(KB169:KB172,"X")</f>
        <v>0</v>
      </c>
      <c r="KC168" s="13">
        <f>COUNTIF(KC169:KC172,"X")</f>
        <v>0</v>
      </c>
      <c r="KD168" s="13">
        <f>COUNTIF(KD169:KD172,"X")</f>
        <v>0</v>
      </c>
      <c r="KE168" s="13">
        <f>COUNTIF(KE169:KE172,"X")</f>
        <v>0</v>
      </c>
      <c r="KF168" s="13">
        <f>COUNTIF(KF169:KF172,"X")</f>
        <v>0</v>
      </c>
      <c r="KG168" s="13">
        <f>COUNTIF(KG169:KG172,"X")</f>
        <v>0</v>
      </c>
      <c r="KH168" s="13">
        <f>COUNTIF(KH169:KH172,"X")</f>
        <v>0</v>
      </c>
      <c r="KI168" s="13">
        <f>COUNTIF(KI169:KI172,"X")</f>
        <v>0</v>
      </c>
      <c r="KJ168" s="13">
        <f>COUNTIF(KJ169:KJ172,"X")</f>
        <v>0</v>
      </c>
      <c r="KK168" s="13">
        <f>COUNTIF(KK169:KK172,"X")</f>
        <v>0</v>
      </c>
      <c r="KL168" s="13">
        <f>COUNTIF(KL169:KL172,"X")</f>
        <v>0</v>
      </c>
      <c r="KM168" s="13">
        <f>COUNTIF(KM169:KM172,"X")</f>
        <v>0</v>
      </c>
      <c r="KN168" s="13">
        <f>COUNTIF(KN169:KN172,"X")</f>
        <v>0</v>
      </c>
      <c r="KO168" s="13">
        <f>COUNTIF(KO169:KO172,"X")</f>
        <v>0</v>
      </c>
      <c r="KP168" s="13">
        <f>COUNTIF(KP169:KP172,"X")</f>
        <v>0</v>
      </c>
      <c r="KQ168" s="13">
        <f>COUNTIF(KQ169:KQ172,"X")</f>
        <v>0</v>
      </c>
      <c r="KR168" s="13">
        <f>COUNTIF(KR169:KR172,"X")</f>
        <v>0</v>
      </c>
      <c r="KS168" s="13">
        <f>COUNTIF(KS169:KS172,"X")</f>
        <v>0</v>
      </c>
      <c r="KT168" s="13">
        <f>COUNTIF(KT169:KT172,"X")</f>
        <v>0</v>
      </c>
      <c r="KU168" s="13">
        <f>COUNTIF(KU169:KU172,"X")</f>
        <v>0</v>
      </c>
      <c r="KV168" s="13">
        <f>COUNTIF(KV169:KV172,"X")</f>
        <v>0</v>
      </c>
      <c r="KW168" s="13">
        <f>COUNTIF(KW169:KW172,"X")</f>
        <v>0</v>
      </c>
      <c r="KX168" s="13">
        <f>COUNTIF(KX169:KX172,"X")</f>
        <v>0</v>
      </c>
      <c r="KY168" s="13">
        <f>COUNTIF(KY169:KY172,"X")</f>
        <v>0</v>
      </c>
      <c r="KZ168" s="13">
        <f>COUNTIF(KZ169:KZ172,"X")</f>
        <v>0</v>
      </c>
      <c r="LA168" s="13">
        <f>COUNTIF(LA169:LA172,"X")</f>
        <v>0</v>
      </c>
      <c r="LB168" s="13">
        <f>COUNTIF(LB169:LB172,"X")</f>
        <v>0</v>
      </c>
      <c r="LC168" s="13">
        <f>COUNTIF(LC169:LC172,"X")</f>
        <v>0</v>
      </c>
      <c r="LD168" s="13">
        <f>COUNTIF(LD169:LD172,"X")</f>
        <v>0</v>
      </c>
      <c r="LE168" s="13">
        <f>COUNTIF(LE169:LE172,"X")</f>
        <v>0</v>
      </c>
      <c r="LF168" s="13">
        <f>COUNTIF(LF169:LF172,"X")</f>
        <v>0</v>
      </c>
      <c r="LG168" s="13">
        <f>COUNTIF(LG169:LG172,"X")</f>
        <v>0</v>
      </c>
      <c r="LH168" s="13">
        <f>COUNTIF(LH169:LH172,"X")</f>
        <v>0</v>
      </c>
      <c r="LI168" s="13">
        <f>COUNTIF(LI169:LI172,"X")</f>
        <v>0</v>
      </c>
      <c r="LJ168" s="13">
        <f>COUNTIF(LJ169:LJ172,"X")</f>
        <v>0</v>
      </c>
      <c r="LK168" s="13">
        <f>COUNTIF(LK169:LK172,"X")</f>
        <v>0</v>
      </c>
      <c r="LL168" s="13">
        <f>COUNTIF(LL169:LL172,"X")</f>
        <v>0</v>
      </c>
      <c r="LM168" s="13">
        <f>COUNTIF(LM169:LM172,"X")</f>
        <v>0</v>
      </c>
      <c r="LN168" s="13">
        <f>COUNTIF(LN169:LN172,"X")</f>
        <v>0</v>
      </c>
      <c r="LO168" s="13">
        <f>COUNTIF(LO169:LO172,"X")</f>
        <v>0</v>
      </c>
      <c r="LP168" s="13">
        <f>COUNTIF(LP169:LP172,"X")</f>
        <v>0</v>
      </c>
      <c r="LQ168" s="13">
        <f>COUNTIF(LQ169:LQ172,"X")</f>
        <v>0</v>
      </c>
      <c r="LR168" s="13">
        <f>COUNTIF(LR169:LR172,"X")</f>
        <v>0</v>
      </c>
      <c r="LS168" s="13">
        <f>COUNTIF(LS169:LS172,"X")</f>
        <v>0</v>
      </c>
      <c r="LT168" s="13">
        <f>COUNTIF(LT169:LT172,"X")</f>
        <v>0</v>
      </c>
      <c r="LU168" s="13">
        <f>COUNTIF(LU169:LU172,"X")</f>
        <v>0</v>
      </c>
      <c r="LV168" s="13">
        <f>COUNTIF(LV169:LV172,"X")</f>
        <v>0</v>
      </c>
      <c r="LW168" s="13">
        <f>COUNTIF(LW169:LW172,"X")</f>
        <v>0</v>
      </c>
      <c r="LX168" s="13">
        <f>COUNTIF(LX169:LX172,"X")</f>
        <v>0</v>
      </c>
      <c r="LY168" s="13">
        <f>COUNTIF(LY169:LY172,"X")</f>
        <v>0</v>
      </c>
      <c r="LZ168" s="13">
        <f>COUNTIF(LZ169:LZ172,"X")</f>
        <v>0</v>
      </c>
      <c r="MA168" s="13">
        <f>COUNTIF(MA169:MA172,"X")</f>
        <v>0</v>
      </c>
      <c r="MB168" s="13">
        <f>COUNTIF(MB169:MB172,"X")</f>
        <v>0</v>
      </c>
      <c r="MC168" s="13">
        <f>COUNTIF(MC169:MC172,"X")</f>
        <v>0</v>
      </c>
      <c r="MD168" s="13">
        <f>COUNTIF(MD169:MD172,"X")</f>
        <v>0</v>
      </c>
      <c r="ME168" s="13">
        <f>COUNTIF(ME169:ME172,"X")</f>
        <v>0</v>
      </c>
      <c r="MF168" s="13">
        <f>COUNTIF(MF169:MF172,"X")</f>
        <v>0</v>
      </c>
      <c r="MG168" s="13">
        <f>COUNTIF(MG169:MG172,"X")</f>
        <v>0</v>
      </c>
      <c r="MH168" s="13">
        <f>COUNTIF(MH169:MH172,"X")</f>
        <v>0</v>
      </c>
      <c r="MI168" s="13">
        <f>COUNTIF(MI169:MI172,"X")</f>
        <v>0</v>
      </c>
      <c r="MJ168" s="13">
        <f>COUNTIF(MJ169:MJ172,"X")</f>
        <v>0</v>
      </c>
      <c r="MK168" s="13">
        <f>COUNTIF(MK169:MK172,"X")</f>
        <v>0</v>
      </c>
      <c r="ML168" s="13">
        <f>COUNTIF(ML169:ML172,"X")</f>
        <v>0</v>
      </c>
      <c r="MM168" s="13">
        <f>COUNTIF(MM169:MM172,"X")</f>
        <v>0</v>
      </c>
      <c r="MN168" s="13">
        <f>COUNTIF(MN169:MN172,"X")</f>
        <v>0</v>
      </c>
      <c r="MO168" s="13">
        <f>COUNTIF(MO169:MO172,"X")</f>
        <v>0</v>
      </c>
      <c r="MP168" s="13">
        <f>COUNTIF(MP169:MP172,"X")</f>
        <v>0</v>
      </c>
      <c r="MQ168" s="13">
        <f>COUNTIF(MQ169:MQ172,"X")</f>
        <v>0</v>
      </c>
      <c r="MR168" s="13">
        <f>COUNTIF(MR169:MR172,"X")</f>
        <v>0</v>
      </c>
      <c r="MS168" s="13">
        <f>COUNTIF(MS169:MS172,"X")</f>
        <v>0</v>
      </c>
      <c r="MT168" s="13">
        <f>COUNTIF(MT169:MT172,"X")</f>
        <v>0</v>
      </c>
      <c r="MU168" s="13">
        <f>COUNTIF(MU169:MU172,"X")</f>
        <v>0</v>
      </c>
      <c r="MV168" s="13">
        <f>COUNTIF(MV169:MV172,"X")</f>
        <v>0</v>
      </c>
      <c r="MW168" s="13">
        <f>COUNTIF(MW169:MW172,"X")</f>
        <v>0</v>
      </c>
      <c r="MX168" s="13">
        <f>COUNTIF(MX169:MX172,"X")</f>
        <v>0</v>
      </c>
      <c r="MY168" s="13">
        <f>COUNTIF(MY169:MY172,"X")</f>
        <v>0</v>
      </c>
      <c r="MZ168" s="13">
        <f>COUNTIF(MZ169:MZ172,"X")</f>
        <v>0</v>
      </c>
      <c r="NA168" s="13">
        <f>COUNTIF(NA169:NA172,"X")</f>
        <v>0</v>
      </c>
      <c r="NB168" s="13">
        <f>COUNTIF(NB169:NB172,"X")</f>
        <v>0</v>
      </c>
      <c r="NC168" s="13">
        <f>COUNTIF(NC169:NC172,"X")</f>
        <v>0</v>
      </c>
      <c r="ND168" s="13">
        <f>COUNTIF(ND169:ND172,"X")</f>
        <v>0</v>
      </c>
      <c r="NE168" s="13">
        <f>COUNTIF(NE169:NE172,"X")</f>
        <v>0</v>
      </c>
      <c r="NF168" s="13">
        <f>COUNTIF(NF169:NF172,"X")</f>
        <v>0</v>
      </c>
      <c r="NG168" s="13">
        <f>COUNTIF(NG169:NG172,"X")</f>
        <v>0</v>
      </c>
      <c r="NH168" s="13">
        <f>COUNTIF(NH169:NH172,"X")</f>
        <v>0</v>
      </c>
      <c r="NI168" s="13">
        <f>COUNTIF(NI169:NI172,"X")</f>
        <v>0</v>
      </c>
      <c r="NJ168" s="13">
        <f>COUNTIF(NJ169:NJ172,"X")</f>
        <v>0</v>
      </c>
      <c r="NK168" s="13">
        <f>COUNTIF(NK169:NK172,"X")</f>
        <v>0</v>
      </c>
      <c r="NL168" s="13">
        <f>COUNTIF(NL169:NL172,"X")</f>
        <v>0</v>
      </c>
      <c r="NM168" s="13">
        <f>COUNTIF(NM169:NM172,"X")</f>
        <v>0</v>
      </c>
      <c r="NN168" s="13">
        <f>COUNTIF(NN169:NN172,"X")</f>
        <v>0</v>
      </c>
      <c r="NO168" s="13">
        <f>COUNTIF(NO169:NO172,"X")</f>
        <v>0</v>
      </c>
      <c r="NP168" s="13">
        <f>COUNTIF(NP169:NP172,"X")</f>
        <v>0</v>
      </c>
      <c r="NQ168" s="13">
        <f>COUNTIF(NQ169:NQ172,"X")</f>
        <v>0</v>
      </c>
      <c r="NR168" s="13">
        <f>COUNTIF(NR169:NR172,"X")</f>
        <v>0</v>
      </c>
      <c r="NS168" s="13">
        <f>COUNTIF(NS169:NS172,"X")</f>
        <v>0</v>
      </c>
      <c r="NT168" s="14">
        <f>SUM(F168:NS168)</f>
        <v>0</v>
      </c>
      <c r="NU168" s="93"/>
      <c r="NV168" s="30">
        <f>SUMIF(NW169:NW172,0,NV169:NV172)</f>
        <v>0</v>
      </c>
      <c r="NW168" s="30">
        <f>SUMIF(NW169:NW172,0,NV169:NV172)</f>
        <v>0</v>
      </c>
      <c r="NX168" s="14">
        <f>SUM(F168:AU168)</f>
        <v>0</v>
      </c>
      <c r="NY168" s="93"/>
      <c r="NZ168" s="30">
        <f>SUMIF(OA169:OA172,0,NZ169:NZ172)</f>
        <v>0</v>
      </c>
      <c r="OA168" s="30">
        <f>SUMIF(OA169:OA172,0,NZ169:NZ172)</f>
        <v>0</v>
      </c>
      <c r="OB168" s="14">
        <f>SUM(AV168:CK168)</f>
        <v>0</v>
      </c>
      <c r="OC168" s="93"/>
      <c r="OD168" s="30">
        <f>SUMIF(OE169:OE172,0,OD169:OD172)</f>
        <v>0</v>
      </c>
      <c r="OE168" s="30">
        <f>SUMIF(OE169:OE172,0,OD169:OD172)</f>
        <v>0</v>
      </c>
      <c r="OF168" s="14">
        <f>SUM(CL168:EA168)</f>
        <v>0</v>
      </c>
      <c r="OG168" s="85"/>
      <c r="OH168" s="30">
        <f>SUMIF(OI169:OI172,0,OH169:OH172)</f>
        <v>0</v>
      </c>
      <c r="OI168" s="30">
        <f>SUMIF(OI169:OI172,0,OH169:OH172)</f>
        <v>0</v>
      </c>
      <c r="OJ168" s="14">
        <f>SUM(EB168:FQ168)</f>
        <v>0</v>
      </c>
      <c r="OK168" s="85"/>
      <c r="OL168" s="30">
        <f>SUMIF(OM169:OM172,0,OL169:OL172)</f>
        <v>0</v>
      </c>
      <c r="OM168" s="30">
        <f>SUMIF(OM169:OM172,0,OL169:OL172)</f>
        <v>0</v>
      </c>
      <c r="ON168" s="14">
        <f>SUM(FR168:HG168)</f>
        <v>0</v>
      </c>
      <c r="OO168" s="85"/>
      <c r="OP168" s="30">
        <f>SUMIF(OQ169:OQ172,0,OP169:OP172)</f>
        <v>0</v>
      </c>
      <c r="OQ168" s="85"/>
      <c r="OR168" s="14">
        <f>SUM(HH168:IW168)</f>
        <v>0</v>
      </c>
      <c r="OS168" s="85"/>
      <c r="OT168" s="30">
        <f>SUMIF(OU169:OU172,0,OT169:OT172)</f>
        <v>0</v>
      </c>
      <c r="OU168" s="30">
        <f>SUMIF(OU169:OU172,0,OT169:OT172)</f>
        <v>0</v>
      </c>
      <c r="OV168" s="14">
        <f>SUM(IX168:KM168)</f>
        <v>0</v>
      </c>
      <c r="OW168" s="85"/>
      <c r="OX168" s="30">
        <f>SUMIF(OY169:OY172,0,OX169:OX172)</f>
        <v>0</v>
      </c>
      <c r="OY168" s="30">
        <f>SUMIF(OY169:OY172,0,OX169:OX172)</f>
        <v>0</v>
      </c>
      <c r="OZ168" s="14">
        <f>SUM(KN168:MC168)</f>
        <v>0</v>
      </c>
      <c r="PA168" s="85"/>
      <c r="PB168" s="30">
        <f>SUMIF(PC169:PC172,0,PB169:PB172)</f>
        <v>0</v>
      </c>
      <c r="PC168" s="30">
        <f>SUMIF(PC169:PC172,0,PB169:PB172)</f>
        <v>0</v>
      </c>
      <c r="PD168" s="14">
        <f>SUM(MD168:NS168)</f>
        <v>0</v>
      </c>
      <c r="PE168" s="85"/>
    </row>
    <row r="169" spans="1:421" ht="15.75" customHeight="1" outlineLevel="1" x14ac:dyDescent="0.25">
      <c r="C169" s="82"/>
      <c r="D169" s="59"/>
      <c r="E169" s="53" t="s">
        <v>8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69"/>
      <c r="Q169" s="33"/>
      <c r="R169" s="33"/>
      <c r="S169" s="33"/>
      <c r="T169" s="33"/>
      <c r="U169" s="33"/>
      <c r="V169" s="33"/>
      <c r="W169" s="69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  <c r="HI169" s="33"/>
      <c r="HJ169" s="33"/>
      <c r="HK169" s="33"/>
      <c r="HL169" s="33"/>
      <c r="HM169" s="33"/>
      <c r="HN169" s="33"/>
      <c r="HO169" s="33"/>
      <c r="HP169" s="33"/>
      <c r="HQ169" s="33"/>
      <c r="HR169" s="33"/>
      <c r="HS169" s="33"/>
      <c r="HT169" s="33"/>
      <c r="HU169" s="33"/>
      <c r="HV169" s="33"/>
      <c r="HW169" s="33"/>
      <c r="HX169" s="33"/>
      <c r="HY169" s="33"/>
      <c r="HZ169" s="33"/>
      <c r="IA169" s="33"/>
      <c r="IB169" s="33"/>
      <c r="IC169" s="33"/>
      <c r="ID169" s="33"/>
      <c r="IE169" s="33"/>
      <c r="IF169" s="33"/>
      <c r="IG169" s="33"/>
      <c r="IH169" s="33"/>
      <c r="II169" s="33"/>
      <c r="IJ169" s="33"/>
      <c r="IK169" s="33"/>
      <c r="IL169" s="33"/>
      <c r="IM169" s="33"/>
      <c r="IN169" s="33"/>
      <c r="IO169" s="33"/>
      <c r="IP169" s="33"/>
      <c r="IQ169" s="33"/>
      <c r="IR169" s="33"/>
      <c r="IS169" s="33"/>
      <c r="IT169" s="33"/>
      <c r="IU169" s="33"/>
      <c r="IV169" s="33"/>
      <c r="IW169" s="33"/>
      <c r="IX169" s="33"/>
      <c r="IY169" s="33"/>
      <c r="IZ169" s="33"/>
      <c r="JA169" s="33"/>
      <c r="JB169" s="33"/>
      <c r="JC169" s="33"/>
      <c r="JD169" s="33"/>
      <c r="JE169" s="33"/>
      <c r="JF169" s="33"/>
      <c r="JG169" s="33"/>
      <c r="JH169" s="33"/>
      <c r="JI169" s="33"/>
      <c r="JJ169" s="33"/>
      <c r="JK169" s="33"/>
      <c r="JL169" s="33"/>
      <c r="JM169" s="33"/>
      <c r="JN169" s="33"/>
      <c r="JO169" s="33"/>
      <c r="JP169" s="33"/>
      <c r="JQ169" s="33"/>
      <c r="JR169" s="33"/>
      <c r="JS169" s="33"/>
      <c r="JT169" s="33"/>
      <c r="JU169" s="33"/>
      <c r="JV169" s="33"/>
      <c r="JW169" s="33"/>
      <c r="JX169" s="33"/>
      <c r="JY169" s="33"/>
      <c r="JZ169" s="33"/>
      <c r="KA169" s="33"/>
      <c r="KB169" s="33"/>
      <c r="KC169" s="33"/>
      <c r="KD169" s="33"/>
      <c r="KE169" s="33"/>
      <c r="KF169" s="33"/>
      <c r="KG169" s="33"/>
      <c r="KH169" s="33"/>
      <c r="KI169" s="33"/>
      <c r="KJ169" s="33"/>
      <c r="KK169" s="33"/>
      <c r="KL169" s="33"/>
      <c r="KM169" s="33"/>
      <c r="KN169" s="33"/>
      <c r="KO169" s="33"/>
      <c r="KP169" s="33"/>
      <c r="KQ169" s="33"/>
      <c r="KR169" s="33"/>
      <c r="KS169" s="33"/>
      <c r="KT169" s="33"/>
      <c r="KU169" s="33"/>
      <c r="KV169" s="33"/>
      <c r="KW169" s="33"/>
      <c r="KX169" s="33"/>
      <c r="KY169" s="33"/>
      <c r="KZ169" s="33"/>
      <c r="LA169" s="33"/>
      <c r="LB169" s="33"/>
      <c r="LC169" s="33"/>
      <c r="LD169" s="33"/>
      <c r="LE169" s="33"/>
      <c r="LF169" s="33"/>
      <c r="LG169" s="33"/>
      <c r="LH169" s="33"/>
      <c r="LI169" s="33"/>
      <c r="LJ169" s="33"/>
      <c r="LK169" s="33"/>
      <c r="LL169" s="33"/>
      <c r="LM169" s="33"/>
      <c r="LN169" s="33"/>
      <c r="LO169" s="33"/>
      <c r="LP169" s="33"/>
      <c r="LQ169" s="33"/>
      <c r="LR169" s="33"/>
      <c r="LS169" s="33"/>
      <c r="LT169" s="33"/>
      <c r="LU169" s="33"/>
      <c r="LV169" s="33"/>
      <c r="LW169" s="33"/>
      <c r="LX169" s="33"/>
      <c r="LY169" s="33"/>
      <c r="LZ169" s="33"/>
      <c r="MA169" s="33"/>
      <c r="MB169" s="33"/>
      <c r="MC169" s="33"/>
      <c r="MD169" s="33"/>
      <c r="ME169" s="33"/>
      <c r="MF169" s="33"/>
      <c r="MG169" s="33"/>
      <c r="MH169" s="33"/>
      <c r="MI169" s="33"/>
      <c r="MJ169" s="33"/>
      <c r="MK169" s="33"/>
      <c r="ML169" s="33"/>
      <c r="MM169" s="33"/>
      <c r="MN169" s="33"/>
      <c r="MO169" s="33"/>
      <c r="MP169" s="33"/>
      <c r="MQ169" s="33"/>
      <c r="MR169" s="33"/>
      <c r="MS169" s="33"/>
      <c r="MT169" s="33"/>
      <c r="MU169" s="33"/>
      <c r="MV169" s="33"/>
      <c r="MW169" s="33"/>
      <c r="MX169" s="33"/>
      <c r="MY169" s="33"/>
      <c r="MZ169" s="33"/>
      <c r="NA169" s="33"/>
      <c r="NB169" s="33"/>
      <c r="NC169" s="33"/>
      <c r="ND169" s="33"/>
      <c r="NE169" s="33"/>
      <c r="NF169" s="33"/>
      <c r="NG169" s="33"/>
      <c r="NH169" s="33"/>
      <c r="NI169" s="33"/>
      <c r="NJ169" s="33"/>
      <c r="NK169" s="33"/>
      <c r="NL169" s="33"/>
      <c r="NM169" s="33"/>
      <c r="NN169" s="33"/>
      <c r="NO169" s="33"/>
      <c r="NP169" s="33"/>
      <c r="NQ169" s="33"/>
      <c r="NR169" s="33"/>
      <c r="NS169" s="33"/>
      <c r="NT169" s="31">
        <f>COUNTIF(F169:NS169,"1")</f>
        <v>0</v>
      </c>
      <c r="NU169" s="80" t="e">
        <f>NT170/NT169</f>
        <v>#DIV/0!</v>
      </c>
      <c r="NV169" s="29">
        <f>+IF(NX169&gt;=1,"1",0)</f>
        <v>0</v>
      </c>
      <c r="NW169" s="38">
        <f t="shared" ref="NW169:NW172" si="329">MOD(ROW(NW169),2)</f>
        <v>1</v>
      </c>
      <c r="NX169" s="35">
        <f>COUNTIF(F169:AU169,"1")</f>
        <v>0</v>
      </c>
      <c r="NY169" s="92" t="e">
        <f t="shared" si="320"/>
        <v>#DIV/0!</v>
      </c>
      <c r="NZ169" s="29">
        <f>+IF(OB169&gt;=1,"1",0)</f>
        <v>0</v>
      </c>
      <c r="OA169" s="38">
        <f t="shared" ref="OA169:OA172" si="330">MOD(ROW(OA169),2)</f>
        <v>1</v>
      </c>
      <c r="OB169" s="35">
        <f>COUNTIF(AV169:CK169,"1")</f>
        <v>0</v>
      </c>
      <c r="OC169" s="80" t="e">
        <f>OB170/OB169</f>
        <v>#DIV/0!</v>
      </c>
      <c r="OD169" s="29">
        <f>+IF(OF169&gt;=1,"1",0)</f>
        <v>0</v>
      </c>
      <c r="OE169" s="38">
        <f t="shared" ref="OE169:OE172" si="331">MOD(ROW(OE169),2)</f>
        <v>1</v>
      </c>
      <c r="OF169" s="35">
        <f>COUNTIF(CL169:EA169,"1")</f>
        <v>0</v>
      </c>
      <c r="OG169" s="80" t="e">
        <f>OF170/OF169</f>
        <v>#DIV/0!</v>
      </c>
      <c r="OH169" s="29">
        <f>+IF(OJ169&gt;=1,"1",0)</f>
        <v>0</v>
      </c>
      <c r="OI169" s="38">
        <f t="shared" ref="OI169:OI172" si="332">MOD(ROW(OI169),2)</f>
        <v>1</v>
      </c>
      <c r="OJ169" s="35">
        <f>COUNTIF(EB169:FQ169,"1")</f>
        <v>0</v>
      </c>
      <c r="OK169" s="79" t="e">
        <f>OJ170/OJ169</f>
        <v>#DIV/0!</v>
      </c>
      <c r="OL169" s="29">
        <f>+IF(ON169&gt;=1,"1",0)</f>
        <v>0</v>
      </c>
      <c r="OM169" s="38">
        <f t="shared" ref="OM169:OM172" si="333">MOD(ROW(OM169),2)</f>
        <v>1</v>
      </c>
      <c r="ON169" s="35">
        <f>COUNTIF(FR169:HG169,"1")</f>
        <v>0</v>
      </c>
      <c r="OO169" s="79" t="e">
        <f>ON170/ON169</f>
        <v>#DIV/0!</v>
      </c>
      <c r="OP169" s="29">
        <f>+IF(OR169&gt;=1,"1",0)</f>
        <v>0</v>
      </c>
      <c r="OQ169" s="38">
        <f t="shared" ref="OQ169:OQ172" si="334">MOD(ROW(OQ169),2)</f>
        <v>1</v>
      </c>
      <c r="OR169" s="35">
        <f>COUNTIF(HH169:IW169,"1")</f>
        <v>0</v>
      </c>
      <c r="OS169" s="79" t="e">
        <f>OR170/OR169</f>
        <v>#DIV/0!</v>
      </c>
      <c r="OT169" s="29">
        <f>+IF(OV169&gt;=1,"1",0)</f>
        <v>0</v>
      </c>
      <c r="OU169" s="38">
        <f t="shared" ref="OU169:OU172" si="335">MOD(ROW(OU169),2)</f>
        <v>1</v>
      </c>
      <c r="OV169" s="35">
        <f>COUNTIF(IX169:KM169,"1")</f>
        <v>0</v>
      </c>
      <c r="OW169" s="79" t="e">
        <f>OV170/OV169</f>
        <v>#DIV/0!</v>
      </c>
      <c r="OX169" s="29">
        <f>+IF(OZ169&gt;=1,"1",0)</f>
        <v>0</v>
      </c>
      <c r="OY169" s="38">
        <f t="shared" ref="OY169:OY172" si="336">MOD(ROW(OY169),2)</f>
        <v>1</v>
      </c>
      <c r="OZ169" s="35">
        <f>COUNTIF(KN169:MC169,"1")</f>
        <v>0</v>
      </c>
      <c r="PA169" s="79" t="e">
        <f>OZ170/OZ169</f>
        <v>#DIV/0!</v>
      </c>
      <c r="PB169" s="29">
        <f>+IF(PD169&gt;=1,"1",0)</f>
        <v>0</v>
      </c>
      <c r="PC169" s="38">
        <f t="shared" ref="PC169:PC172" si="337">MOD(ROW(PC169),2)</f>
        <v>1</v>
      </c>
      <c r="PD169" s="35">
        <f>COUNTIF(MD169:NS169,"1")</f>
        <v>0</v>
      </c>
      <c r="PE169" s="79" t="e">
        <f>PD170/PD169</f>
        <v>#DIV/0!</v>
      </c>
    </row>
    <row r="170" spans="1:421" ht="15.75" customHeight="1" outlineLevel="1" thickBot="1" x14ac:dyDescent="0.3">
      <c r="C170" s="83"/>
      <c r="D170" s="60"/>
      <c r="E170" s="54" t="s">
        <v>9</v>
      </c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70"/>
      <c r="Q170" s="34"/>
      <c r="R170" s="34"/>
      <c r="S170" s="34"/>
      <c r="T170" s="34"/>
      <c r="U170" s="34"/>
      <c r="V170" s="34"/>
      <c r="W170" s="70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  <c r="HB170" s="34"/>
      <c r="HC170" s="34"/>
      <c r="HD170" s="34"/>
      <c r="HE170" s="34"/>
      <c r="HF170" s="34"/>
      <c r="HG170" s="34"/>
      <c r="HH170" s="34"/>
      <c r="HI170" s="34"/>
      <c r="HJ170" s="34"/>
      <c r="HK170" s="34"/>
      <c r="HL170" s="34"/>
      <c r="HM170" s="34"/>
      <c r="HN170" s="34"/>
      <c r="HO170" s="34"/>
      <c r="HP170" s="34"/>
      <c r="HQ170" s="34"/>
      <c r="HR170" s="34"/>
      <c r="HS170" s="34"/>
      <c r="HT170" s="34"/>
      <c r="HU170" s="34"/>
      <c r="HV170" s="34"/>
      <c r="HW170" s="34"/>
      <c r="HX170" s="34"/>
      <c r="HY170" s="34"/>
      <c r="HZ170" s="34"/>
      <c r="IA170" s="34"/>
      <c r="IB170" s="34"/>
      <c r="IC170" s="34"/>
      <c r="ID170" s="34"/>
      <c r="IE170" s="34"/>
      <c r="IF170" s="34"/>
      <c r="IG170" s="34"/>
      <c r="IH170" s="34"/>
      <c r="II170" s="34"/>
      <c r="IJ170" s="34"/>
      <c r="IK170" s="34"/>
      <c r="IL170" s="34"/>
      <c r="IM170" s="34"/>
      <c r="IN170" s="34"/>
      <c r="IO170" s="34"/>
      <c r="IP170" s="34"/>
      <c r="IQ170" s="34"/>
      <c r="IR170" s="34"/>
      <c r="IS170" s="34"/>
      <c r="IT170" s="34"/>
      <c r="IU170" s="34"/>
      <c r="IV170" s="34"/>
      <c r="IW170" s="34"/>
      <c r="IX170" s="34"/>
      <c r="IY170" s="34"/>
      <c r="IZ170" s="34"/>
      <c r="JA170" s="34"/>
      <c r="JB170" s="34"/>
      <c r="JC170" s="34"/>
      <c r="JD170" s="34"/>
      <c r="JE170" s="34"/>
      <c r="JF170" s="34"/>
      <c r="JG170" s="34"/>
      <c r="JH170" s="34"/>
      <c r="JI170" s="34"/>
      <c r="JJ170" s="34"/>
      <c r="JK170" s="34"/>
      <c r="JL170" s="34"/>
      <c r="JM170" s="34"/>
      <c r="JN170" s="34"/>
      <c r="JO170" s="34"/>
      <c r="JP170" s="34"/>
      <c r="JQ170" s="34"/>
      <c r="JR170" s="34"/>
      <c r="JS170" s="34"/>
      <c r="JT170" s="34"/>
      <c r="JU170" s="34"/>
      <c r="JV170" s="34"/>
      <c r="JW170" s="34"/>
      <c r="JX170" s="34"/>
      <c r="JY170" s="34"/>
      <c r="JZ170" s="34"/>
      <c r="KA170" s="34"/>
      <c r="KB170" s="34"/>
      <c r="KC170" s="34"/>
      <c r="KD170" s="34"/>
      <c r="KE170" s="34"/>
      <c r="KF170" s="34"/>
      <c r="KG170" s="34"/>
      <c r="KH170" s="34"/>
      <c r="KI170" s="34"/>
      <c r="KJ170" s="34"/>
      <c r="KK170" s="34"/>
      <c r="KL170" s="34"/>
      <c r="KM170" s="34"/>
      <c r="KN170" s="34"/>
      <c r="KO170" s="34"/>
      <c r="KP170" s="34"/>
      <c r="KQ170" s="34"/>
      <c r="KR170" s="34"/>
      <c r="KS170" s="34"/>
      <c r="KT170" s="34"/>
      <c r="KU170" s="34"/>
      <c r="KV170" s="34"/>
      <c r="KW170" s="34"/>
      <c r="KX170" s="34"/>
      <c r="KY170" s="34"/>
      <c r="KZ170" s="34"/>
      <c r="LA170" s="34"/>
      <c r="LB170" s="34"/>
      <c r="LC170" s="34"/>
      <c r="LD170" s="34"/>
      <c r="LE170" s="34"/>
      <c r="LF170" s="34"/>
      <c r="LG170" s="34"/>
      <c r="LH170" s="34"/>
      <c r="LI170" s="34"/>
      <c r="LJ170" s="34"/>
      <c r="LK170" s="34"/>
      <c r="LL170" s="34"/>
      <c r="LM170" s="34"/>
      <c r="LN170" s="34"/>
      <c r="LO170" s="34"/>
      <c r="LP170" s="34"/>
      <c r="LQ170" s="34"/>
      <c r="LR170" s="34"/>
      <c r="LS170" s="34"/>
      <c r="LT170" s="34"/>
      <c r="LU170" s="34"/>
      <c r="LV170" s="34"/>
      <c r="LW170" s="34"/>
      <c r="LX170" s="34"/>
      <c r="LY170" s="34"/>
      <c r="LZ170" s="34"/>
      <c r="MA170" s="34"/>
      <c r="MB170" s="34"/>
      <c r="MC170" s="34"/>
      <c r="MD170" s="34"/>
      <c r="ME170" s="34"/>
      <c r="MF170" s="34"/>
      <c r="MG170" s="34"/>
      <c r="MH170" s="34"/>
      <c r="MI170" s="34"/>
      <c r="MJ170" s="34"/>
      <c r="MK170" s="34"/>
      <c r="ML170" s="34"/>
      <c r="MM170" s="34"/>
      <c r="MN170" s="34"/>
      <c r="MO170" s="34"/>
      <c r="MP170" s="34"/>
      <c r="MQ170" s="34"/>
      <c r="MR170" s="34"/>
      <c r="MS170" s="34"/>
      <c r="MT170" s="34"/>
      <c r="MU170" s="34"/>
      <c r="MV170" s="34"/>
      <c r="MW170" s="34"/>
      <c r="MX170" s="34"/>
      <c r="MY170" s="34"/>
      <c r="MZ170" s="34"/>
      <c r="NA170" s="34"/>
      <c r="NB170" s="34"/>
      <c r="NC170" s="34"/>
      <c r="ND170" s="34"/>
      <c r="NE170" s="34"/>
      <c r="NF170" s="34"/>
      <c r="NG170" s="34"/>
      <c r="NH170" s="34"/>
      <c r="NI170" s="34"/>
      <c r="NJ170" s="34"/>
      <c r="NK170" s="34"/>
      <c r="NL170" s="34"/>
      <c r="NM170" s="34"/>
      <c r="NN170" s="34"/>
      <c r="NO170" s="34"/>
      <c r="NP170" s="34"/>
      <c r="NQ170" s="34"/>
      <c r="NR170" s="34"/>
      <c r="NS170" s="34"/>
      <c r="NT170" s="7">
        <f>COUNTIF(F170:NS170,"x")</f>
        <v>0</v>
      </c>
      <c r="NU170" s="81"/>
      <c r="NV170" s="32" t="str">
        <f>IF(NX170=0,"0",NX170/NX169)</f>
        <v>0</v>
      </c>
      <c r="NW170" s="37">
        <f t="shared" si="329"/>
        <v>0</v>
      </c>
      <c r="NX170" s="36">
        <f>COUNTIF(F170:AU170,"x")</f>
        <v>0</v>
      </c>
      <c r="NY170" s="93"/>
      <c r="NZ170" s="32" t="str">
        <f>IF(OB170=0,"0",OB170/OB169)</f>
        <v>0</v>
      </c>
      <c r="OA170" s="37">
        <f t="shared" si="330"/>
        <v>0</v>
      </c>
      <c r="OB170" s="36">
        <f>COUNTIF(AV170:CK170,"x")</f>
        <v>0</v>
      </c>
      <c r="OC170" s="81"/>
      <c r="OD170" s="32" t="str">
        <f>IF(OF170=0,"0",OF170/OF169)</f>
        <v>0</v>
      </c>
      <c r="OE170" s="37">
        <f t="shared" si="331"/>
        <v>0</v>
      </c>
      <c r="OF170" s="36">
        <f>COUNTIF(CL170:EA170,"x")</f>
        <v>0</v>
      </c>
      <c r="OG170" s="81"/>
      <c r="OH170" s="32" t="str">
        <f>IF(OJ170=0,"0",OJ170/OJ169)</f>
        <v>0</v>
      </c>
      <c r="OI170" s="37">
        <f t="shared" si="332"/>
        <v>0</v>
      </c>
      <c r="OJ170" s="36">
        <f>COUNTIF(EB170:FQ170,"x")</f>
        <v>0</v>
      </c>
      <c r="OK170" s="74"/>
      <c r="OL170" s="32" t="str">
        <f>IF(ON170=0,"0",ON170/ON169)</f>
        <v>0</v>
      </c>
      <c r="OM170" s="37">
        <f t="shared" si="333"/>
        <v>0</v>
      </c>
      <c r="ON170" s="36">
        <f>COUNTIF(FR170:HG170,"x")</f>
        <v>0</v>
      </c>
      <c r="OO170" s="74"/>
      <c r="OP170" s="32" t="str">
        <f>IF(OR170=0,"0",OR170/OR169)</f>
        <v>0</v>
      </c>
      <c r="OQ170" s="37">
        <f t="shared" si="334"/>
        <v>0</v>
      </c>
      <c r="OR170" s="36">
        <f>COUNTIF(HH170:IW170,"x")</f>
        <v>0</v>
      </c>
      <c r="OS170" s="74"/>
      <c r="OT170" s="32" t="str">
        <f>IF(OV170=0,"0",OV170/OV169)</f>
        <v>0</v>
      </c>
      <c r="OU170" s="37">
        <f t="shared" si="335"/>
        <v>0</v>
      </c>
      <c r="OV170" s="36">
        <f>COUNTIF(IX170:KM170,"x")</f>
        <v>0</v>
      </c>
      <c r="OW170" s="74"/>
      <c r="OX170" s="32" t="str">
        <f>IF(OZ170=0,"0",OZ170/OZ169)</f>
        <v>0</v>
      </c>
      <c r="OY170" s="37">
        <f t="shared" si="336"/>
        <v>0</v>
      </c>
      <c r="OZ170" s="36">
        <f>COUNTIF(KN170:MC170,"x")</f>
        <v>0</v>
      </c>
      <c r="PA170" s="74"/>
      <c r="PB170" s="32" t="str">
        <f>IF(PD170=0,"0",PD170/PD169)</f>
        <v>0</v>
      </c>
      <c r="PC170" s="37">
        <f t="shared" si="337"/>
        <v>0</v>
      </c>
      <c r="PD170" s="36">
        <f>COUNTIF(MD170:NS170,"x")</f>
        <v>0</v>
      </c>
      <c r="PE170" s="74"/>
    </row>
    <row r="171" spans="1:421" ht="15.75" customHeight="1" outlineLevel="1" x14ac:dyDescent="0.25">
      <c r="C171" s="82"/>
      <c r="D171" s="59"/>
      <c r="E171" s="53" t="s">
        <v>8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69"/>
      <c r="Q171" s="33"/>
      <c r="R171" s="33"/>
      <c r="S171" s="33"/>
      <c r="T171" s="33"/>
      <c r="U171" s="33"/>
      <c r="V171" s="33"/>
      <c r="W171" s="69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  <c r="HI171" s="33"/>
      <c r="HJ171" s="33"/>
      <c r="HK171" s="33"/>
      <c r="HL171" s="33"/>
      <c r="HM171" s="33"/>
      <c r="HN171" s="33"/>
      <c r="HO171" s="33"/>
      <c r="HP171" s="33"/>
      <c r="HQ171" s="33"/>
      <c r="HR171" s="33"/>
      <c r="HS171" s="33"/>
      <c r="HT171" s="33"/>
      <c r="HU171" s="33"/>
      <c r="HV171" s="33"/>
      <c r="HW171" s="33"/>
      <c r="HX171" s="33"/>
      <c r="HY171" s="33"/>
      <c r="HZ171" s="33"/>
      <c r="IA171" s="33"/>
      <c r="IB171" s="33"/>
      <c r="IC171" s="33"/>
      <c r="ID171" s="33"/>
      <c r="IE171" s="33"/>
      <c r="IF171" s="33"/>
      <c r="IG171" s="33"/>
      <c r="IH171" s="33"/>
      <c r="II171" s="33"/>
      <c r="IJ171" s="33"/>
      <c r="IK171" s="33"/>
      <c r="IL171" s="33"/>
      <c r="IM171" s="33"/>
      <c r="IN171" s="33"/>
      <c r="IO171" s="33"/>
      <c r="IP171" s="33"/>
      <c r="IQ171" s="33"/>
      <c r="IR171" s="33"/>
      <c r="IS171" s="33"/>
      <c r="IT171" s="33"/>
      <c r="IU171" s="33"/>
      <c r="IV171" s="33"/>
      <c r="IW171" s="33"/>
      <c r="IX171" s="33"/>
      <c r="IY171" s="33"/>
      <c r="IZ171" s="33"/>
      <c r="JA171" s="33"/>
      <c r="JB171" s="33"/>
      <c r="JC171" s="33"/>
      <c r="JD171" s="33"/>
      <c r="JE171" s="33"/>
      <c r="JF171" s="33"/>
      <c r="JG171" s="33"/>
      <c r="JH171" s="33"/>
      <c r="JI171" s="33"/>
      <c r="JJ171" s="33"/>
      <c r="JK171" s="33"/>
      <c r="JL171" s="33"/>
      <c r="JM171" s="33"/>
      <c r="JN171" s="33"/>
      <c r="JO171" s="33"/>
      <c r="JP171" s="33"/>
      <c r="JQ171" s="33"/>
      <c r="JR171" s="33"/>
      <c r="JS171" s="33"/>
      <c r="JT171" s="33"/>
      <c r="JU171" s="33"/>
      <c r="JV171" s="33"/>
      <c r="JW171" s="33"/>
      <c r="JX171" s="33"/>
      <c r="JY171" s="33"/>
      <c r="JZ171" s="33"/>
      <c r="KA171" s="33"/>
      <c r="KB171" s="33"/>
      <c r="KC171" s="33"/>
      <c r="KD171" s="33"/>
      <c r="KE171" s="33"/>
      <c r="KF171" s="33"/>
      <c r="KG171" s="33"/>
      <c r="KH171" s="33"/>
      <c r="KI171" s="33"/>
      <c r="KJ171" s="33"/>
      <c r="KK171" s="33"/>
      <c r="KL171" s="33"/>
      <c r="KM171" s="33"/>
      <c r="KN171" s="33"/>
      <c r="KO171" s="33"/>
      <c r="KP171" s="33"/>
      <c r="KQ171" s="33"/>
      <c r="KR171" s="33"/>
      <c r="KS171" s="33"/>
      <c r="KT171" s="33"/>
      <c r="KU171" s="33"/>
      <c r="KV171" s="33"/>
      <c r="KW171" s="33"/>
      <c r="KX171" s="33"/>
      <c r="KY171" s="33"/>
      <c r="KZ171" s="33"/>
      <c r="LA171" s="33"/>
      <c r="LB171" s="33"/>
      <c r="LC171" s="33"/>
      <c r="LD171" s="33"/>
      <c r="LE171" s="33"/>
      <c r="LF171" s="33"/>
      <c r="LG171" s="33"/>
      <c r="LH171" s="33"/>
      <c r="LI171" s="33"/>
      <c r="LJ171" s="33"/>
      <c r="LK171" s="33"/>
      <c r="LL171" s="33"/>
      <c r="LM171" s="33"/>
      <c r="LN171" s="33"/>
      <c r="LO171" s="33"/>
      <c r="LP171" s="33"/>
      <c r="LQ171" s="33"/>
      <c r="LR171" s="33"/>
      <c r="LS171" s="33"/>
      <c r="LT171" s="33"/>
      <c r="LU171" s="33"/>
      <c r="LV171" s="33"/>
      <c r="LW171" s="33"/>
      <c r="LX171" s="33"/>
      <c r="LY171" s="33"/>
      <c r="LZ171" s="33"/>
      <c r="MA171" s="33"/>
      <c r="MB171" s="33"/>
      <c r="MC171" s="33"/>
      <c r="MD171" s="33"/>
      <c r="ME171" s="33"/>
      <c r="MF171" s="33"/>
      <c r="MG171" s="33"/>
      <c r="MH171" s="33"/>
      <c r="MI171" s="33"/>
      <c r="MJ171" s="33"/>
      <c r="MK171" s="33"/>
      <c r="ML171" s="33"/>
      <c r="MM171" s="33"/>
      <c r="MN171" s="33"/>
      <c r="MO171" s="33"/>
      <c r="MP171" s="33"/>
      <c r="MQ171" s="33"/>
      <c r="MR171" s="33"/>
      <c r="MS171" s="33"/>
      <c r="MT171" s="33"/>
      <c r="MU171" s="33"/>
      <c r="MV171" s="33"/>
      <c r="MW171" s="33"/>
      <c r="MX171" s="33"/>
      <c r="MY171" s="33"/>
      <c r="MZ171" s="33"/>
      <c r="NA171" s="33"/>
      <c r="NB171" s="33"/>
      <c r="NC171" s="33"/>
      <c r="ND171" s="33"/>
      <c r="NE171" s="33"/>
      <c r="NF171" s="33"/>
      <c r="NG171" s="33"/>
      <c r="NH171" s="33"/>
      <c r="NI171" s="33"/>
      <c r="NJ171" s="33"/>
      <c r="NK171" s="33"/>
      <c r="NL171" s="33"/>
      <c r="NM171" s="33"/>
      <c r="NN171" s="33"/>
      <c r="NO171" s="33"/>
      <c r="NP171" s="33"/>
      <c r="NQ171" s="33"/>
      <c r="NR171" s="33"/>
      <c r="NS171" s="33"/>
      <c r="NT171" s="31">
        <f>COUNTIF(F171:NS171,"1")</f>
        <v>0</v>
      </c>
      <c r="NU171" s="80" t="e">
        <f>NT172/NT171</f>
        <v>#DIV/0!</v>
      </c>
      <c r="NV171" s="29">
        <f>+IF(NX171&gt;=1,"1",0)</f>
        <v>0</v>
      </c>
      <c r="NW171" s="38">
        <f t="shared" si="329"/>
        <v>1</v>
      </c>
      <c r="NX171" s="35">
        <f>COUNTIF(F171:AU171,"1")</f>
        <v>0</v>
      </c>
      <c r="NY171" s="92" t="e">
        <f t="shared" si="320"/>
        <v>#DIV/0!</v>
      </c>
      <c r="NZ171" s="29">
        <f>+IF(OB171&gt;=1,"1",0)</f>
        <v>0</v>
      </c>
      <c r="OA171" s="38">
        <f t="shared" si="330"/>
        <v>1</v>
      </c>
      <c r="OB171" s="35">
        <f>COUNTIF(AV171:CK171,"1")</f>
        <v>0</v>
      </c>
      <c r="OC171" s="80" t="e">
        <f>OB172/OB171</f>
        <v>#DIV/0!</v>
      </c>
      <c r="OD171" s="29">
        <f>+IF(OF171&gt;=1,"1",0)</f>
        <v>0</v>
      </c>
      <c r="OE171" s="38">
        <f t="shared" si="331"/>
        <v>1</v>
      </c>
      <c r="OF171" s="35">
        <f>COUNTIF(CL171:EA171,"1")</f>
        <v>0</v>
      </c>
      <c r="OG171" s="80" t="e">
        <f>OF172/OF171</f>
        <v>#DIV/0!</v>
      </c>
      <c r="OH171" s="29">
        <f>+IF(OJ171&gt;=1,"1",0)</f>
        <v>0</v>
      </c>
      <c r="OI171" s="38">
        <f t="shared" si="332"/>
        <v>1</v>
      </c>
      <c r="OJ171" s="35">
        <f>COUNTIF(EB171:FQ171,"1")</f>
        <v>0</v>
      </c>
      <c r="OK171" s="79" t="e">
        <f>OJ172/OJ171</f>
        <v>#DIV/0!</v>
      </c>
      <c r="OL171" s="29">
        <f>+IF(ON171&gt;=1,"1",0)</f>
        <v>0</v>
      </c>
      <c r="OM171" s="38">
        <f t="shared" si="333"/>
        <v>1</v>
      </c>
      <c r="ON171" s="35">
        <f>COUNTIF(FR171:HG171,"1")</f>
        <v>0</v>
      </c>
      <c r="OO171" s="79" t="e">
        <f>ON172/ON171</f>
        <v>#DIV/0!</v>
      </c>
      <c r="OP171" s="29">
        <f>+IF(OR171&gt;=1,"1",0)</f>
        <v>0</v>
      </c>
      <c r="OQ171" s="38">
        <f t="shared" si="334"/>
        <v>1</v>
      </c>
      <c r="OR171" s="35">
        <f>COUNTIF(HH171:IW171,"1")</f>
        <v>0</v>
      </c>
      <c r="OS171" s="79" t="e">
        <f>OR172/OR171</f>
        <v>#DIV/0!</v>
      </c>
      <c r="OT171" s="29">
        <f>+IF(OV171&gt;=1,"1",0)</f>
        <v>0</v>
      </c>
      <c r="OU171" s="38">
        <f t="shared" si="335"/>
        <v>1</v>
      </c>
      <c r="OV171" s="35">
        <f>COUNTIF(IX171:KM171,"1")</f>
        <v>0</v>
      </c>
      <c r="OW171" s="79" t="e">
        <f>OV172/OV171</f>
        <v>#DIV/0!</v>
      </c>
      <c r="OX171" s="29">
        <f>+IF(OZ171&gt;=1,"1",0)</f>
        <v>0</v>
      </c>
      <c r="OY171" s="38">
        <f t="shared" si="336"/>
        <v>1</v>
      </c>
      <c r="OZ171" s="35">
        <f>COUNTIF(KN171:MC171,"1")</f>
        <v>0</v>
      </c>
      <c r="PA171" s="79" t="e">
        <f>OZ172/OZ171</f>
        <v>#DIV/0!</v>
      </c>
      <c r="PB171" s="29">
        <f>+IF(PD171&gt;=1,"1",0)</f>
        <v>0</v>
      </c>
      <c r="PC171" s="38">
        <f t="shared" si="337"/>
        <v>1</v>
      </c>
      <c r="PD171" s="35">
        <f>COUNTIF(MD171:NS171,"1")</f>
        <v>0</v>
      </c>
      <c r="PE171" s="79" t="e">
        <f>PD172/PD171</f>
        <v>#DIV/0!</v>
      </c>
    </row>
    <row r="172" spans="1:421" ht="15.75" customHeight="1" outlineLevel="1" thickBot="1" x14ac:dyDescent="0.3">
      <c r="C172" s="83"/>
      <c r="D172" s="60"/>
      <c r="E172" s="54" t="s">
        <v>9</v>
      </c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70"/>
      <c r="Q172" s="34"/>
      <c r="R172" s="34"/>
      <c r="S172" s="34"/>
      <c r="T172" s="34"/>
      <c r="U172" s="34"/>
      <c r="V172" s="34"/>
      <c r="W172" s="70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  <c r="HB172" s="34"/>
      <c r="HC172" s="34"/>
      <c r="HD172" s="34"/>
      <c r="HE172" s="34"/>
      <c r="HF172" s="34"/>
      <c r="HG172" s="34"/>
      <c r="HH172" s="34"/>
      <c r="HI172" s="34"/>
      <c r="HJ172" s="34"/>
      <c r="HK172" s="34"/>
      <c r="HL172" s="34"/>
      <c r="HM172" s="34"/>
      <c r="HN172" s="34"/>
      <c r="HO172" s="34"/>
      <c r="HP172" s="34"/>
      <c r="HQ172" s="34"/>
      <c r="HR172" s="34"/>
      <c r="HS172" s="34"/>
      <c r="HT172" s="34"/>
      <c r="HU172" s="34"/>
      <c r="HV172" s="34"/>
      <c r="HW172" s="34"/>
      <c r="HX172" s="34"/>
      <c r="HY172" s="34"/>
      <c r="HZ172" s="34"/>
      <c r="IA172" s="34"/>
      <c r="IB172" s="34"/>
      <c r="IC172" s="34"/>
      <c r="ID172" s="34"/>
      <c r="IE172" s="34"/>
      <c r="IF172" s="34"/>
      <c r="IG172" s="34"/>
      <c r="IH172" s="34"/>
      <c r="II172" s="34"/>
      <c r="IJ172" s="34"/>
      <c r="IK172" s="34"/>
      <c r="IL172" s="34"/>
      <c r="IM172" s="34"/>
      <c r="IN172" s="34"/>
      <c r="IO172" s="34"/>
      <c r="IP172" s="34"/>
      <c r="IQ172" s="34"/>
      <c r="IR172" s="34"/>
      <c r="IS172" s="34"/>
      <c r="IT172" s="34"/>
      <c r="IU172" s="34"/>
      <c r="IV172" s="34"/>
      <c r="IW172" s="34"/>
      <c r="IX172" s="34"/>
      <c r="IY172" s="34"/>
      <c r="IZ172" s="34"/>
      <c r="JA172" s="34"/>
      <c r="JB172" s="34"/>
      <c r="JC172" s="34"/>
      <c r="JD172" s="34"/>
      <c r="JE172" s="34"/>
      <c r="JF172" s="34"/>
      <c r="JG172" s="34"/>
      <c r="JH172" s="34"/>
      <c r="JI172" s="34"/>
      <c r="JJ172" s="34"/>
      <c r="JK172" s="34"/>
      <c r="JL172" s="34"/>
      <c r="JM172" s="34"/>
      <c r="JN172" s="34"/>
      <c r="JO172" s="34"/>
      <c r="JP172" s="34"/>
      <c r="JQ172" s="34"/>
      <c r="JR172" s="34"/>
      <c r="JS172" s="34"/>
      <c r="JT172" s="34"/>
      <c r="JU172" s="34"/>
      <c r="JV172" s="34"/>
      <c r="JW172" s="34"/>
      <c r="JX172" s="34"/>
      <c r="JY172" s="34"/>
      <c r="JZ172" s="34"/>
      <c r="KA172" s="34"/>
      <c r="KB172" s="34"/>
      <c r="KC172" s="34"/>
      <c r="KD172" s="34"/>
      <c r="KE172" s="34"/>
      <c r="KF172" s="34"/>
      <c r="KG172" s="34"/>
      <c r="KH172" s="34"/>
      <c r="KI172" s="34"/>
      <c r="KJ172" s="34"/>
      <c r="KK172" s="34"/>
      <c r="KL172" s="34"/>
      <c r="KM172" s="34"/>
      <c r="KN172" s="34"/>
      <c r="KO172" s="34"/>
      <c r="KP172" s="34"/>
      <c r="KQ172" s="34"/>
      <c r="KR172" s="34"/>
      <c r="KS172" s="34"/>
      <c r="KT172" s="34"/>
      <c r="KU172" s="34"/>
      <c r="KV172" s="34"/>
      <c r="KW172" s="34"/>
      <c r="KX172" s="34"/>
      <c r="KY172" s="34"/>
      <c r="KZ172" s="34"/>
      <c r="LA172" s="34"/>
      <c r="LB172" s="34"/>
      <c r="LC172" s="34"/>
      <c r="LD172" s="34"/>
      <c r="LE172" s="34"/>
      <c r="LF172" s="34"/>
      <c r="LG172" s="34"/>
      <c r="LH172" s="34"/>
      <c r="LI172" s="34"/>
      <c r="LJ172" s="34"/>
      <c r="LK172" s="34"/>
      <c r="LL172" s="34"/>
      <c r="LM172" s="34"/>
      <c r="LN172" s="34"/>
      <c r="LO172" s="34"/>
      <c r="LP172" s="34"/>
      <c r="LQ172" s="34"/>
      <c r="LR172" s="34"/>
      <c r="LS172" s="34"/>
      <c r="LT172" s="34"/>
      <c r="LU172" s="34"/>
      <c r="LV172" s="34"/>
      <c r="LW172" s="34"/>
      <c r="LX172" s="34"/>
      <c r="LY172" s="34"/>
      <c r="LZ172" s="34"/>
      <c r="MA172" s="34"/>
      <c r="MB172" s="34"/>
      <c r="MC172" s="34"/>
      <c r="MD172" s="34"/>
      <c r="ME172" s="34"/>
      <c r="MF172" s="34"/>
      <c r="MG172" s="34"/>
      <c r="MH172" s="34"/>
      <c r="MI172" s="34"/>
      <c r="MJ172" s="34"/>
      <c r="MK172" s="34"/>
      <c r="ML172" s="34"/>
      <c r="MM172" s="34"/>
      <c r="MN172" s="34"/>
      <c r="MO172" s="34"/>
      <c r="MP172" s="34"/>
      <c r="MQ172" s="34"/>
      <c r="MR172" s="34"/>
      <c r="MS172" s="34"/>
      <c r="MT172" s="34"/>
      <c r="MU172" s="34"/>
      <c r="MV172" s="34"/>
      <c r="MW172" s="34"/>
      <c r="MX172" s="34"/>
      <c r="MY172" s="34"/>
      <c r="MZ172" s="34"/>
      <c r="NA172" s="34"/>
      <c r="NB172" s="34"/>
      <c r="NC172" s="34"/>
      <c r="ND172" s="34"/>
      <c r="NE172" s="34"/>
      <c r="NF172" s="34"/>
      <c r="NG172" s="34"/>
      <c r="NH172" s="34"/>
      <c r="NI172" s="34"/>
      <c r="NJ172" s="34"/>
      <c r="NK172" s="34"/>
      <c r="NL172" s="34"/>
      <c r="NM172" s="34"/>
      <c r="NN172" s="34"/>
      <c r="NO172" s="34"/>
      <c r="NP172" s="34"/>
      <c r="NQ172" s="34"/>
      <c r="NR172" s="34"/>
      <c r="NS172" s="34"/>
      <c r="NT172" s="7">
        <f>COUNTIF(F172:NS172,"x")</f>
        <v>0</v>
      </c>
      <c r="NU172" s="81"/>
      <c r="NV172" s="32" t="str">
        <f>IF(NX172=0,"0",NX172/NX171)</f>
        <v>0</v>
      </c>
      <c r="NW172" s="37">
        <f t="shared" si="329"/>
        <v>0</v>
      </c>
      <c r="NX172" s="36">
        <f>COUNTIF(F172:AU172,"x")</f>
        <v>0</v>
      </c>
      <c r="NY172" s="93"/>
      <c r="NZ172" s="32" t="str">
        <f>IF(OB172=0,"0",OB172/OB171)</f>
        <v>0</v>
      </c>
      <c r="OA172" s="37">
        <f t="shared" si="330"/>
        <v>0</v>
      </c>
      <c r="OB172" s="36">
        <f>COUNTIF(AV172:CK172,"x")</f>
        <v>0</v>
      </c>
      <c r="OC172" s="81"/>
      <c r="OD172" s="32" t="str">
        <f>IF(OF172=0,"0",OF172/OF171)</f>
        <v>0</v>
      </c>
      <c r="OE172" s="37">
        <f t="shared" si="331"/>
        <v>0</v>
      </c>
      <c r="OF172" s="36">
        <f>COUNTIF(CL172:EA172,"x")</f>
        <v>0</v>
      </c>
      <c r="OG172" s="81"/>
      <c r="OH172" s="32" t="str">
        <f>IF(OJ172=0,"0",OJ172/OJ171)</f>
        <v>0</v>
      </c>
      <c r="OI172" s="37">
        <f t="shared" si="332"/>
        <v>0</v>
      </c>
      <c r="OJ172" s="36">
        <f>COUNTIF(EB172:FQ172,"x")</f>
        <v>0</v>
      </c>
      <c r="OK172" s="74"/>
      <c r="OL172" s="32" t="str">
        <f>IF(ON172=0,"0",ON172/ON171)</f>
        <v>0</v>
      </c>
      <c r="OM172" s="37">
        <f t="shared" si="333"/>
        <v>0</v>
      </c>
      <c r="ON172" s="36">
        <f>COUNTIF(FR172:HG172,"x")</f>
        <v>0</v>
      </c>
      <c r="OO172" s="74"/>
      <c r="OP172" s="32" t="str">
        <f>IF(OR172=0,"0",OR172/OR171)</f>
        <v>0</v>
      </c>
      <c r="OQ172" s="37">
        <f t="shared" si="334"/>
        <v>0</v>
      </c>
      <c r="OR172" s="36">
        <f>COUNTIF(HH172:IW172,"x")</f>
        <v>0</v>
      </c>
      <c r="OS172" s="74"/>
      <c r="OT172" s="32" t="str">
        <f>IF(OV172=0,"0",OV172/OV171)</f>
        <v>0</v>
      </c>
      <c r="OU172" s="37">
        <f t="shared" si="335"/>
        <v>0</v>
      </c>
      <c r="OV172" s="36">
        <f>COUNTIF(IX172:KM172,"x")</f>
        <v>0</v>
      </c>
      <c r="OW172" s="74"/>
      <c r="OX172" s="32" t="str">
        <f>IF(OZ172=0,"0",OZ172/OZ171)</f>
        <v>0</v>
      </c>
      <c r="OY172" s="37">
        <f t="shared" si="336"/>
        <v>0</v>
      </c>
      <c r="OZ172" s="36">
        <f>COUNTIF(KN172:MC172,"x")</f>
        <v>0</v>
      </c>
      <c r="PA172" s="74"/>
      <c r="PB172" s="32" t="str">
        <f>IF(PD172=0,"0",PD172/PD171)</f>
        <v>0</v>
      </c>
      <c r="PC172" s="37">
        <f t="shared" si="337"/>
        <v>0</v>
      </c>
      <c r="PD172" s="36">
        <f>COUNTIF(MD172:NS172,"x")</f>
        <v>0</v>
      </c>
      <c r="PE172" s="74"/>
    </row>
    <row r="173" spans="1:421" ht="15" customHeight="1" x14ac:dyDescent="0.25">
      <c r="A173" s="18"/>
      <c r="B173" s="18"/>
      <c r="C173" s="96" t="s">
        <v>23</v>
      </c>
      <c r="D173" s="61"/>
      <c r="E173" s="55" t="s">
        <v>8</v>
      </c>
      <c r="F173" s="41">
        <f>COUNTIF(F175:F202,"1")</f>
        <v>0</v>
      </c>
      <c r="G173" s="41">
        <f>COUNTIF(G175:G202,"1")</f>
        <v>0</v>
      </c>
      <c r="H173" s="41">
        <f>COUNTIF(H175:H202,"1")</f>
        <v>0</v>
      </c>
      <c r="I173" s="41">
        <f>COUNTIF(I175:I202,"1")</f>
        <v>2</v>
      </c>
      <c r="J173" s="41">
        <f>COUNTIF(J175:J202,"1")</f>
        <v>4</v>
      </c>
      <c r="K173" s="41">
        <f>COUNTIF(K175:K202,"1")</f>
        <v>2</v>
      </c>
      <c r="L173" s="41">
        <f>COUNTIF(L175:L202,"1")</f>
        <v>2</v>
      </c>
      <c r="M173" s="41">
        <f>COUNTIF(M175:M202,"1")</f>
        <v>2</v>
      </c>
      <c r="N173" s="41">
        <f>COUNTIF(N175:N202,"1")</f>
        <v>0</v>
      </c>
      <c r="O173" s="41">
        <f>COUNTIF(O175:O202,"1")</f>
        <v>0</v>
      </c>
      <c r="P173" s="69">
        <f>COUNTIF(P175:P202,"1")</f>
        <v>0</v>
      </c>
      <c r="Q173" s="41">
        <f>COUNTIF(Q175:Q202,"1")</f>
        <v>1</v>
      </c>
      <c r="R173" s="41">
        <f>COUNTIF(R175:R202,"1")</f>
        <v>1</v>
      </c>
      <c r="S173" s="41">
        <f>COUNTIF(S175:S202,"1")</f>
        <v>1</v>
      </c>
      <c r="T173" s="41">
        <f>COUNTIF(T175:T202,"1")</f>
        <v>1</v>
      </c>
      <c r="U173" s="41">
        <f>COUNTIF(U175:U202,"1")</f>
        <v>0</v>
      </c>
      <c r="V173" s="41">
        <f>COUNTIF(V175:V202,"1")</f>
        <v>0</v>
      </c>
      <c r="W173" s="69">
        <f>COUNTIF(W175:W202,"1")</f>
        <v>0</v>
      </c>
      <c r="X173" s="41">
        <f>COUNTIF(X175:X202,"1")</f>
        <v>1</v>
      </c>
      <c r="Y173" s="41">
        <f>COUNTIF(Y175:Y202,"1")</f>
        <v>1</v>
      </c>
      <c r="Z173" s="41">
        <f>COUNTIF(Z175:Z202,"1")</f>
        <v>1</v>
      </c>
      <c r="AA173" s="41">
        <f>COUNTIF(AA175:AA202,"1")</f>
        <v>1</v>
      </c>
      <c r="AB173" s="41">
        <f>COUNTIF(AB175:AB202,"1")</f>
        <v>0</v>
      </c>
      <c r="AC173" s="41">
        <f>COUNTIF(AC175:AC202,"1")</f>
        <v>0</v>
      </c>
      <c r="AD173" s="41">
        <f>COUNTIF(AD175:AD202,"1")</f>
        <v>1</v>
      </c>
      <c r="AE173" s="41">
        <f>COUNTIF(AE175:AE202,"1")</f>
        <v>1</v>
      </c>
      <c r="AF173" s="41">
        <f>COUNTIF(AF175:AF202,"1")</f>
        <v>3</v>
      </c>
      <c r="AG173" s="41">
        <f>COUNTIF(AG175:AG202,"1")</f>
        <v>2</v>
      </c>
      <c r="AH173" s="41">
        <f>COUNTIF(AH175:AH202,"1")</f>
        <v>2</v>
      </c>
      <c r="AI173" s="41">
        <f>COUNTIF(AI175:AI202,"1")</f>
        <v>0</v>
      </c>
      <c r="AJ173" s="41">
        <f>COUNTIF(AJ175:AJ202,"1")</f>
        <v>0</v>
      </c>
      <c r="AK173" s="41">
        <f>COUNTIF(AK175:AK202,"1")</f>
        <v>1</v>
      </c>
      <c r="AL173" s="41">
        <f>COUNTIF(AL175:AL202,"1")</f>
        <v>0</v>
      </c>
      <c r="AM173" s="41">
        <f>COUNTIF(AM175:AM202,"1")</f>
        <v>0</v>
      </c>
      <c r="AN173" s="41">
        <f>COUNTIF(AN175:AN202,"1")</f>
        <v>0</v>
      </c>
      <c r="AO173" s="41">
        <f>COUNTIF(AO175:AO202,"1")</f>
        <v>1</v>
      </c>
      <c r="AP173" s="41">
        <f>COUNTIF(AP175:AP202,"1")</f>
        <v>0</v>
      </c>
      <c r="AQ173" s="41">
        <f>COUNTIF(AQ175:AQ202,"1")</f>
        <v>0</v>
      </c>
      <c r="AR173" s="41">
        <f>COUNTIF(AR175:AR202,"1")</f>
        <v>1</v>
      </c>
      <c r="AS173" s="41">
        <f>COUNTIF(AS175:AS202,"1")</f>
        <v>0</v>
      </c>
      <c r="AT173" s="41">
        <f>COUNTIF(AT175:AT202,"1")</f>
        <v>0</v>
      </c>
      <c r="AU173" s="41">
        <f>COUNTIF(AU175:AU202,"1")</f>
        <v>0</v>
      </c>
      <c r="AV173" s="41">
        <f>COUNTIF(AV175:AV202,"1")</f>
        <v>1</v>
      </c>
      <c r="AW173" s="41">
        <f>COUNTIF(AW175:AW202,"1")</f>
        <v>0</v>
      </c>
      <c r="AX173" s="41">
        <f>COUNTIF(AX175:AX202,"1")</f>
        <v>0</v>
      </c>
      <c r="AY173" s="41">
        <f>COUNTIF(AY175:AY202,"1")</f>
        <v>0</v>
      </c>
      <c r="AZ173" s="41">
        <f>COUNTIF(AZ175:AZ202,"1")</f>
        <v>0</v>
      </c>
      <c r="BA173" s="41">
        <f>COUNTIF(BA175:BA202,"1")</f>
        <v>0</v>
      </c>
      <c r="BB173" s="41">
        <f>COUNTIF(BB175:BB202,"1")</f>
        <v>0</v>
      </c>
      <c r="BC173" s="41">
        <f>COUNTIF(BC175:BC202,"1")</f>
        <v>0</v>
      </c>
      <c r="BD173" s="41">
        <f>COUNTIF(BD175:BD202,"1")</f>
        <v>0</v>
      </c>
      <c r="BE173" s="41">
        <f>COUNTIF(BE175:BE202,"1")</f>
        <v>0</v>
      </c>
      <c r="BF173" s="41">
        <f>COUNTIF(BF175:BF202,"1")</f>
        <v>0</v>
      </c>
      <c r="BG173" s="41">
        <f>COUNTIF(BG175:BG202,"1")</f>
        <v>0</v>
      </c>
      <c r="BH173" s="41">
        <f>COUNTIF(BH175:BH202,"1")</f>
        <v>0</v>
      </c>
      <c r="BI173" s="41">
        <f>COUNTIF(BI175:BI202,"1")</f>
        <v>0</v>
      </c>
      <c r="BJ173" s="41">
        <f>COUNTIF(BJ175:BJ202,"1")</f>
        <v>0</v>
      </c>
      <c r="BK173" s="41">
        <f>COUNTIF(BK175:BK202,"1")</f>
        <v>0</v>
      </c>
      <c r="BL173" s="41">
        <f>COUNTIF(BL175:BL202,"1")</f>
        <v>0</v>
      </c>
      <c r="BM173" s="41">
        <f>COUNTIF(BM175:BM202,"1")</f>
        <v>0</v>
      </c>
      <c r="BN173" s="41">
        <f>COUNTIF(BN175:BN202,"1")</f>
        <v>0</v>
      </c>
      <c r="BO173" s="41">
        <f>COUNTIF(BO175:BO202,"1")</f>
        <v>0</v>
      </c>
      <c r="BP173" s="41">
        <f>COUNTIF(BP175:BP202,"1")</f>
        <v>0</v>
      </c>
      <c r="BQ173" s="41">
        <f>COUNTIF(BQ175:BQ202,"1")</f>
        <v>0</v>
      </c>
      <c r="BR173" s="41">
        <f>COUNTIF(BR175:BR202,"1")</f>
        <v>0</v>
      </c>
      <c r="BS173" s="41">
        <f>COUNTIF(BS175:BS202,"1")</f>
        <v>0</v>
      </c>
      <c r="BT173" s="41">
        <f>COUNTIF(BT175:BT202,"1")</f>
        <v>0</v>
      </c>
      <c r="BU173" s="41">
        <f>COUNTIF(BU175:BU202,"1")</f>
        <v>0</v>
      </c>
      <c r="BV173" s="41">
        <f>COUNTIF(BV175:BV202,"1")</f>
        <v>0</v>
      </c>
      <c r="BW173" s="41">
        <f>COUNTIF(BW175:BW202,"1")</f>
        <v>0</v>
      </c>
      <c r="BX173" s="41">
        <f>COUNTIF(BX175:BX202,"1")</f>
        <v>0</v>
      </c>
      <c r="BY173" s="41">
        <f>COUNTIF(BY175:BY202,"1")</f>
        <v>0</v>
      </c>
      <c r="BZ173" s="41">
        <f>COUNTIF(BZ175:BZ202,"1")</f>
        <v>0</v>
      </c>
      <c r="CA173" s="41">
        <f>COUNTIF(CA175:CA202,"1")</f>
        <v>0</v>
      </c>
      <c r="CB173" s="41">
        <f>COUNTIF(CB175:CB202,"1")</f>
        <v>0</v>
      </c>
      <c r="CC173" s="41">
        <f>COUNTIF(CC175:CC202,"1")</f>
        <v>0</v>
      </c>
      <c r="CD173" s="41">
        <f>COUNTIF(CD175:CD202,"1")</f>
        <v>0</v>
      </c>
      <c r="CE173" s="41">
        <f>COUNTIF(CE175:CE202,"1")</f>
        <v>0</v>
      </c>
      <c r="CF173" s="41">
        <f>COUNTIF(CF175:CF202,"1")</f>
        <v>0</v>
      </c>
      <c r="CG173" s="41">
        <f>COUNTIF(CG175:CG202,"1")</f>
        <v>0</v>
      </c>
      <c r="CH173" s="41">
        <f>COUNTIF(CH175:CH202,"1")</f>
        <v>0</v>
      </c>
      <c r="CI173" s="41">
        <f>COUNTIF(CI175:CI202,"1")</f>
        <v>0</v>
      </c>
      <c r="CJ173" s="41">
        <f>COUNTIF(CJ175:CJ202,"1")</f>
        <v>0</v>
      </c>
      <c r="CK173" s="41">
        <f>COUNTIF(CK175:CK202,"1")</f>
        <v>0</v>
      </c>
      <c r="CL173" s="41">
        <f>COUNTIF(CL175:CL202,"1")</f>
        <v>0</v>
      </c>
      <c r="CM173" s="41">
        <f>COUNTIF(CM175:CM202,"1")</f>
        <v>0</v>
      </c>
      <c r="CN173" s="41">
        <f>COUNTIF(CN175:CN202,"1")</f>
        <v>0</v>
      </c>
      <c r="CO173" s="41">
        <f>COUNTIF(CO175:CO202,"1")</f>
        <v>0</v>
      </c>
      <c r="CP173" s="41">
        <f>COUNTIF(CP175:CP202,"1")</f>
        <v>0</v>
      </c>
      <c r="CQ173" s="41">
        <f>COUNTIF(CQ175:CQ202,"1")</f>
        <v>0</v>
      </c>
      <c r="CR173" s="41">
        <f>COUNTIF(CR175:CR202,"1")</f>
        <v>0</v>
      </c>
      <c r="CS173" s="41">
        <f>COUNTIF(CS175:CS202,"1")</f>
        <v>0</v>
      </c>
      <c r="CT173" s="41">
        <f>COUNTIF(CT175:CT202,"1")</f>
        <v>0</v>
      </c>
      <c r="CU173" s="41">
        <f>COUNTIF(CU175:CU202,"1")</f>
        <v>0</v>
      </c>
      <c r="CV173" s="41">
        <f>COUNTIF(CV175:CV202,"1")</f>
        <v>0</v>
      </c>
      <c r="CW173" s="41">
        <f>COUNTIF(CW175:CW202,"1")</f>
        <v>0</v>
      </c>
      <c r="CX173" s="41">
        <f>COUNTIF(CX175:CX202,"1")</f>
        <v>0</v>
      </c>
      <c r="CY173" s="41">
        <f>COUNTIF(CY175:CY202,"1")</f>
        <v>0</v>
      </c>
      <c r="CZ173" s="41">
        <f>COUNTIF(CZ175:CZ202,"1")</f>
        <v>0</v>
      </c>
      <c r="DA173" s="41">
        <f>COUNTIF(DA175:DA202,"1")</f>
        <v>0</v>
      </c>
      <c r="DB173" s="41">
        <f>COUNTIF(DB175:DB202,"1")</f>
        <v>0</v>
      </c>
      <c r="DC173" s="41">
        <f>COUNTIF(DC175:DC202,"1")</f>
        <v>0</v>
      </c>
      <c r="DD173" s="41">
        <f>COUNTIF(DD175:DD202,"1")</f>
        <v>0</v>
      </c>
      <c r="DE173" s="41">
        <f>COUNTIF(DE175:DE202,"1")</f>
        <v>0</v>
      </c>
      <c r="DF173" s="41">
        <f>COUNTIF(DF175:DF202,"1")</f>
        <v>0</v>
      </c>
      <c r="DG173" s="41">
        <f>COUNTIF(DG175:DG202,"1")</f>
        <v>0</v>
      </c>
      <c r="DH173" s="41">
        <f>COUNTIF(DH175:DH202,"1")</f>
        <v>0</v>
      </c>
      <c r="DI173" s="41">
        <f>COUNTIF(DI175:DI202,"1")</f>
        <v>0</v>
      </c>
      <c r="DJ173" s="41">
        <f>COUNTIF(DJ175:DJ202,"1")</f>
        <v>0</v>
      </c>
      <c r="DK173" s="41">
        <f>COUNTIF(DK175:DK202,"1")</f>
        <v>0</v>
      </c>
      <c r="DL173" s="41">
        <f>COUNTIF(DL175:DL202,"1")</f>
        <v>0</v>
      </c>
      <c r="DM173" s="41">
        <f>COUNTIF(DM175:DM202,"1")</f>
        <v>0</v>
      </c>
      <c r="DN173" s="41">
        <f>COUNTIF(DN175:DN202,"1")</f>
        <v>0</v>
      </c>
      <c r="DO173" s="41">
        <f>COUNTIF(DO175:DO202,"1")</f>
        <v>0</v>
      </c>
      <c r="DP173" s="41">
        <f>COUNTIF(DP175:DP202,"1")</f>
        <v>0</v>
      </c>
      <c r="DQ173" s="41">
        <f>COUNTIF(DQ175:DQ202,"1")</f>
        <v>0</v>
      </c>
      <c r="DR173" s="41">
        <f>COUNTIF(DR175:DR202,"1")</f>
        <v>0</v>
      </c>
      <c r="DS173" s="41">
        <f>COUNTIF(DS175:DS202,"1")</f>
        <v>0</v>
      </c>
      <c r="DT173" s="41">
        <f>COUNTIF(DT175:DT202,"1")</f>
        <v>0</v>
      </c>
      <c r="DU173" s="41">
        <f>COUNTIF(DU175:DU202,"1")</f>
        <v>0</v>
      </c>
      <c r="DV173" s="41">
        <f>COUNTIF(DV175:DV202,"1")</f>
        <v>0</v>
      </c>
      <c r="DW173" s="41">
        <f>COUNTIF(DW175:DW202,"1")</f>
        <v>0</v>
      </c>
      <c r="DX173" s="41">
        <f>COUNTIF(DX175:DX202,"1")</f>
        <v>0</v>
      </c>
      <c r="DY173" s="41">
        <f>COUNTIF(DY175:DY202,"1")</f>
        <v>0</v>
      </c>
      <c r="DZ173" s="41">
        <f>COUNTIF(DZ175:DZ202,"1")</f>
        <v>0</v>
      </c>
      <c r="EA173" s="41">
        <f>COUNTIF(EA175:EA202,"1")</f>
        <v>0</v>
      </c>
      <c r="EB173" s="41">
        <f>COUNTIF(EB175:EB202,"1")</f>
        <v>0</v>
      </c>
      <c r="EC173" s="41">
        <f>COUNTIF(EC175:EC202,"1")</f>
        <v>0</v>
      </c>
      <c r="ED173" s="41">
        <f>COUNTIF(ED175:ED202,"1")</f>
        <v>0</v>
      </c>
      <c r="EE173" s="41">
        <f>COUNTIF(EE175:EE202,"1")</f>
        <v>0</v>
      </c>
      <c r="EF173" s="41">
        <f>COUNTIF(EF175:EF202,"1")</f>
        <v>0</v>
      </c>
      <c r="EG173" s="41">
        <f>COUNTIF(EG175:EG202,"1")</f>
        <v>0</v>
      </c>
      <c r="EH173" s="41">
        <f>COUNTIF(EH175:EH202,"1")</f>
        <v>0</v>
      </c>
      <c r="EI173" s="41">
        <f>COUNTIF(EI175:EI202,"1")</f>
        <v>0</v>
      </c>
      <c r="EJ173" s="41">
        <f>COUNTIF(EJ175:EJ202,"1")</f>
        <v>0</v>
      </c>
      <c r="EK173" s="41">
        <f>COUNTIF(EK175:EK202,"1")</f>
        <v>0</v>
      </c>
      <c r="EL173" s="41">
        <f>COUNTIF(EL175:EL202,"1")</f>
        <v>0</v>
      </c>
      <c r="EM173" s="41">
        <f>COUNTIF(EM175:EM202,"1")</f>
        <v>0</v>
      </c>
      <c r="EN173" s="41">
        <f>COUNTIF(EN175:EN202,"1")</f>
        <v>0</v>
      </c>
      <c r="EO173" s="41">
        <f>COUNTIF(EO175:EO202,"1")</f>
        <v>0</v>
      </c>
      <c r="EP173" s="41">
        <f>COUNTIF(EP175:EP202,"1")</f>
        <v>0</v>
      </c>
      <c r="EQ173" s="41">
        <f>COUNTIF(EQ175:EQ202,"1")</f>
        <v>0</v>
      </c>
      <c r="ER173" s="41">
        <f>COUNTIF(ER175:ER202,"1")</f>
        <v>0</v>
      </c>
      <c r="ES173" s="41">
        <f>COUNTIF(ES175:ES202,"1")</f>
        <v>0</v>
      </c>
      <c r="ET173" s="41">
        <f>COUNTIF(ET175:ET202,"1")</f>
        <v>0</v>
      </c>
      <c r="EU173" s="41">
        <f>COUNTIF(EU175:EU202,"1")</f>
        <v>0</v>
      </c>
      <c r="EV173" s="41">
        <f>COUNTIF(EV175:EV202,"1")</f>
        <v>0</v>
      </c>
      <c r="EW173" s="41">
        <f>COUNTIF(EW175:EW202,"1")</f>
        <v>0</v>
      </c>
      <c r="EX173" s="41">
        <f>COUNTIF(EX175:EX202,"1")</f>
        <v>0</v>
      </c>
      <c r="EY173" s="41">
        <f>COUNTIF(EY175:EY202,"1")</f>
        <v>0</v>
      </c>
      <c r="EZ173" s="41">
        <f>COUNTIF(EZ175:EZ202,"1")</f>
        <v>0</v>
      </c>
      <c r="FA173" s="41">
        <f>COUNTIF(FA175:FA202,"1")</f>
        <v>0</v>
      </c>
      <c r="FB173" s="41">
        <f>COUNTIF(FB175:FB202,"1")</f>
        <v>0</v>
      </c>
      <c r="FC173" s="41">
        <f>COUNTIF(FC175:FC202,"1")</f>
        <v>0</v>
      </c>
      <c r="FD173" s="41">
        <f>COUNTIF(FD175:FD202,"1")</f>
        <v>0</v>
      </c>
      <c r="FE173" s="41">
        <f>COUNTIF(FE175:FE202,"1")</f>
        <v>0</v>
      </c>
      <c r="FF173" s="41">
        <f>COUNTIF(FF175:FF202,"1")</f>
        <v>0</v>
      </c>
      <c r="FG173" s="41">
        <f>COUNTIF(FG175:FG202,"1")</f>
        <v>0</v>
      </c>
      <c r="FH173" s="41">
        <f>COUNTIF(FH175:FH202,"1")</f>
        <v>0</v>
      </c>
      <c r="FI173" s="41">
        <f>COUNTIF(FI175:FI202,"1")</f>
        <v>0</v>
      </c>
      <c r="FJ173" s="41">
        <f>COUNTIF(FJ175:FJ202,"1")</f>
        <v>0</v>
      </c>
      <c r="FK173" s="41">
        <f>COUNTIF(FK175:FK202,"1")</f>
        <v>0</v>
      </c>
      <c r="FL173" s="41">
        <f>COUNTIF(FL175:FL202,"1")</f>
        <v>0</v>
      </c>
      <c r="FM173" s="41">
        <f>COUNTIF(FM175:FM202,"1")</f>
        <v>0</v>
      </c>
      <c r="FN173" s="41">
        <f>COUNTIF(FN175:FN202,"1")</f>
        <v>0</v>
      </c>
      <c r="FO173" s="41">
        <f>COUNTIF(FO175:FO202,"1")</f>
        <v>0</v>
      </c>
      <c r="FP173" s="41">
        <f>COUNTIF(FP175:FP202,"1")</f>
        <v>0</v>
      </c>
      <c r="FQ173" s="41">
        <f>COUNTIF(FQ175:FQ202,"1")</f>
        <v>0</v>
      </c>
      <c r="FR173" s="41">
        <f>COUNTIF(FR175:FR202,"1")</f>
        <v>0</v>
      </c>
      <c r="FS173" s="41">
        <f>COUNTIF(FS175:FS202,"1")</f>
        <v>0</v>
      </c>
      <c r="FT173" s="41">
        <f>COUNTIF(FT175:FT202,"1")</f>
        <v>0</v>
      </c>
      <c r="FU173" s="41">
        <f>COUNTIF(FU175:FU202,"1")</f>
        <v>0</v>
      </c>
      <c r="FV173" s="41">
        <f>COUNTIF(FV175:FV202,"1")</f>
        <v>0</v>
      </c>
      <c r="FW173" s="41">
        <f>COUNTIF(FW175:FW202,"1")</f>
        <v>0</v>
      </c>
      <c r="FX173" s="41">
        <f>COUNTIF(FX175:FX202,"1")</f>
        <v>0</v>
      </c>
      <c r="FY173" s="41">
        <f>COUNTIF(FY175:FY202,"1")</f>
        <v>0</v>
      </c>
      <c r="FZ173" s="41">
        <f>COUNTIF(FZ175:FZ202,"1")</f>
        <v>0</v>
      </c>
      <c r="GA173" s="41">
        <f>COUNTIF(GA175:GA202,"1")</f>
        <v>0</v>
      </c>
      <c r="GB173" s="41">
        <f>COUNTIF(GB175:GB202,"1")</f>
        <v>0</v>
      </c>
      <c r="GC173" s="41">
        <f>COUNTIF(GC175:GC202,"1")</f>
        <v>0</v>
      </c>
      <c r="GD173" s="41">
        <f>COUNTIF(GD175:GD202,"1")</f>
        <v>0</v>
      </c>
      <c r="GE173" s="41">
        <f>COUNTIF(GE175:GE202,"1")</f>
        <v>0</v>
      </c>
      <c r="GF173" s="41">
        <f>COUNTIF(GF175:GF202,"1")</f>
        <v>0</v>
      </c>
      <c r="GG173" s="41">
        <f>COUNTIF(GG175:GG202,"1")</f>
        <v>0</v>
      </c>
      <c r="GH173" s="41">
        <f>COUNTIF(GH175:GH202,"1")</f>
        <v>0</v>
      </c>
      <c r="GI173" s="41">
        <f>COUNTIF(GI175:GI202,"1")</f>
        <v>0</v>
      </c>
      <c r="GJ173" s="41">
        <f>COUNTIF(GJ175:GJ202,"1")</f>
        <v>0</v>
      </c>
      <c r="GK173" s="41">
        <f>COUNTIF(GK175:GK202,"1")</f>
        <v>0</v>
      </c>
      <c r="GL173" s="41">
        <f>COUNTIF(GL175:GL202,"1")</f>
        <v>0</v>
      </c>
      <c r="GM173" s="41">
        <f>COUNTIF(GM175:GM202,"1")</f>
        <v>0</v>
      </c>
      <c r="GN173" s="41">
        <f>COUNTIF(GN175:GN202,"1")</f>
        <v>0</v>
      </c>
      <c r="GO173" s="41">
        <f>COUNTIF(GO175:GO202,"1")</f>
        <v>0</v>
      </c>
      <c r="GP173" s="41">
        <f>COUNTIF(GP175:GP202,"1")</f>
        <v>0</v>
      </c>
      <c r="GQ173" s="41">
        <f>COUNTIF(GQ175:GQ202,"1")</f>
        <v>0</v>
      </c>
      <c r="GR173" s="41">
        <f>COUNTIF(GR175:GR202,"1")</f>
        <v>0</v>
      </c>
      <c r="GS173" s="41">
        <f>COUNTIF(GS175:GS202,"1")</f>
        <v>0</v>
      </c>
      <c r="GT173" s="41">
        <f>COUNTIF(GT175:GT202,"1")</f>
        <v>0</v>
      </c>
      <c r="GU173" s="41">
        <f>COUNTIF(GU175:GU202,"1")</f>
        <v>0</v>
      </c>
      <c r="GV173" s="41">
        <f>COUNTIF(GV175:GV202,"1")</f>
        <v>0</v>
      </c>
      <c r="GW173" s="41">
        <f>COUNTIF(GW175:GW202,"1")</f>
        <v>0</v>
      </c>
      <c r="GX173" s="41">
        <f>COUNTIF(GX175:GX202,"1")</f>
        <v>0</v>
      </c>
      <c r="GY173" s="41">
        <f>COUNTIF(GY175:GY202,"1")</f>
        <v>0</v>
      </c>
      <c r="GZ173" s="41">
        <f>COUNTIF(GZ175:GZ202,"1")</f>
        <v>0</v>
      </c>
      <c r="HA173" s="41">
        <f>COUNTIF(HA175:HA202,"1")</f>
        <v>0</v>
      </c>
      <c r="HB173" s="41">
        <f>COUNTIF(HB175:HB202,"1")</f>
        <v>0</v>
      </c>
      <c r="HC173" s="41">
        <f>COUNTIF(HC175:HC202,"1")</f>
        <v>0</v>
      </c>
      <c r="HD173" s="41">
        <f>COUNTIF(HD175:HD202,"1")</f>
        <v>0</v>
      </c>
      <c r="HE173" s="41">
        <f>COUNTIF(HE175:HE202,"1")</f>
        <v>0</v>
      </c>
      <c r="HF173" s="41">
        <f>COUNTIF(HF175:HF202,"1")</f>
        <v>0</v>
      </c>
      <c r="HG173" s="41">
        <f>COUNTIF(HG175:HG202,"1")</f>
        <v>0</v>
      </c>
      <c r="HH173" s="41">
        <f>COUNTIF(HH175:HH202,"1")</f>
        <v>0</v>
      </c>
      <c r="HI173" s="41">
        <f>COUNTIF(HI175:HI202,"1")</f>
        <v>0</v>
      </c>
      <c r="HJ173" s="41">
        <f>COUNTIF(HJ175:HJ202,"1")</f>
        <v>0</v>
      </c>
      <c r="HK173" s="41">
        <f>COUNTIF(HK175:HK202,"1")</f>
        <v>0</v>
      </c>
      <c r="HL173" s="41">
        <f>COUNTIF(HL175:HL202,"1")</f>
        <v>0</v>
      </c>
      <c r="HM173" s="41">
        <f>COUNTIF(HM175:HM202,"1")</f>
        <v>0</v>
      </c>
      <c r="HN173" s="41">
        <f>COUNTIF(HN175:HN202,"1")</f>
        <v>0</v>
      </c>
      <c r="HO173" s="41">
        <f>COUNTIF(HO175:HO202,"1")</f>
        <v>0</v>
      </c>
      <c r="HP173" s="41">
        <f>COUNTIF(HP175:HP202,"1")</f>
        <v>0</v>
      </c>
      <c r="HQ173" s="41">
        <f>COUNTIF(HQ175:HQ202,"1")</f>
        <v>0</v>
      </c>
      <c r="HR173" s="41">
        <f>COUNTIF(HR175:HR202,"1")</f>
        <v>0</v>
      </c>
      <c r="HS173" s="41">
        <f>COUNTIF(HS175:HS202,"1")</f>
        <v>0</v>
      </c>
      <c r="HT173" s="41">
        <f>COUNTIF(HT175:HT202,"1")</f>
        <v>0</v>
      </c>
      <c r="HU173" s="41">
        <f>COUNTIF(HU175:HU202,"1")</f>
        <v>0</v>
      </c>
      <c r="HV173" s="41">
        <f>COUNTIF(HV175:HV202,"1")</f>
        <v>0</v>
      </c>
      <c r="HW173" s="41">
        <f>COUNTIF(HW175:HW202,"1")</f>
        <v>0</v>
      </c>
      <c r="HX173" s="41">
        <f>COUNTIF(HX175:HX202,"1")</f>
        <v>0</v>
      </c>
      <c r="HY173" s="41">
        <f>COUNTIF(HY175:HY202,"1")</f>
        <v>0</v>
      </c>
      <c r="HZ173" s="41">
        <f>COUNTIF(HZ175:HZ202,"1")</f>
        <v>0</v>
      </c>
      <c r="IA173" s="41">
        <f>COUNTIF(IA175:IA202,"1")</f>
        <v>0</v>
      </c>
      <c r="IB173" s="41">
        <f>COUNTIF(IB175:IB202,"1")</f>
        <v>0</v>
      </c>
      <c r="IC173" s="41">
        <f>COUNTIF(IC175:IC202,"1")</f>
        <v>0</v>
      </c>
      <c r="ID173" s="41">
        <f>COUNTIF(ID175:ID202,"1")</f>
        <v>0</v>
      </c>
      <c r="IE173" s="41">
        <f>COUNTIF(IE175:IE202,"1")</f>
        <v>0</v>
      </c>
      <c r="IF173" s="41">
        <f>COUNTIF(IF175:IF202,"1")</f>
        <v>0</v>
      </c>
      <c r="IG173" s="41">
        <f>COUNTIF(IG175:IG202,"1")</f>
        <v>0</v>
      </c>
      <c r="IH173" s="41">
        <f>COUNTIF(IH175:IH202,"1")</f>
        <v>0</v>
      </c>
      <c r="II173" s="41">
        <f>COUNTIF(II175:II202,"1")</f>
        <v>0</v>
      </c>
      <c r="IJ173" s="41">
        <f>COUNTIF(IJ175:IJ202,"1")</f>
        <v>0</v>
      </c>
      <c r="IK173" s="41">
        <f>COUNTIF(IK175:IK202,"1")</f>
        <v>0</v>
      </c>
      <c r="IL173" s="41">
        <f>COUNTIF(IL175:IL202,"1")</f>
        <v>0</v>
      </c>
      <c r="IM173" s="41">
        <f>COUNTIF(IM175:IM202,"1")</f>
        <v>0</v>
      </c>
      <c r="IN173" s="41">
        <f>COUNTIF(IN175:IN202,"1")</f>
        <v>0</v>
      </c>
      <c r="IO173" s="41">
        <f>COUNTIF(IO175:IO202,"1")</f>
        <v>0</v>
      </c>
      <c r="IP173" s="41">
        <f>COUNTIF(IP175:IP202,"1")</f>
        <v>0</v>
      </c>
      <c r="IQ173" s="41">
        <f>COUNTIF(IQ175:IQ202,"1")</f>
        <v>0</v>
      </c>
      <c r="IR173" s="41">
        <f>COUNTIF(IR175:IR202,"1")</f>
        <v>0</v>
      </c>
      <c r="IS173" s="41">
        <f>COUNTIF(IS175:IS202,"1")</f>
        <v>0</v>
      </c>
      <c r="IT173" s="41">
        <f>COUNTIF(IT175:IT202,"1")</f>
        <v>0</v>
      </c>
      <c r="IU173" s="41">
        <f>COUNTIF(IU175:IU202,"1")</f>
        <v>0</v>
      </c>
      <c r="IV173" s="41">
        <f>COUNTIF(IV175:IV202,"1")</f>
        <v>0</v>
      </c>
      <c r="IW173" s="41">
        <f>COUNTIF(IW175:IW202,"1")</f>
        <v>0</v>
      </c>
      <c r="IX173" s="41">
        <f>COUNTIF(IX175:IX202,"1")</f>
        <v>0</v>
      </c>
      <c r="IY173" s="41">
        <f>COUNTIF(IY175:IY202,"1")</f>
        <v>0</v>
      </c>
      <c r="IZ173" s="41">
        <f>COUNTIF(IZ175:IZ202,"1")</f>
        <v>0</v>
      </c>
      <c r="JA173" s="41">
        <f>COUNTIF(JA175:JA202,"1")</f>
        <v>0</v>
      </c>
      <c r="JB173" s="41">
        <f>COUNTIF(JB175:JB202,"1")</f>
        <v>0</v>
      </c>
      <c r="JC173" s="41">
        <f>COUNTIF(JC175:JC202,"1")</f>
        <v>0</v>
      </c>
      <c r="JD173" s="41">
        <f>COUNTIF(JD175:JD202,"1")</f>
        <v>0</v>
      </c>
      <c r="JE173" s="41">
        <f>COUNTIF(JE175:JE202,"1")</f>
        <v>0</v>
      </c>
      <c r="JF173" s="41">
        <f>COUNTIF(JF175:JF202,"1")</f>
        <v>0</v>
      </c>
      <c r="JG173" s="41">
        <f>COUNTIF(JG175:JG202,"1")</f>
        <v>0</v>
      </c>
      <c r="JH173" s="41">
        <f>COUNTIF(JH175:JH202,"1")</f>
        <v>0</v>
      </c>
      <c r="JI173" s="41">
        <f>COUNTIF(JI175:JI202,"1")</f>
        <v>0</v>
      </c>
      <c r="JJ173" s="41">
        <f>COUNTIF(JJ175:JJ202,"1")</f>
        <v>0</v>
      </c>
      <c r="JK173" s="41">
        <f>COUNTIF(JK175:JK202,"1")</f>
        <v>0</v>
      </c>
      <c r="JL173" s="41">
        <f>COUNTIF(JL175:JL202,"1")</f>
        <v>0</v>
      </c>
      <c r="JM173" s="41">
        <f>COUNTIF(JM175:JM202,"1")</f>
        <v>0</v>
      </c>
      <c r="JN173" s="41">
        <f>COUNTIF(JN175:JN202,"1")</f>
        <v>0</v>
      </c>
      <c r="JO173" s="41">
        <f>COUNTIF(JO175:JO202,"1")</f>
        <v>0</v>
      </c>
      <c r="JP173" s="41">
        <f>COUNTIF(JP175:JP202,"1")</f>
        <v>0</v>
      </c>
      <c r="JQ173" s="41">
        <f>COUNTIF(JQ175:JQ202,"1")</f>
        <v>0</v>
      </c>
      <c r="JR173" s="41">
        <f>COUNTIF(JR175:JR202,"1")</f>
        <v>0</v>
      </c>
      <c r="JS173" s="41">
        <f>COUNTIF(JS175:JS202,"1")</f>
        <v>0</v>
      </c>
      <c r="JT173" s="41">
        <f>COUNTIF(JT175:JT202,"1")</f>
        <v>0</v>
      </c>
      <c r="JU173" s="41">
        <f>COUNTIF(JU175:JU202,"1")</f>
        <v>0</v>
      </c>
      <c r="JV173" s="41">
        <f>COUNTIF(JV175:JV202,"1")</f>
        <v>0</v>
      </c>
      <c r="JW173" s="41">
        <f>COUNTIF(JW175:JW202,"1")</f>
        <v>0</v>
      </c>
      <c r="JX173" s="41">
        <f>COUNTIF(JX175:JX202,"1")</f>
        <v>0</v>
      </c>
      <c r="JY173" s="41">
        <f>COUNTIF(JY175:JY202,"1")</f>
        <v>0</v>
      </c>
      <c r="JZ173" s="41">
        <f>COUNTIF(JZ175:JZ202,"1")</f>
        <v>0</v>
      </c>
      <c r="KA173" s="41">
        <f>COUNTIF(KA175:KA202,"1")</f>
        <v>0</v>
      </c>
      <c r="KB173" s="41">
        <f>COUNTIF(KB175:KB202,"1")</f>
        <v>0</v>
      </c>
      <c r="KC173" s="41">
        <f>COUNTIF(KC175:KC202,"1")</f>
        <v>0</v>
      </c>
      <c r="KD173" s="41">
        <f>COUNTIF(KD175:KD202,"1")</f>
        <v>0</v>
      </c>
      <c r="KE173" s="41">
        <f>COUNTIF(KE175:KE202,"1")</f>
        <v>0</v>
      </c>
      <c r="KF173" s="41">
        <f>COUNTIF(KF175:KF202,"1")</f>
        <v>0</v>
      </c>
      <c r="KG173" s="41">
        <f>COUNTIF(KG175:KG202,"1")</f>
        <v>0</v>
      </c>
      <c r="KH173" s="41">
        <f>COUNTIF(KH175:KH202,"1")</f>
        <v>0</v>
      </c>
      <c r="KI173" s="41">
        <f>COUNTIF(KI175:KI202,"1")</f>
        <v>0</v>
      </c>
      <c r="KJ173" s="41">
        <f>COUNTIF(KJ175:KJ202,"1")</f>
        <v>0</v>
      </c>
      <c r="KK173" s="41">
        <f>COUNTIF(KK175:KK202,"1")</f>
        <v>0</v>
      </c>
      <c r="KL173" s="41">
        <f>COUNTIF(KL175:KL202,"1")</f>
        <v>0</v>
      </c>
      <c r="KM173" s="41">
        <f>COUNTIF(KM175:KM202,"1")</f>
        <v>0</v>
      </c>
      <c r="KN173" s="41">
        <f>COUNTIF(KN175:KN202,"1")</f>
        <v>0</v>
      </c>
      <c r="KO173" s="41">
        <f>COUNTIF(KO175:KO202,"1")</f>
        <v>0</v>
      </c>
      <c r="KP173" s="41">
        <f>COUNTIF(KP175:KP202,"1")</f>
        <v>0</v>
      </c>
      <c r="KQ173" s="41">
        <f>COUNTIF(KQ175:KQ202,"1")</f>
        <v>0</v>
      </c>
      <c r="KR173" s="41">
        <f>COUNTIF(KR175:KR202,"1")</f>
        <v>0</v>
      </c>
      <c r="KS173" s="41">
        <f>COUNTIF(KS175:KS202,"1")</f>
        <v>0</v>
      </c>
      <c r="KT173" s="41">
        <f>COUNTIF(KT175:KT202,"1")</f>
        <v>0</v>
      </c>
      <c r="KU173" s="41">
        <f>COUNTIF(KU175:KU202,"1")</f>
        <v>0</v>
      </c>
      <c r="KV173" s="41">
        <f>COUNTIF(KV175:KV202,"1")</f>
        <v>0</v>
      </c>
      <c r="KW173" s="41">
        <f>COUNTIF(KW175:KW202,"1")</f>
        <v>0</v>
      </c>
      <c r="KX173" s="41">
        <f>COUNTIF(KX175:KX202,"1")</f>
        <v>0</v>
      </c>
      <c r="KY173" s="41">
        <f>COUNTIF(KY175:KY202,"1")</f>
        <v>0</v>
      </c>
      <c r="KZ173" s="41">
        <f>COUNTIF(KZ175:KZ202,"1")</f>
        <v>0</v>
      </c>
      <c r="LA173" s="41">
        <f>COUNTIF(LA175:LA202,"1")</f>
        <v>0</v>
      </c>
      <c r="LB173" s="41">
        <f>COUNTIF(LB175:LB202,"1")</f>
        <v>0</v>
      </c>
      <c r="LC173" s="41">
        <f>COUNTIF(LC175:LC202,"1")</f>
        <v>0</v>
      </c>
      <c r="LD173" s="41">
        <f>COUNTIF(LD175:LD202,"1")</f>
        <v>0</v>
      </c>
      <c r="LE173" s="41">
        <f>COUNTIF(LE175:LE202,"1")</f>
        <v>0</v>
      </c>
      <c r="LF173" s="41">
        <f>COUNTIF(LF175:LF202,"1")</f>
        <v>0</v>
      </c>
      <c r="LG173" s="41">
        <f>COUNTIF(LG175:LG202,"1")</f>
        <v>0</v>
      </c>
      <c r="LH173" s="41">
        <f>COUNTIF(LH175:LH202,"1")</f>
        <v>0</v>
      </c>
      <c r="LI173" s="41">
        <f>COUNTIF(LI175:LI202,"1")</f>
        <v>0</v>
      </c>
      <c r="LJ173" s="41">
        <f>COUNTIF(LJ175:LJ202,"1")</f>
        <v>0</v>
      </c>
      <c r="LK173" s="41">
        <f>COUNTIF(LK175:LK202,"1")</f>
        <v>0</v>
      </c>
      <c r="LL173" s="41">
        <f>COUNTIF(LL175:LL202,"1")</f>
        <v>0</v>
      </c>
      <c r="LM173" s="41">
        <f>COUNTIF(LM175:LM202,"1")</f>
        <v>0</v>
      </c>
      <c r="LN173" s="41">
        <f>COUNTIF(LN175:LN202,"1")</f>
        <v>0</v>
      </c>
      <c r="LO173" s="41">
        <f>COUNTIF(LO175:LO202,"1")</f>
        <v>0</v>
      </c>
      <c r="LP173" s="41">
        <f>COUNTIF(LP175:LP202,"1")</f>
        <v>0</v>
      </c>
      <c r="LQ173" s="41">
        <f>COUNTIF(LQ175:LQ202,"1")</f>
        <v>0</v>
      </c>
      <c r="LR173" s="41">
        <f>COUNTIF(LR175:LR202,"1")</f>
        <v>0</v>
      </c>
      <c r="LS173" s="41">
        <f>COUNTIF(LS175:LS202,"1")</f>
        <v>0</v>
      </c>
      <c r="LT173" s="41">
        <f>COUNTIF(LT175:LT202,"1")</f>
        <v>0</v>
      </c>
      <c r="LU173" s="41">
        <f>COUNTIF(LU175:LU202,"1")</f>
        <v>0</v>
      </c>
      <c r="LV173" s="41">
        <f>COUNTIF(LV175:LV202,"1")</f>
        <v>0</v>
      </c>
      <c r="LW173" s="41">
        <f>COUNTIF(LW175:LW202,"1")</f>
        <v>0</v>
      </c>
      <c r="LX173" s="41">
        <f>COUNTIF(LX175:LX202,"1")</f>
        <v>0</v>
      </c>
      <c r="LY173" s="41">
        <f>COUNTIF(LY175:LY202,"1")</f>
        <v>0</v>
      </c>
      <c r="LZ173" s="41">
        <f>COUNTIF(LZ175:LZ202,"1")</f>
        <v>0</v>
      </c>
      <c r="MA173" s="41">
        <f>COUNTIF(MA175:MA202,"1")</f>
        <v>0</v>
      </c>
      <c r="MB173" s="41">
        <f>COUNTIF(MB175:MB202,"1")</f>
        <v>0</v>
      </c>
      <c r="MC173" s="41">
        <f>COUNTIF(MC175:MC202,"1")</f>
        <v>0</v>
      </c>
      <c r="MD173" s="41">
        <f>COUNTIF(MD175:MD202,"1")</f>
        <v>0</v>
      </c>
      <c r="ME173" s="41">
        <f>COUNTIF(ME175:ME202,"1")</f>
        <v>0</v>
      </c>
      <c r="MF173" s="41">
        <f>COUNTIF(MF175:MF202,"1")</f>
        <v>0</v>
      </c>
      <c r="MG173" s="41">
        <f>COUNTIF(MG175:MG202,"1")</f>
        <v>0</v>
      </c>
      <c r="MH173" s="41">
        <f>COUNTIF(MH175:MH202,"1")</f>
        <v>0</v>
      </c>
      <c r="MI173" s="41">
        <f>COUNTIF(MI175:MI202,"1")</f>
        <v>0</v>
      </c>
      <c r="MJ173" s="41">
        <f>COUNTIF(MJ175:MJ202,"1")</f>
        <v>0</v>
      </c>
      <c r="MK173" s="41">
        <f>COUNTIF(MK175:MK202,"1")</f>
        <v>0</v>
      </c>
      <c r="ML173" s="41">
        <f>COUNTIF(ML175:ML202,"1")</f>
        <v>0</v>
      </c>
      <c r="MM173" s="41">
        <f>COUNTIF(MM175:MM202,"1")</f>
        <v>0</v>
      </c>
      <c r="MN173" s="41">
        <f>COUNTIF(MN175:MN202,"1")</f>
        <v>0</v>
      </c>
      <c r="MO173" s="41">
        <f>COUNTIF(MO175:MO202,"1")</f>
        <v>0</v>
      </c>
      <c r="MP173" s="41">
        <f>COUNTIF(MP175:MP202,"1")</f>
        <v>0</v>
      </c>
      <c r="MQ173" s="41">
        <f>COUNTIF(MQ175:MQ202,"1")</f>
        <v>0</v>
      </c>
      <c r="MR173" s="41">
        <f>COUNTIF(MR175:MR202,"1")</f>
        <v>0</v>
      </c>
      <c r="MS173" s="41">
        <f>COUNTIF(MS175:MS202,"1")</f>
        <v>0</v>
      </c>
      <c r="MT173" s="41">
        <f>COUNTIF(MT175:MT202,"1")</f>
        <v>0</v>
      </c>
      <c r="MU173" s="41">
        <f>COUNTIF(MU175:MU202,"1")</f>
        <v>0</v>
      </c>
      <c r="MV173" s="41">
        <f>COUNTIF(MV175:MV202,"1")</f>
        <v>0</v>
      </c>
      <c r="MW173" s="41">
        <f>COUNTIF(MW175:MW202,"1")</f>
        <v>0</v>
      </c>
      <c r="MX173" s="41">
        <f>COUNTIF(MX175:MX202,"1")</f>
        <v>0</v>
      </c>
      <c r="MY173" s="41">
        <f>COUNTIF(MY175:MY202,"1")</f>
        <v>0</v>
      </c>
      <c r="MZ173" s="41">
        <f>COUNTIF(MZ175:MZ202,"1")</f>
        <v>0</v>
      </c>
      <c r="NA173" s="41">
        <f>COUNTIF(NA175:NA202,"1")</f>
        <v>0</v>
      </c>
      <c r="NB173" s="41">
        <f>COUNTIF(NB175:NB202,"1")</f>
        <v>0</v>
      </c>
      <c r="NC173" s="41">
        <f>COUNTIF(NC175:NC202,"1")</f>
        <v>0</v>
      </c>
      <c r="ND173" s="41">
        <f>COUNTIF(ND175:ND202,"1")</f>
        <v>0</v>
      </c>
      <c r="NE173" s="41">
        <f>COUNTIF(NE175:NE202,"1")</f>
        <v>0</v>
      </c>
      <c r="NF173" s="41">
        <f>COUNTIF(NF175:NF202,"1")</f>
        <v>0</v>
      </c>
      <c r="NG173" s="41">
        <f>COUNTIF(NG175:NG202,"1")</f>
        <v>0</v>
      </c>
      <c r="NH173" s="41">
        <f>COUNTIF(NH175:NH202,"1")</f>
        <v>0</v>
      </c>
      <c r="NI173" s="41">
        <f>COUNTIF(NI175:NI202,"1")</f>
        <v>0</v>
      </c>
      <c r="NJ173" s="41">
        <f>COUNTIF(NJ175:NJ202,"1")</f>
        <v>0</v>
      </c>
      <c r="NK173" s="41">
        <f>COUNTIF(NK175:NK202,"1")</f>
        <v>0</v>
      </c>
      <c r="NL173" s="41">
        <f>COUNTIF(NL175:NL202,"1")</f>
        <v>0</v>
      </c>
      <c r="NM173" s="41">
        <f>COUNTIF(NM175:NM202,"1")</f>
        <v>0</v>
      </c>
      <c r="NN173" s="41">
        <f>COUNTIF(NN175:NN202,"1")</f>
        <v>0</v>
      </c>
      <c r="NO173" s="41">
        <f>COUNTIF(NO175:NO202,"1")</f>
        <v>0</v>
      </c>
      <c r="NP173" s="41">
        <f>COUNTIF(NP175:NP202,"1")</f>
        <v>0</v>
      </c>
      <c r="NQ173" s="41">
        <f>COUNTIF(NQ175:NQ202,"1")</f>
        <v>0</v>
      </c>
      <c r="NR173" s="41">
        <f>COUNTIF(NR175:NR202,"1")</f>
        <v>0</v>
      </c>
      <c r="NS173" s="41">
        <f>COUNTIF(NS175:NS202,"1")</f>
        <v>0</v>
      </c>
      <c r="NT173" s="27">
        <f>SUM(F173:NS173)</f>
        <v>33</v>
      </c>
      <c r="NU173" s="117">
        <f>NT174/NT173</f>
        <v>0.96969696969696972</v>
      </c>
      <c r="NV173" s="42">
        <f>SUMIF(NV175:NV202,1,NW175:NW202)</f>
        <v>9</v>
      </c>
      <c r="NW173" s="42">
        <f>SUMIF(NV175:NV202,1,NW175:NW202)</f>
        <v>9</v>
      </c>
      <c r="NX173" s="27">
        <f>SUM(F173:AU173)</f>
        <v>32</v>
      </c>
      <c r="NY173" s="117">
        <f t="shared" si="320"/>
        <v>0.96875</v>
      </c>
      <c r="NZ173" s="42">
        <f>SUMIF(NZ175:NZ202,1,OA175:OA202)</f>
        <v>1</v>
      </c>
      <c r="OA173" s="42">
        <f>SUMIF(NZ175:NZ202,1,OA175:OA202)</f>
        <v>1</v>
      </c>
      <c r="OB173" s="27">
        <f>SUM(AV173:CK173)</f>
        <v>1</v>
      </c>
      <c r="OC173" s="117">
        <f>OB174/OB173</f>
        <v>1</v>
      </c>
      <c r="OD173" s="42">
        <f>SUMIF(OD175:OD202,1,OE175:OE202)</f>
        <v>0</v>
      </c>
      <c r="OE173" s="42">
        <f>SUMIF(OD175:OD202,1,OE175:OE202)</f>
        <v>0</v>
      </c>
      <c r="OF173" s="27">
        <f>SUM(CL173:EA173)</f>
        <v>0</v>
      </c>
      <c r="OG173" s="98" t="e">
        <f>OF174/OF173</f>
        <v>#DIV/0!</v>
      </c>
      <c r="OH173" s="42">
        <f>SUMIF(OH175:OH202,1,OI175:OI202)</f>
        <v>0</v>
      </c>
      <c r="OI173" s="42">
        <f>SUMIF(OH175:OH202,1,OI175:OI202)</f>
        <v>0</v>
      </c>
      <c r="OJ173" s="27">
        <f>SUM(EB173:FQ173)</f>
        <v>0</v>
      </c>
      <c r="OK173" s="98" t="e">
        <f>OJ174/OJ173</f>
        <v>#DIV/0!</v>
      </c>
      <c r="OL173" s="42">
        <f>SUMIF(OL175:OL202,1,OM175:OM202)</f>
        <v>0</v>
      </c>
      <c r="OM173" s="42">
        <f>SUMIF(OL175:OL202,1,OM175:OM202)</f>
        <v>0</v>
      </c>
      <c r="ON173" s="27">
        <f>SUM(FR173:HG173)</f>
        <v>0</v>
      </c>
      <c r="OO173" s="98" t="e">
        <f>ON174/ON173</f>
        <v>#DIV/0!</v>
      </c>
      <c r="OP173" s="42">
        <f>SUMIF(OP175:OP202,1,OQ175:OQ202)</f>
        <v>0</v>
      </c>
      <c r="OQ173" s="98" t="e">
        <f>OP174/OP173</f>
        <v>#DIV/0!</v>
      </c>
      <c r="OR173" s="27">
        <f>SUM(HH173:IW173)</f>
        <v>0</v>
      </c>
      <c r="OS173" s="98" t="e">
        <f>OR174/OR173</f>
        <v>#DIV/0!</v>
      </c>
      <c r="OT173" s="42">
        <f>SUMIF(OT175:OT202,1,OU175:OU202)</f>
        <v>0</v>
      </c>
      <c r="OU173" s="42">
        <f>SUMIF(OT175:OT202,1,OU175:OU202)</f>
        <v>0</v>
      </c>
      <c r="OV173" s="27">
        <f>SUM(IX173:KM173)</f>
        <v>0</v>
      </c>
      <c r="OW173" s="98" t="e">
        <f>OV174/OV173</f>
        <v>#DIV/0!</v>
      </c>
      <c r="OX173" s="42">
        <f>SUMIF(OX175:OX202,1,OY175:OY202)</f>
        <v>0</v>
      </c>
      <c r="OY173" s="42">
        <f>SUMIF(OX175:OX202,1,OY175:OY202)</f>
        <v>0</v>
      </c>
      <c r="OZ173" s="27">
        <f>SUM(KN173:MC173)</f>
        <v>0</v>
      </c>
      <c r="PA173" s="98" t="e">
        <f>OZ174/OZ173</f>
        <v>#DIV/0!</v>
      </c>
      <c r="PB173" s="42">
        <f>SUMIF(PB175:PB202,1,PC175:PC202)</f>
        <v>0</v>
      </c>
      <c r="PC173" s="42">
        <f>SUMIF(PB175:PB202,1,PC175:PC202)</f>
        <v>0</v>
      </c>
      <c r="PD173" s="27">
        <f>SUM(MD173:NS173)</f>
        <v>0</v>
      </c>
      <c r="PE173" s="98" t="e">
        <f>PD174/PD173</f>
        <v>#DIV/0!</v>
      </c>
    </row>
    <row r="174" spans="1:421" ht="15.75" customHeight="1" thickBot="1" x14ac:dyDescent="0.3">
      <c r="A174" s="18"/>
      <c r="B174" s="18"/>
      <c r="C174" s="97"/>
      <c r="D174" s="62"/>
      <c r="E174" s="56" t="s">
        <v>9</v>
      </c>
      <c r="F174" s="43">
        <f>COUNTIF(F176:F202,"X")</f>
        <v>0</v>
      </c>
      <c r="G174" s="43">
        <f>COUNTIF(G176:G202,"X")</f>
        <v>0</v>
      </c>
      <c r="H174" s="43">
        <f>COUNTIF(H176:H202,"X")</f>
        <v>0</v>
      </c>
      <c r="I174" s="43">
        <f>COUNTIF(I176:I202,"X")</f>
        <v>2</v>
      </c>
      <c r="J174" s="43">
        <f>COUNTIF(J176:J202,"X")</f>
        <v>4</v>
      </c>
      <c r="K174" s="43">
        <f>COUNTIF(K176:K202,"X")</f>
        <v>2</v>
      </c>
      <c r="L174" s="43">
        <f>COUNTIF(L176:L202,"X")</f>
        <v>2</v>
      </c>
      <c r="M174" s="43">
        <f>COUNTIF(M176:M202,"X")</f>
        <v>2</v>
      </c>
      <c r="N174" s="43">
        <f>COUNTIF(N176:N202,"X")</f>
        <v>0</v>
      </c>
      <c r="O174" s="43">
        <f>COUNTIF(O176:O202,"X")</f>
        <v>0</v>
      </c>
      <c r="P174" s="70">
        <f>COUNTIF(P176:P202,"X")</f>
        <v>0</v>
      </c>
      <c r="Q174" s="43">
        <f>COUNTIF(Q176:Q202,"X")</f>
        <v>1</v>
      </c>
      <c r="R174" s="43">
        <f>COUNTIF(R176:R202,"X")</f>
        <v>1</v>
      </c>
      <c r="S174" s="43">
        <f>COUNTIF(S176:S202,"X")</f>
        <v>1</v>
      </c>
      <c r="T174" s="43">
        <f>COUNTIF(T176:T202,"X")</f>
        <v>1</v>
      </c>
      <c r="U174" s="43">
        <f>COUNTIF(U176:U202,"X")</f>
        <v>0</v>
      </c>
      <c r="V174" s="43">
        <f>COUNTIF(V176:V202,"X")</f>
        <v>0</v>
      </c>
      <c r="W174" s="70">
        <f>COUNTIF(W176:W202,"X")</f>
        <v>0</v>
      </c>
      <c r="X174" s="43">
        <f>COUNTIF(X176:X202,"X")</f>
        <v>1</v>
      </c>
      <c r="Y174" s="43">
        <f>COUNTIF(Y176:Y202,"X")</f>
        <v>1</v>
      </c>
      <c r="Z174" s="43">
        <f>COUNTIF(Z176:Z202,"X")</f>
        <v>1</v>
      </c>
      <c r="AA174" s="43">
        <f>COUNTIF(AA176:AA202,"X")</f>
        <v>1</v>
      </c>
      <c r="AB174" s="43">
        <f>COUNTIF(AB176:AB202,"X")</f>
        <v>0</v>
      </c>
      <c r="AC174" s="43">
        <f>COUNTIF(AC176:AC202,"X")</f>
        <v>0</v>
      </c>
      <c r="AD174" s="43">
        <f>COUNTIF(AD176:AD202,"X")</f>
        <v>1</v>
      </c>
      <c r="AE174" s="43">
        <f>COUNTIF(AE176:AE202,"X")</f>
        <v>1</v>
      </c>
      <c r="AF174" s="43">
        <f>COUNTIF(AF176:AF202,"X")</f>
        <v>3</v>
      </c>
      <c r="AG174" s="43">
        <f>COUNTIF(AG176:AG202,"X")</f>
        <v>2</v>
      </c>
      <c r="AH174" s="43">
        <f>COUNTIF(AH176:AH202,"X")</f>
        <v>2</v>
      </c>
      <c r="AI174" s="43">
        <f>COUNTIF(AI176:AI202,"X")</f>
        <v>0</v>
      </c>
      <c r="AJ174" s="43">
        <f>COUNTIF(AJ176:AJ202,"X")</f>
        <v>0</v>
      </c>
      <c r="AK174" s="43">
        <f>COUNTIF(AK176:AK202,"X")</f>
        <v>1</v>
      </c>
      <c r="AL174" s="43">
        <f>COUNTIF(AL176:AL202,"X")</f>
        <v>0</v>
      </c>
      <c r="AM174" s="43">
        <f>COUNTIF(AM176:AM202,"X")</f>
        <v>0</v>
      </c>
      <c r="AN174" s="43">
        <f>COUNTIF(AN176:AN202,"X")</f>
        <v>0</v>
      </c>
      <c r="AO174" s="43">
        <f>COUNTIF(AO176:AO202,"X")</f>
        <v>1</v>
      </c>
      <c r="AP174" s="43">
        <f>COUNTIF(AP176:AP202,"X")</f>
        <v>0</v>
      </c>
      <c r="AQ174" s="43">
        <f>COUNTIF(AQ176:AQ202,"X")</f>
        <v>0</v>
      </c>
      <c r="AR174" s="43">
        <f>COUNTIF(AR176:AR202,"X")</f>
        <v>0</v>
      </c>
      <c r="AS174" s="43">
        <f>COUNTIF(AS176:AS202,"X")</f>
        <v>0</v>
      </c>
      <c r="AT174" s="43">
        <f>COUNTIF(AT176:AT202,"X")</f>
        <v>0</v>
      </c>
      <c r="AU174" s="43">
        <f>COUNTIF(AU176:AU202,"X")</f>
        <v>0</v>
      </c>
      <c r="AV174" s="43">
        <f>COUNTIF(AV176:AV202,"X")</f>
        <v>1</v>
      </c>
      <c r="AW174" s="43">
        <f>COUNTIF(AW176:AW202,"X")</f>
        <v>0</v>
      </c>
      <c r="AX174" s="43">
        <f>COUNTIF(AX176:AX202,"X")</f>
        <v>0</v>
      </c>
      <c r="AY174" s="43">
        <f>COUNTIF(AY176:AY202,"X")</f>
        <v>0</v>
      </c>
      <c r="AZ174" s="43">
        <f>COUNTIF(AZ176:AZ202,"X")</f>
        <v>0</v>
      </c>
      <c r="BA174" s="43">
        <f>COUNTIF(BA176:BA202,"X")</f>
        <v>0</v>
      </c>
      <c r="BB174" s="43">
        <f>COUNTIF(BB176:BB202,"X")</f>
        <v>0</v>
      </c>
      <c r="BC174" s="43">
        <f>COUNTIF(BC176:BC202,"X")</f>
        <v>0</v>
      </c>
      <c r="BD174" s="43">
        <f>COUNTIF(BD176:BD202,"X")</f>
        <v>0</v>
      </c>
      <c r="BE174" s="43">
        <f>COUNTIF(BE176:BE202,"X")</f>
        <v>0</v>
      </c>
      <c r="BF174" s="43">
        <f>COUNTIF(BF176:BF202,"X")</f>
        <v>0</v>
      </c>
      <c r="BG174" s="43">
        <f>COUNTIF(BG176:BG202,"X")</f>
        <v>0</v>
      </c>
      <c r="BH174" s="43">
        <f>COUNTIF(BH176:BH202,"X")</f>
        <v>0</v>
      </c>
      <c r="BI174" s="43">
        <f>COUNTIF(BI176:BI202,"X")</f>
        <v>0</v>
      </c>
      <c r="BJ174" s="43">
        <f>COUNTIF(BJ176:BJ202,"X")</f>
        <v>0</v>
      </c>
      <c r="BK174" s="43">
        <f>COUNTIF(BK176:BK202,"X")</f>
        <v>0</v>
      </c>
      <c r="BL174" s="43">
        <f>COUNTIF(BL176:BL202,"X")</f>
        <v>0</v>
      </c>
      <c r="BM174" s="43">
        <f>COUNTIF(BM176:BM202,"X")</f>
        <v>0</v>
      </c>
      <c r="BN174" s="43">
        <f>COUNTIF(BN176:BN202,"X")</f>
        <v>0</v>
      </c>
      <c r="BO174" s="43">
        <f>COUNTIF(BO176:BO202,"X")</f>
        <v>0</v>
      </c>
      <c r="BP174" s="43">
        <f>COUNTIF(BP176:BP202,"X")</f>
        <v>0</v>
      </c>
      <c r="BQ174" s="43">
        <f>COUNTIF(BQ176:BQ202,"X")</f>
        <v>0</v>
      </c>
      <c r="BR174" s="43">
        <f>COUNTIF(BR176:BR202,"X")</f>
        <v>0</v>
      </c>
      <c r="BS174" s="43">
        <f>COUNTIF(BS176:BS202,"X")</f>
        <v>0</v>
      </c>
      <c r="BT174" s="43">
        <f>COUNTIF(BT176:BT202,"X")</f>
        <v>0</v>
      </c>
      <c r="BU174" s="43">
        <f>COUNTIF(BU176:BU202,"X")</f>
        <v>0</v>
      </c>
      <c r="BV174" s="43">
        <f>COUNTIF(BV176:BV202,"X")</f>
        <v>0</v>
      </c>
      <c r="BW174" s="43">
        <f>COUNTIF(BW176:BW202,"X")</f>
        <v>0</v>
      </c>
      <c r="BX174" s="43">
        <f>COUNTIF(BX176:BX202,"X")</f>
        <v>0</v>
      </c>
      <c r="BY174" s="43">
        <f>COUNTIF(BY176:BY202,"X")</f>
        <v>0</v>
      </c>
      <c r="BZ174" s="43">
        <f>COUNTIF(BZ176:BZ202,"X")</f>
        <v>0</v>
      </c>
      <c r="CA174" s="43">
        <f>COUNTIF(CA176:CA202,"X")</f>
        <v>0</v>
      </c>
      <c r="CB174" s="43">
        <f>COUNTIF(CB176:CB202,"X")</f>
        <v>0</v>
      </c>
      <c r="CC174" s="43">
        <f>COUNTIF(CC176:CC202,"X")</f>
        <v>0</v>
      </c>
      <c r="CD174" s="43">
        <f>COUNTIF(CD176:CD202,"X")</f>
        <v>0</v>
      </c>
      <c r="CE174" s="43">
        <f>COUNTIF(CE176:CE202,"X")</f>
        <v>0</v>
      </c>
      <c r="CF174" s="43">
        <f>COUNTIF(CF176:CF202,"X")</f>
        <v>0</v>
      </c>
      <c r="CG174" s="43">
        <f>COUNTIF(CG176:CG202,"X")</f>
        <v>0</v>
      </c>
      <c r="CH174" s="43">
        <f>COUNTIF(CH176:CH202,"X")</f>
        <v>0</v>
      </c>
      <c r="CI174" s="43">
        <f>COUNTIF(CI176:CI202,"X")</f>
        <v>0</v>
      </c>
      <c r="CJ174" s="43">
        <f>COUNTIF(CJ176:CJ202,"X")</f>
        <v>0</v>
      </c>
      <c r="CK174" s="43">
        <f>COUNTIF(CK176:CK202,"X")</f>
        <v>0</v>
      </c>
      <c r="CL174" s="43">
        <f>COUNTIF(CL176:CL202,"X")</f>
        <v>0</v>
      </c>
      <c r="CM174" s="43">
        <f>COUNTIF(CM176:CM202,"X")</f>
        <v>0</v>
      </c>
      <c r="CN174" s="43">
        <f>COUNTIF(CN176:CN202,"X")</f>
        <v>0</v>
      </c>
      <c r="CO174" s="43">
        <f>COUNTIF(CO176:CO202,"X")</f>
        <v>0</v>
      </c>
      <c r="CP174" s="43">
        <f>COUNTIF(CP176:CP202,"X")</f>
        <v>0</v>
      </c>
      <c r="CQ174" s="43">
        <f>COUNTIF(CQ176:CQ202,"X")</f>
        <v>0</v>
      </c>
      <c r="CR174" s="43">
        <f>COUNTIF(CR176:CR202,"X")</f>
        <v>0</v>
      </c>
      <c r="CS174" s="43">
        <f>COUNTIF(CS176:CS202,"X")</f>
        <v>0</v>
      </c>
      <c r="CT174" s="43">
        <f>COUNTIF(CT176:CT202,"X")</f>
        <v>0</v>
      </c>
      <c r="CU174" s="43">
        <f>COUNTIF(CU176:CU202,"X")</f>
        <v>0</v>
      </c>
      <c r="CV174" s="43">
        <f>COUNTIF(CV176:CV202,"X")</f>
        <v>0</v>
      </c>
      <c r="CW174" s="43">
        <f>COUNTIF(CW176:CW202,"X")</f>
        <v>0</v>
      </c>
      <c r="CX174" s="43">
        <f>COUNTIF(CX176:CX202,"X")</f>
        <v>0</v>
      </c>
      <c r="CY174" s="43">
        <f>COUNTIF(CY176:CY202,"X")</f>
        <v>0</v>
      </c>
      <c r="CZ174" s="43">
        <f>COUNTIF(CZ176:CZ202,"X")</f>
        <v>0</v>
      </c>
      <c r="DA174" s="43">
        <f>COUNTIF(DA176:DA202,"X")</f>
        <v>0</v>
      </c>
      <c r="DB174" s="43">
        <f>COUNTIF(DB176:DB202,"X")</f>
        <v>0</v>
      </c>
      <c r="DC174" s="43">
        <f>COUNTIF(DC176:DC202,"X")</f>
        <v>0</v>
      </c>
      <c r="DD174" s="43">
        <f>COUNTIF(DD176:DD202,"X")</f>
        <v>0</v>
      </c>
      <c r="DE174" s="43">
        <f>COUNTIF(DE176:DE202,"X")</f>
        <v>0</v>
      </c>
      <c r="DF174" s="43">
        <f>COUNTIF(DF176:DF202,"X")</f>
        <v>0</v>
      </c>
      <c r="DG174" s="43">
        <f>COUNTIF(DG176:DG202,"X")</f>
        <v>0</v>
      </c>
      <c r="DH174" s="43">
        <f>COUNTIF(DH176:DH202,"X")</f>
        <v>0</v>
      </c>
      <c r="DI174" s="43">
        <f>COUNTIF(DI176:DI202,"X")</f>
        <v>0</v>
      </c>
      <c r="DJ174" s="43">
        <f>COUNTIF(DJ176:DJ202,"X")</f>
        <v>0</v>
      </c>
      <c r="DK174" s="43">
        <f>COUNTIF(DK176:DK202,"X")</f>
        <v>0</v>
      </c>
      <c r="DL174" s="43">
        <f>COUNTIF(DL176:DL202,"X")</f>
        <v>0</v>
      </c>
      <c r="DM174" s="43">
        <f>COUNTIF(DM176:DM202,"X")</f>
        <v>0</v>
      </c>
      <c r="DN174" s="43">
        <f>COUNTIF(DN176:DN202,"X")</f>
        <v>0</v>
      </c>
      <c r="DO174" s="43">
        <f>COUNTIF(DO176:DO202,"X")</f>
        <v>0</v>
      </c>
      <c r="DP174" s="43">
        <f>COUNTIF(DP176:DP202,"X")</f>
        <v>0</v>
      </c>
      <c r="DQ174" s="43">
        <f>COUNTIF(DQ176:DQ202,"X")</f>
        <v>0</v>
      </c>
      <c r="DR174" s="43">
        <f>COUNTIF(DR176:DR202,"X")</f>
        <v>0</v>
      </c>
      <c r="DS174" s="43">
        <f>COUNTIF(DS176:DS202,"X")</f>
        <v>0</v>
      </c>
      <c r="DT174" s="43">
        <f>COUNTIF(DT176:DT202,"X")</f>
        <v>0</v>
      </c>
      <c r="DU174" s="43">
        <f>COUNTIF(DU176:DU202,"X")</f>
        <v>0</v>
      </c>
      <c r="DV174" s="43">
        <f>COUNTIF(DV176:DV202,"X")</f>
        <v>0</v>
      </c>
      <c r="DW174" s="43">
        <f>COUNTIF(DW176:DW202,"X")</f>
        <v>0</v>
      </c>
      <c r="DX174" s="43">
        <f>COUNTIF(DX176:DX202,"X")</f>
        <v>0</v>
      </c>
      <c r="DY174" s="43">
        <f>COUNTIF(DY176:DY202,"X")</f>
        <v>0</v>
      </c>
      <c r="DZ174" s="43">
        <f>COUNTIF(DZ176:DZ202,"X")</f>
        <v>0</v>
      </c>
      <c r="EA174" s="43">
        <f>COUNTIF(EA176:EA202,"X")</f>
        <v>0</v>
      </c>
      <c r="EB174" s="43">
        <f>COUNTIF(EB176:EB202,"X")</f>
        <v>0</v>
      </c>
      <c r="EC174" s="43">
        <f>COUNTIF(EC176:EC202,"X")</f>
        <v>0</v>
      </c>
      <c r="ED174" s="43">
        <f>COUNTIF(ED176:ED202,"X")</f>
        <v>0</v>
      </c>
      <c r="EE174" s="43">
        <f>COUNTIF(EE176:EE202,"X")</f>
        <v>0</v>
      </c>
      <c r="EF174" s="43">
        <f>COUNTIF(EF176:EF202,"X")</f>
        <v>0</v>
      </c>
      <c r="EG174" s="43">
        <f>COUNTIF(EG176:EG202,"X")</f>
        <v>0</v>
      </c>
      <c r="EH174" s="43">
        <f>COUNTIF(EH176:EH202,"X")</f>
        <v>0</v>
      </c>
      <c r="EI174" s="43">
        <f>COUNTIF(EI176:EI202,"X")</f>
        <v>0</v>
      </c>
      <c r="EJ174" s="43">
        <f>COUNTIF(EJ176:EJ202,"X")</f>
        <v>0</v>
      </c>
      <c r="EK174" s="43">
        <f>COUNTIF(EK176:EK202,"X")</f>
        <v>0</v>
      </c>
      <c r="EL174" s="43">
        <f>COUNTIF(EL176:EL202,"X")</f>
        <v>0</v>
      </c>
      <c r="EM174" s="43">
        <f>COUNTIF(EM176:EM202,"X")</f>
        <v>0</v>
      </c>
      <c r="EN174" s="43">
        <f>COUNTIF(EN176:EN202,"X")</f>
        <v>0</v>
      </c>
      <c r="EO174" s="43">
        <f>COUNTIF(EO176:EO202,"X")</f>
        <v>0</v>
      </c>
      <c r="EP174" s="43">
        <f>COUNTIF(EP176:EP202,"X")</f>
        <v>0</v>
      </c>
      <c r="EQ174" s="43">
        <f>COUNTIF(EQ176:EQ202,"X")</f>
        <v>0</v>
      </c>
      <c r="ER174" s="43">
        <f>COUNTIF(ER176:ER202,"X")</f>
        <v>0</v>
      </c>
      <c r="ES174" s="43">
        <f>COUNTIF(ES176:ES202,"X")</f>
        <v>0</v>
      </c>
      <c r="ET174" s="43">
        <f>COUNTIF(ET176:ET202,"X")</f>
        <v>0</v>
      </c>
      <c r="EU174" s="43">
        <f>COUNTIF(EU176:EU202,"X")</f>
        <v>0</v>
      </c>
      <c r="EV174" s="43">
        <f>COUNTIF(EV176:EV202,"X")</f>
        <v>0</v>
      </c>
      <c r="EW174" s="43">
        <f>COUNTIF(EW176:EW202,"X")</f>
        <v>0</v>
      </c>
      <c r="EX174" s="43">
        <f>COUNTIF(EX176:EX202,"X")</f>
        <v>0</v>
      </c>
      <c r="EY174" s="43">
        <f>COUNTIF(EY176:EY202,"X")</f>
        <v>0</v>
      </c>
      <c r="EZ174" s="43">
        <f>COUNTIF(EZ176:EZ202,"X")</f>
        <v>0</v>
      </c>
      <c r="FA174" s="43">
        <f>COUNTIF(FA176:FA202,"X")</f>
        <v>0</v>
      </c>
      <c r="FB174" s="43">
        <f>COUNTIF(FB176:FB202,"X")</f>
        <v>0</v>
      </c>
      <c r="FC174" s="43">
        <f>COUNTIF(FC176:FC202,"X")</f>
        <v>0</v>
      </c>
      <c r="FD174" s="43">
        <f>COUNTIF(FD176:FD202,"X")</f>
        <v>0</v>
      </c>
      <c r="FE174" s="43">
        <f>COUNTIF(FE176:FE202,"X")</f>
        <v>0</v>
      </c>
      <c r="FF174" s="43">
        <f>COUNTIF(FF176:FF202,"X")</f>
        <v>0</v>
      </c>
      <c r="FG174" s="43">
        <f>COUNTIF(FG176:FG202,"X")</f>
        <v>0</v>
      </c>
      <c r="FH174" s="43">
        <f>COUNTIF(FH176:FH202,"X")</f>
        <v>0</v>
      </c>
      <c r="FI174" s="43">
        <f>COUNTIF(FI176:FI202,"X")</f>
        <v>0</v>
      </c>
      <c r="FJ174" s="43">
        <f>COUNTIF(FJ176:FJ202,"X")</f>
        <v>0</v>
      </c>
      <c r="FK174" s="43">
        <f>COUNTIF(FK176:FK202,"X")</f>
        <v>0</v>
      </c>
      <c r="FL174" s="43">
        <f>COUNTIF(FL176:FL202,"X")</f>
        <v>0</v>
      </c>
      <c r="FM174" s="43">
        <f>COUNTIF(FM176:FM202,"X")</f>
        <v>0</v>
      </c>
      <c r="FN174" s="43">
        <f>COUNTIF(FN176:FN202,"X")</f>
        <v>0</v>
      </c>
      <c r="FO174" s="43">
        <f>COUNTIF(FO176:FO202,"X")</f>
        <v>0</v>
      </c>
      <c r="FP174" s="43">
        <f>COUNTIF(FP176:FP202,"X")</f>
        <v>0</v>
      </c>
      <c r="FQ174" s="43">
        <f>COUNTIF(FQ176:FQ202,"X")</f>
        <v>0</v>
      </c>
      <c r="FR174" s="43">
        <f>COUNTIF(FR176:FR202,"X")</f>
        <v>0</v>
      </c>
      <c r="FS174" s="43">
        <f>COUNTIF(FS176:FS202,"X")</f>
        <v>0</v>
      </c>
      <c r="FT174" s="43">
        <f>COUNTIF(FT176:FT202,"X")</f>
        <v>0</v>
      </c>
      <c r="FU174" s="43">
        <f>COUNTIF(FU176:FU202,"X")</f>
        <v>0</v>
      </c>
      <c r="FV174" s="43">
        <f>COUNTIF(FV176:FV202,"X")</f>
        <v>0</v>
      </c>
      <c r="FW174" s="43">
        <f>COUNTIF(FW176:FW202,"X")</f>
        <v>0</v>
      </c>
      <c r="FX174" s="43">
        <f>COUNTIF(FX176:FX202,"X")</f>
        <v>0</v>
      </c>
      <c r="FY174" s="43">
        <f>COUNTIF(FY176:FY202,"X")</f>
        <v>0</v>
      </c>
      <c r="FZ174" s="43">
        <f>COUNTIF(FZ176:FZ202,"X")</f>
        <v>0</v>
      </c>
      <c r="GA174" s="43">
        <f>COUNTIF(GA176:GA202,"X")</f>
        <v>0</v>
      </c>
      <c r="GB174" s="43">
        <f>COUNTIF(GB176:GB202,"X")</f>
        <v>0</v>
      </c>
      <c r="GC174" s="43">
        <f>COUNTIF(GC176:GC202,"X")</f>
        <v>0</v>
      </c>
      <c r="GD174" s="43">
        <f>COUNTIF(GD176:GD202,"X")</f>
        <v>0</v>
      </c>
      <c r="GE174" s="43">
        <f>COUNTIF(GE176:GE202,"X")</f>
        <v>0</v>
      </c>
      <c r="GF174" s="43">
        <f>COUNTIF(GF176:GF202,"X")</f>
        <v>0</v>
      </c>
      <c r="GG174" s="43">
        <f>COUNTIF(GG176:GG202,"X")</f>
        <v>0</v>
      </c>
      <c r="GH174" s="43">
        <f>COUNTIF(GH176:GH202,"X")</f>
        <v>0</v>
      </c>
      <c r="GI174" s="43">
        <f>COUNTIF(GI176:GI202,"X")</f>
        <v>0</v>
      </c>
      <c r="GJ174" s="43">
        <f>COUNTIF(GJ176:GJ202,"X")</f>
        <v>0</v>
      </c>
      <c r="GK174" s="43">
        <f>COUNTIF(GK176:GK202,"X")</f>
        <v>0</v>
      </c>
      <c r="GL174" s="43">
        <f>COUNTIF(GL176:GL202,"X")</f>
        <v>0</v>
      </c>
      <c r="GM174" s="43">
        <f>COUNTIF(GM176:GM202,"X")</f>
        <v>0</v>
      </c>
      <c r="GN174" s="43">
        <f>COUNTIF(GN176:GN202,"X")</f>
        <v>0</v>
      </c>
      <c r="GO174" s="43">
        <f>COUNTIF(GO176:GO202,"X")</f>
        <v>0</v>
      </c>
      <c r="GP174" s="43">
        <f>COUNTIF(GP176:GP202,"X")</f>
        <v>0</v>
      </c>
      <c r="GQ174" s="43">
        <f>COUNTIF(GQ176:GQ202,"X")</f>
        <v>0</v>
      </c>
      <c r="GR174" s="43">
        <f>COUNTIF(GR176:GR202,"X")</f>
        <v>0</v>
      </c>
      <c r="GS174" s="43">
        <f>COUNTIF(GS176:GS202,"X")</f>
        <v>0</v>
      </c>
      <c r="GT174" s="43">
        <f>COUNTIF(GT176:GT202,"X")</f>
        <v>0</v>
      </c>
      <c r="GU174" s="43">
        <f>COUNTIF(GU176:GU202,"X")</f>
        <v>0</v>
      </c>
      <c r="GV174" s="43">
        <f>COUNTIF(GV176:GV202,"X")</f>
        <v>0</v>
      </c>
      <c r="GW174" s="43">
        <f>COUNTIF(GW176:GW202,"X")</f>
        <v>0</v>
      </c>
      <c r="GX174" s="43">
        <f>COUNTIF(GX176:GX202,"X")</f>
        <v>0</v>
      </c>
      <c r="GY174" s="43">
        <f>COUNTIF(GY176:GY202,"X")</f>
        <v>0</v>
      </c>
      <c r="GZ174" s="43">
        <f>COUNTIF(GZ176:GZ202,"X")</f>
        <v>0</v>
      </c>
      <c r="HA174" s="43">
        <f>COUNTIF(HA176:HA202,"X")</f>
        <v>0</v>
      </c>
      <c r="HB174" s="43">
        <f>COUNTIF(HB176:HB202,"X")</f>
        <v>0</v>
      </c>
      <c r="HC174" s="43">
        <f>COUNTIF(HC176:HC202,"X")</f>
        <v>0</v>
      </c>
      <c r="HD174" s="43">
        <f>COUNTIF(HD176:HD202,"X")</f>
        <v>0</v>
      </c>
      <c r="HE174" s="43">
        <f>COUNTIF(HE176:HE202,"X")</f>
        <v>0</v>
      </c>
      <c r="HF174" s="43">
        <f>COUNTIF(HF176:HF202,"X")</f>
        <v>0</v>
      </c>
      <c r="HG174" s="43">
        <f>COUNTIF(HG176:HG202,"X")</f>
        <v>0</v>
      </c>
      <c r="HH174" s="43">
        <f>COUNTIF(HH176:HH202,"X")</f>
        <v>0</v>
      </c>
      <c r="HI174" s="43">
        <f>COUNTIF(HI176:HI202,"X")</f>
        <v>0</v>
      </c>
      <c r="HJ174" s="43">
        <f>COUNTIF(HJ176:HJ202,"X")</f>
        <v>0</v>
      </c>
      <c r="HK174" s="43">
        <f>COUNTIF(HK176:HK202,"X")</f>
        <v>0</v>
      </c>
      <c r="HL174" s="43">
        <f>COUNTIF(HL176:HL202,"X")</f>
        <v>0</v>
      </c>
      <c r="HM174" s="43">
        <f>COUNTIF(HM176:HM202,"X")</f>
        <v>0</v>
      </c>
      <c r="HN174" s="43">
        <f>COUNTIF(HN176:HN202,"X")</f>
        <v>0</v>
      </c>
      <c r="HO174" s="43">
        <f>COUNTIF(HO176:HO202,"X")</f>
        <v>0</v>
      </c>
      <c r="HP174" s="43">
        <f>COUNTIF(HP176:HP202,"X")</f>
        <v>0</v>
      </c>
      <c r="HQ174" s="43">
        <f>COUNTIF(HQ176:HQ202,"X")</f>
        <v>0</v>
      </c>
      <c r="HR174" s="43">
        <f>COUNTIF(HR176:HR202,"X")</f>
        <v>0</v>
      </c>
      <c r="HS174" s="43">
        <f>COUNTIF(HS176:HS202,"X")</f>
        <v>0</v>
      </c>
      <c r="HT174" s="43">
        <f>COUNTIF(HT176:HT202,"X")</f>
        <v>0</v>
      </c>
      <c r="HU174" s="43">
        <f>COUNTIF(HU176:HU202,"X")</f>
        <v>0</v>
      </c>
      <c r="HV174" s="43">
        <f>COUNTIF(HV176:HV202,"X")</f>
        <v>0</v>
      </c>
      <c r="HW174" s="43">
        <f>COUNTIF(HW176:HW202,"X")</f>
        <v>0</v>
      </c>
      <c r="HX174" s="43">
        <f>COUNTIF(HX176:HX202,"X")</f>
        <v>0</v>
      </c>
      <c r="HY174" s="43">
        <f>COUNTIF(HY176:HY202,"X")</f>
        <v>0</v>
      </c>
      <c r="HZ174" s="43">
        <f>COUNTIF(HZ176:HZ202,"X")</f>
        <v>0</v>
      </c>
      <c r="IA174" s="43">
        <f>COUNTIF(IA176:IA202,"X")</f>
        <v>0</v>
      </c>
      <c r="IB174" s="43">
        <f>COUNTIF(IB176:IB202,"X")</f>
        <v>0</v>
      </c>
      <c r="IC174" s="43">
        <f>COUNTIF(IC176:IC202,"X")</f>
        <v>0</v>
      </c>
      <c r="ID174" s="43">
        <f>COUNTIF(ID176:ID202,"X")</f>
        <v>0</v>
      </c>
      <c r="IE174" s="43">
        <f>COUNTIF(IE176:IE202,"X")</f>
        <v>0</v>
      </c>
      <c r="IF174" s="43">
        <f>COUNTIF(IF176:IF202,"X")</f>
        <v>0</v>
      </c>
      <c r="IG174" s="43">
        <f>COUNTIF(IG176:IG202,"X")</f>
        <v>0</v>
      </c>
      <c r="IH174" s="43">
        <f>COUNTIF(IH176:IH202,"X")</f>
        <v>0</v>
      </c>
      <c r="II174" s="43">
        <f>COUNTIF(II176:II202,"X")</f>
        <v>0</v>
      </c>
      <c r="IJ174" s="43">
        <f>COUNTIF(IJ176:IJ202,"X")</f>
        <v>0</v>
      </c>
      <c r="IK174" s="43">
        <f>COUNTIF(IK176:IK202,"X")</f>
        <v>0</v>
      </c>
      <c r="IL174" s="43">
        <f>COUNTIF(IL176:IL202,"X")</f>
        <v>0</v>
      </c>
      <c r="IM174" s="43">
        <f>COUNTIF(IM176:IM202,"X")</f>
        <v>0</v>
      </c>
      <c r="IN174" s="43">
        <f>COUNTIF(IN176:IN202,"X")</f>
        <v>0</v>
      </c>
      <c r="IO174" s="43">
        <f>COUNTIF(IO176:IO202,"X")</f>
        <v>0</v>
      </c>
      <c r="IP174" s="43">
        <f>COUNTIF(IP176:IP202,"X")</f>
        <v>0</v>
      </c>
      <c r="IQ174" s="43">
        <f>COUNTIF(IQ176:IQ202,"X")</f>
        <v>0</v>
      </c>
      <c r="IR174" s="43">
        <f>COUNTIF(IR176:IR202,"X")</f>
        <v>0</v>
      </c>
      <c r="IS174" s="43">
        <f>COUNTIF(IS176:IS202,"X")</f>
        <v>0</v>
      </c>
      <c r="IT174" s="43">
        <f>COUNTIF(IT176:IT202,"X")</f>
        <v>0</v>
      </c>
      <c r="IU174" s="43">
        <f>COUNTIF(IU176:IU202,"X")</f>
        <v>0</v>
      </c>
      <c r="IV174" s="43">
        <f>COUNTIF(IV176:IV202,"X")</f>
        <v>0</v>
      </c>
      <c r="IW174" s="43">
        <f>COUNTIF(IW176:IW202,"X")</f>
        <v>0</v>
      </c>
      <c r="IX174" s="43">
        <f>COUNTIF(IX176:IX202,"X")</f>
        <v>0</v>
      </c>
      <c r="IY174" s="43">
        <f>COUNTIF(IY176:IY202,"X")</f>
        <v>0</v>
      </c>
      <c r="IZ174" s="43">
        <f>COUNTIF(IZ176:IZ202,"X")</f>
        <v>0</v>
      </c>
      <c r="JA174" s="43">
        <f>COUNTIF(JA176:JA202,"X")</f>
        <v>0</v>
      </c>
      <c r="JB174" s="43">
        <f>COUNTIF(JB176:JB202,"X")</f>
        <v>0</v>
      </c>
      <c r="JC174" s="43">
        <f>COUNTIF(JC176:JC202,"X")</f>
        <v>0</v>
      </c>
      <c r="JD174" s="43">
        <f>COUNTIF(JD176:JD202,"X")</f>
        <v>0</v>
      </c>
      <c r="JE174" s="43">
        <f>COUNTIF(JE176:JE202,"X")</f>
        <v>0</v>
      </c>
      <c r="JF174" s="43">
        <f>COUNTIF(JF176:JF202,"X")</f>
        <v>0</v>
      </c>
      <c r="JG174" s="43">
        <f>COUNTIF(JG176:JG202,"X")</f>
        <v>0</v>
      </c>
      <c r="JH174" s="43">
        <f>COUNTIF(JH176:JH202,"X")</f>
        <v>0</v>
      </c>
      <c r="JI174" s="43">
        <f>COUNTIF(JI176:JI202,"X")</f>
        <v>0</v>
      </c>
      <c r="JJ174" s="43">
        <f>COUNTIF(JJ176:JJ202,"X")</f>
        <v>0</v>
      </c>
      <c r="JK174" s="43">
        <f>COUNTIF(JK176:JK202,"X")</f>
        <v>0</v>
      </c>
      <c r="JL174" s="43">
        <f>COUNTIF(JL176:JL202,"X")</f>
        <v>0</v>
      </c>
      <c r="JM174" s="43">
        <f>COUNTIF(JM176:JM202,"X")</f>
        <v>0</v>
      </c>
      <c r="JN174" s="43">
        <f>COUNTIF(JN176:JN202,"X")</f>
        <v>0</v>
      </c>
      <c r="JO174" s="43">
        <f>COUNTIF(JO176:JO202,"X")</f>
        <v>0</v>
      </c>
      <c r="JP174" s="43">
        <f>COUNTIF(JP176:JP202,"X")</f>
        <v>0</v>
      </c>
      <c r="JQ174" s="43">
        <f>COUNTIF(JQ176:JQ202,"X")</f>
        <v>0</v>
      </c>
      <c r="JR174" s="43">
        <f>COUNTIF(JR176:JR202,"X")</f>
        <v>0</v>
      </c>
      <c r="JS174" s="43">
        <f>COUNTIF(JS176:JS202,"X")</f>
        <v>0</v>
      </c>
      <c r="JT174" s="43">
        <f>COUNTIF(JT176:JT202,"X")</f>
        <v>0</v>
      </c>
      <c r="JU174" s="43">
        <f>COUNTIF(JU176:JU202,"X")</f>
        <v>0</v>
      </c>
      <c r="JV174" s="43">
        <f>COUNTIF(JV176:JV202,"X")</f>
        <v>0</v>
      </c>
      <c r="JW174" s="43">
        <f>COUNTIF(JW176:JW202,"X")</f>
        <v>0</v>
      </c>
      <c r="JX174" s="43">
        <f>COUNTIF(JX176:JX202,"X")</f>
        <v>0</v>
      </c>
      <c r="JY174" s="43">
        <f>COUNTIF(JY176:JY202,"X")</f>
        <v>0</v>
      </c>
      <c r="JZ174" s="43">
        <f>COUNTIF(JZ176:JZ202,"X")</f>
        <v>0</v>
      </c>
      <c r="KA174" s="43">
        <f>COUNTIF(KA176:KA202,"X")</f>
        <v>0</v>
      </c>
      <c r="KB174" s="43">
        <f>COUNTIF(KB176:KB202,"X")</f>
        <v>0</v>
      </c>
      <c r="KC174" s="43">
        <f>COUNTIF(KC176:KC202,"X")</f>
        <v>0</v>
      </c>
      <c r="KD174" s="43">
        <f>COUNTIF(KD176:KD202,"X")</f>
        <v>0</v>
      </c>
      <c r="KE174" s="43">
        <f>COUNTIF(KE176:KE202,"X")</f>
        <v>0</v>
      </c>
      <c r="KF174" s="43">
        <f>COUNTIF(KF176:KF202,"X")</f>
        <v>0</v>
      </c>
      <c r="KG174" s="43">
        <f>COUNTIF(KG176:KG202,"X")</f>
        <v>0</v>
      </c>
      <c r="KH174" s="43">
        <f>COUNTIF(KH176:KH202,"X")</f>
        <v>0</v>
      </c>
      <c r="KI174" s="43">
        <f>COUNTIF(KI176:KI202,"X")</f>
        <v>0</v>
      </c>
      <c r="KJ174" s="43">
        <f>COUNTIF(KJ176:KJ202,"X")</f>
        <v>0</v>
      </c>
      <c r="KK174" s="43">
        <f>COUNTIF(KK176:KK202,"X")</f>
        <v>0</v>
      </c>
      <c r="KL174" s="43">
        <f>COUNTIF(KL176:KL202,"X")</f>
        <v>0</v>
      </c>
      <c r="KM174" s="43">
        <f>COUNTIF(KM176:KM202,"X")</f>
        <v>0</v>
      </c>
      <c r="KN174" s="43">
        <f>COUNTIF(KN176:KN202,"X")</f>
        <v>0</v>
      </c>
      <c r="KO174" s="43">
        <f>COUNTIF(KO176:KO202,"X")</f>
        <v>0</v>
      </c>
      <c r="KP174" s="43">
        <f>COUNTIF(KP176:KP202,"X")</f>
        <v>0</v>
      </c>
      <c r="KQ174" s="43">
        <f>COUNTIF(KQ176:KQ202,"X")</f>
        <v>0</v>
      </c>
      <c r="KR174" s="43">
        <f>COUNTIF(KR176:KR202,"X")</f>
        <v>0</v>
      </c>
      <c r="KS174" s="43">
        <f>COUNTIF(KS176:KS202,"X")</f>
        <v>0</v>
      </c>
      <c r="KT174" s="43">
        <f>COUNTIF(KT176:KT202,"X")</f>
        <v>0</v>
      </c>
      <c r="KU174" s="43">
        <f>COUNTIF(KU176:KU202,"X")</f>
        <v>0</v>
      </c>
      <c r="KV174" s="43">
        <f>COUNTIF(KV176:KV202,"X")</f>
        <v>0</v>
      </c>
      <c r="KW174" s="43">
        <f>COUNTIF(KW176:KW202,"X")</f>
        <v>0</v>
      </c>
      <c r="KX174" s="43">
        <f>COUNTIF(KX176:KX202,"X")</f>
        <v>0</v>
      </c>
      <c r="KY174" s="43">
        <f>COUNTIF(KY176:KY202,"X")</f>
        <v>0</v>
      </c>
      <c r="KZ174" s="43">
        <f>COUNTIF(KZ176:KZ202,"X")</f>
        <v>0</v>
      </c>
      <c r="LA174" s="43">
        <f>COUNTIF(LA176:LA202,"X")</f>
        <v>0</v>
      </c>
      <c r="LB174" s="43">
        <f>COUNTIF(LB176:LB202,"X")</f>
        <v>0</v>
      </c>
      <c r="LC174" s="43">
        <f>COUNTIF(LC176:LC202,"X")</f>
        <v>0</v>
      </c>
      <c r="LD174" s="43">
        <f>COUNTIF(LD176:LD202,"X")</f>
        <v>0</v>
      </c>
      <c r="LE174" s="43">
        <f>COUNTIF(LE176:LE202,"X")</f>
        <v>0</v>
      </c>
      <c r="LF174" s="43">
        <f>COUNTIF(LF176:LF202,"X")</f>
        <v>0</v>
      </c>
      <c r="LG174" s="43">
        <f>COUNTIF(LG176:LG202,"X")</f>
        <v>0</v>
      </c>
      <c r="LH174" s="43">
        <f>COUNTIF(LH176:LH202,"X")</f>
        <v>0</v>
      </c>
      <c r="LI174" s="43">
        <f>COUNTIF(LI176:LI202,"X")</f>
        <v>0</v>
      </c>
      <c r="LJ174" s="43">
        <f>COUNTIF(LJ176:LJ202,"X")</f>
        <v>0</v>
      </c>
      <c r="LK174" s="43">
        <f>COUNTIF(LK176:LK202,"X")</f>
        <v>0</v>
      </c>
      <c r="LL174" s="43">
        <f>COUNTIF(LL176:LL202,"X")</f>
        <v>0</v>
      </c>
      <c r="LM174" s="43">
        <f>COUNTIF(LM176:LM202,"X")</f>
        <v>0</v>
      </c>
      <c r="LN174" s="43">
        <f>COUNTIF(LN176:LN202,"X")</f>
        <v>0</v>
      </c>
      <c r="LO174" s="43">
        <f>COUNTIF(LO176:LO202,"X")</f>
        <v>0</v>
      </c>
      <c r="LP174" s="43">
        <f>COUNTIF(LP176:LP202,"X")</f>
        <v>0</v>
      </c>
      <c r="LQ174" s="43">
        <f>COUNTIF(LQ176:LQ202,"X")</f>
        <v>0</v>
      </c>
      <c r="LR174" s="43">
        <f>COUNTIF(LR176:LR202,"X")</f>
        <v>0</v>
      </c>
      <c r="LS174" s="43">
        <f>COUNTIF(LS176:LS202,"X")</f>
        <v>0</v>
      </c>
      <c r="LT174" s="43">
        <f>COUNTIF(LT176:LT202,"X")</f>
        <v>0</v>
      </c>
      <c r="LU174" s="43">
        <f>COUNTIF(LU176:LU202,"X")</f>
        <v>0</v>
      </c>
      <c r="LV174" s="43">
        <f>COUNTIF(LV176:LV202,"X")</f>
        <v>0</v>
      </c>
      <c r="LW174" s="43">
        <f>COUNTIF(LW176:LW202,"X")</f>
        <v>0</v>
      </c>
      <c r="LX174" s="43">
        <f>COUNTIF(LX176:LX202,"X")</f>
        <v>0</v>
      </c>
      <c r="LY174" s="43">
        <f>COUNTIF(LY176:LY202,"X")</f>
        <v>0</v>
      </c>
      <c r="LZ174" s="43">
        <f>COUNTIF(LZ176:LZ202,"X")</f>
        <v>0</v>
      </c>
      <c r="MA174" s="43">
        <f>COUNTIF(MA176:MA202,"X")</f>
        <v>0</v>
      </c>
      <c r="MB174" s="43">
        <f>COUNTIF(MB176:MB202,"X")</f>
        <v>0</v>
      </c>
      <c r="MC174" s="43">
        <f>COUNTIF(MC176:MC202,"X")</f>
        <v>0</v>
      </c>
      <c r="MD174" s="43">
        <f>COUNTIF(MD176:MD202,"X")</f>
        <v>0</v>
      </c>
      <c r="ME174" s="43">
        <f>COUNTIF(ME176:ME202,"X")</f>
        <v>0</v>
      </c>
      <c r="MF174" s="43">
        <f>COUNTIF(MF176:MF202,"X")</f>
        <v>0</v>
      </c>
      <c r="MG174" s="43">
        <f>COUNTIF(MG176:MG202,"X")</f>
        <v>0</v>
      </c>
      <c r="MH174" s="43">
        <f>COUNTIF(MH176:MH202,"X")</f>
        <v>0</v>
      </c>
      <c r="MI174" s="43">
        <f>COUNTIF(MI176:MI202,"X")</f>
        <v>0</v>
      </c>
      <c r="MJ174" s="43">
        <f>COUNTIF(MJ176:MJ202,"X")</f>
        <v>0</v>
      </c>
      <c r="MK174" s="43">
        <f>COUNTIF(MK176:MK202,"X")</f>
        <v>0</v>
      </c>
      <c r="ML174" s="43">
        <f>COUNTIF(ML176:ML202,"X")</f>
        <v>0</v>
      </c>
      <c r="MM174" s="43">
        <f>COUNTIF(MM176:MM202,"X")</f>
        <v>0</v>
      </c>
      <c r="MN174" s="43">
        <f>COUNTIF(MN176:MN202,"X")</f>
        <v>0</v>
      </c>
      <c r="MO174" s="43">
        <f>COUNTIF(MO176:MO202,"X")</f>
        <v>0</v>
      </c>
      <c r="MP174" s="43">
        <f>COUNTIF(MP176:MP202,"X")</f>
        <v>0</v>
      </c>
      <c r="MQ174" s="43">
        <f>COUNTIF(MQ176:MQ202,"X")</f>
        <v>0</v>
      </c>
      <c r="MR174" s="43">
        <f>COUNTIF(MR176:MR202,"X")</f>
        <v>0</v>
      </c>
      <c r="MS174" s="43">
        <f>COUNTIF(MS176:MS202,"X")</f>
        <v>0</v>
      </c>
      <c r="MT174" s="43">
        <f>COUNTIF(MT176:MT202,"X")</f>
        <v>0</v>
      </c>
      <c r="MU174" s="43">
        <f>COUNTIF(MU176:MU202,"X")</f>
        <v>0</v>
      </c>
      <c r="MV174" s="43">
        <f>COUNTIF(MV176:MV202,"X")</f>
        <v>0</v>
      </c>
      <c r="MW174" s="43">
        <f>COUNTIF(MW176:MW202,"X")</f>
        <v>0</v>
      </c>
      <c r="MX174" s="43">
        <f>COUNTIF(MX176:MX202,"X")</f>
        <v>0</v>
      </c>
      <c r="MY174" s="43">
        <f>COUNTIF(MY176:MY202,"X")</f>
        <v>0</v>
      </c>
      <c r="MZ174" s="43">
        <f>COUNTIF(MZ176:MZ202,"X")</f>
        <v>0</v>
      </c>
      <c r="NA174" s="43">
        <f>COUNTIF(NA176:NA202,"X")</f>
        <v>0</v>
      </c>
      <c r="NB174" s="43">
        <f>COUNTIF(NB176:NB202,"X")</f>
        <v>0</v>
      </c>
      <c r="NC174" s="43">
        <f>COUNTIF(NC176:NC202,"X")</f>
        <v>0</v>
      </c>
      <c r="ND174" s="43">
        <f>COUNTIF(ND176:ND202,"X")</f>
        <v>0</v>
      </c>
      <c r="NE174" s="43">
        <f>COUNTIF(NE176:NE202,"X")</f>
        <v>0</v>
      </c>
      <c r="NF174" s="43">
        <f>COUNTIF(NF176:NF202,"X")</f>
        <v>0</v>
      </c>
      <c r="NG174" s="43">
        <f>COUNTIF(NG176:NG202,"X")</f>
        <v>0</v>
      </c>
      <c r="NH174" s="43">
        <f>COUNTIF(NH176:NH202,"X")</f>
        <v>0</v>
      </c>
      <c r="NI174" s="43">
        <f>COUNTIF(NI176:NI202,"X")</f>
        <v>0</v>
      </c>
      <c r="NJ174" s="43">
        <f>COUNTIF(NJ176:NJ202,"X")</f>
        <v>0</v>
      </c>
      <c r="NK174" s="43">
        <f>COUNTIF(NK176:NK202,"X")</f>
        <v>0</v>
      </c>
      <c r="NL174" s="43">
        <f>COUNTIF(NL176:NL202,"X")</f>
        <v>0</v>
      </c>
      <c r="NM174" s="43">
        <f>COUNTIF(NM176:NM202,"X")</f>
        <v>0</v>
      </c>
      <c r="NN174" s="43">
        <f>COUNTIF(NN176:NN202,"X")</f>
        <v>0</v>
      </c>
      <c r="NO174" s="43">
        <f>COUNTIF(NO176:NO202,"X")</f>
        <v>0</v>
      </c>
      <c r="NP174" s="43">
        <f>COUNTIF(NP176:NP202,"X")</f>
        <v>0</v>
      </c>
      <c r="NQ174" s="43">
        <f>COUNTIF(NQ176:NQ202,"X")</f>
        <v>0</v>
      </c>
      <c r="NR174" s="43">
        <f>COUNTIF(NR176:NR202,"X")</f>
        <v>0</v>
      </c>
      <c r="NS174" s="43">
        <f>COUNTIF(NS176:NS202,"X")</f>
        <v>0</v>
      </c>
      <c r="NT174" s="28">
        <f>SUM(F174:NS174)</f>
        <v>32</v>
      </c>
      <c r="NU174" s="118"/>
      <c r="NV174" s="44">
        <f>SUMIF(NW175:NW202,0,NV175:NV202)</f>
        <v>8</v>
      </c>
      <c r="NW174" s="44">
        <f>SUMIF(NW175:NW202,0,NV175:NV202)</f>
        <v>8</v>
      </c>
      <c r="NX174" s="28">
        <f>SUM(F174:AU174)</f>
        <v>31</v>
      </c>
      <c r="NY174" s="118"/>
      <c r="NZ174" s="44">
        <f>SUMIF(OA175:OA202,0,NZ175:NZ202)</f>
        <v>1</v>
      </c>
      <c r="OA174" s="44">
        <f>SUMIF(OA175:OA202,0,NZ175:NZ202)</f>
        <v>1</v>
      </c>
      <c r="OB174" s="28">
        <f>SUM(AV174:CK174)</f>
        <v>1</v>
      </c>
      <c r="OC174" s="118"/>
      <c r="OD174" s="44">
        <f>SUMIF(OE175:OE202,0,OD175:OD202)</f>
        <v>0</v>
      </c>
      <c r="OE174" s="44">
        <f>SUMIF(OE175:OE202,0,OD175:OD202)</f>
        <v>0</v>
      </c>
      <c r="OF174" s="28">
        <f>SUM(CL174:EA174)</f>
        <v>0</v>
      </c>
      <c r="OG174" s="99"/>
      <c r="OH174" s="44">
        <f>SUMIF(OI175:OI202,0,OH175:OH202)</f>
        <v>0</v>
      </c>
      <c r="OI174" s="44">
        <f>SUMIF(OI175:OI202,0,OH175:OH202)</f>
        <v>0</v>
      </c>
      <c r="OJ174" s="28">
        <f>SUM(EB174:FQ174)</f>
        <v>0</v>
      </c>
      <c r="OK174" s="99"/>
      <c r="OL174" s="44">
        <f>SUMIF(OM175:OM202,0,OL175:OL202)</f>
        <v>0</v>
      </c>
      <c r="OM174" s="44">
        <f>SUMIF(OM175:OM202,0,OL175:OL202)</f>
        <v>0</v>
      </c>
      <c r="ON174" s="28">
        <f>SUM(FR174:HG174)</f>
        <v>0</v>
      </c>
      <c r="OO174" s="99"/>
      <c r="OP174" s="44">
        <f>SUMIF(OQ175:OQ202,0,OP175:OP202)</f>
        <v>0</v>
      </c>
      <c r="OQ174" s="99"/>
      <c r="OR174" s="28">
        <f>SUM(HH174:IW174)</f>
        <v>0</v>
      </c>
      <c r="OS174" s="99"/>
      <c r="OT174" s="44">
        <f>SUMIF(OU175:OU202,0,OT175:OT202)</f>
        <v>0</v>
      </c>
      <c r="OU174" s="44">
        <f>SUMIF(OU175:OU202,0,OT175:OT202)</f>
        <v>0</v>
      </c>
      <c r="OV174" s="28">
        <f>SUM(IX174:KM174)</f>
        <v>0</v>
      </c>
      <c r="OW174" s="99"/>
      <c r="OX174" s="44">
        <f>SUMIF(OY175:OY202,0,OX175:OX202)</f>
        <v>0</v>
      </c>
      <c r="OY174" s="44">
        <f>SUMIF(OY175:OY202,0,OX175:OX202)</f>
        <v>0</v>
      </c>
      <c r="OZ174" s="28">
        <f>SUM(KN174:MC174)</f>
        <v>0</v>
      </c>
      <c r="PA174" s="99"/>
      <c r="PB174" s="44">
        <f>SUMIF(PC175:PC202,0,PB175:PB202)</f>
        <v>0</v>
      </c>
      <c r="PC174" s="44">
        <f>SUMIF(PC175:PC202,0,PB175:PB202)</f>
        <v>0</v>
      </c>
      <c r="PD174" s="28">
        <f>SUM(MD174:NS174)</f>
        <v>0</v>
      </c>
      <c r="PE174" s="99"/>
    </row>
    <row r="175" spans="1:421" ht="15.75" customHeight="1" outlineLevel="1" x14ac:dyDescent="0.25">
      <c r="C175" s="82" t="s">
        <v>60</v>
      </c>
      <c r="D175" s="71"/>
      <c r="E175" s="53" t="s">
        <v>8</v>
      </c>
      <c r="F175" s="33"/>
      <c r="G175" s="33"/>
      <c r="H175" s="33"/>
      <c r="I175" s="33">
        <v>1</v>
      </c>
      <c r="J175" s="33">
        <v>1</v>
      </c>
      <c r="K175" s="33">
        <v>1</v>
      </c>
      <c r="L175" s="33">
        <v>1</v>
      </c>
      <c r="M175" s="33">
        <v>1</v>
      </c>
      <c r="N175" s="33"/>
      <c r="O175" s="33"/>
      <c r="P175" s="69"/>
      <c r="Q175" s="33"/>
      <c r="R175" s="33"/>
      <c r="S175" s="33"/>
      <c r="T175" s="33"/>
      <c r="U175" s="33"/>
      <c r="V175" s="33"/>
      <c r="W175" s="69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  <c r="HI175" s="33"/>
      <c r="HJ175" s="33"/>
      <c r="HK175" s="33"/>
      <c r="HL175" s="33"/>
      <c r="HM175" s="33"/>
      <c r="HN175" s="33"/>
      <c r="HO175" s="33"/>
      <c r="HP175" s="33"/>
      <c r="HQ175" s="33"/>
      <c r="HR175" s="33"/>
      <c r="HS175" s="33"/>
      <c r="HT175" s="33"/>
      <c r="HU175" s="33"/>
      <c r="HV175" s="33"/>
      <c r="HW175" s="33"/>
      <c r="HX175" s="33"/>
      <c r="HY175" s="33"/>
      <c r="HZ175" s="33"/>
      <c r="IA175" s="33"/>
      <c r="IB175" s="33"/>
      <c r="IC175" s="33"/>
      <c r="ID175" s="33"/>
      <c r="IE175" s="33"/>
      <c r="IF175" s="33"/>
      <c r="IG175" s="33"/>
      <c r="IH175" s="33"/>
      <c r="II175" s="33"/>
      <c r="IJ175" s="33"/>
      <c r="IK175" s="33"/>
      <c r="IL175" s="33"/>
      <c r="IM175" s="33"/>
      <c r="IN175" s="33"/>
      <c r="IO175" s="33"/>
      <c r="IP175" s="33"/>
      <c r="IQ175" s="33"/>
      <c r="IR175" s="33"/>
      <c r="IS175" s="33"/>
      <c r="IT175" s="33"/>
      <c r="IU175" s="33"/>
      <c r="IV175" s="33"/>
      <c r="IW175" s="33"/>
      <c r="IX175" s="33"/>
      <c r="IY175" s="33"/>
      <c r="IZ175" s="33"/>
      <c r="JA175" s="33"/>
      <c r="JB175" s="33"/>
      <c r="JC175" s="33"/>
      <c r="JD175" s="33"/>
      <c r="JE175" s="33"/>
      <c r="JF175" s="33"/>
      <c r="JG175" s="33"/>
      <c r="JH175" s="33"/>
      <c r="JI175" s="33"/>
      <c r="JJ175" s="33"/>
      <c r="JK175" s="33"/>
      <c r="JL175" s="33"/>
      <c r="JM175" s="33"/>
      <c r="JN175" s="33"/>
      <c r="JO175" s="33"/>
      <c r="JP175" s="33"/>
      <c r="JQ175" s="33"/>
      <c r="JR175" s="33"/>
      <c r="JS175" s="33"/>
      <c r="JT175" s="33"/>
      <c r="JU175" s="33"/>
      <c r="JV175" s="33"/>
      <c r="JW175" s="33"/>
      <c r="JX175" s="33"/>
      <c r="JY175" s="33"/>
      <c r="JZ175" s="33"/>
      <c r="KA175" s="33"/>
      <c r="KB175" s="33"/>
      <c r="KC175" s="33"/>
      <c r="KD175" s="33"/>
      <c r="KE175" s="33"/>
      <c r="KF175" s="33"/>
      <c r="KG175" s="33"/>
      <c r="KH175" s="33"/>
      <c r="KI175" s="33"/>
      <c r="KJ175" s="33"/>
      <c r="KK175" s="33"/>
      <c r="KL175" s="33"/>
      <c r="KM175" s="33"/>
      <c r="KN175" s="33"/>
      <c r="KO175" s="33"/>
      <c r="KP175" s="33"/>
      <c r="KQ175" s="33"/>
      <c r="KR175" s="33"/>
      <c r="KS175" s="33"/>
      <c r="KT175" s="33"/>
      <c r="KU175" s="33"/>
      <c r="KV175" s="33"/>
      <c r="KW175" s="33"/>
      <c r="KX175" s="33"/>
      <c r="KY175" s="33"/>
      <c r="KZ175" s="33"/>
      <c r="LA175" s="33"/>
      <c r="LB175" s="33"/>
      <c r="LC175" s="33"/>
      <c r="LD175" s="33"/>
      <c r="LE175" s="33"/>
      <c r="LF175" s="33"/>
      <c r="LG175" s="33"/>
      <c r="LH175" s="33"/>
      <c r="LI175" s="33"/>
      <c r="LJ175" s="33"/>
      <c r="LK175" s="33"/>
      <c r="LL175" s="33"/>
      <c r="LM175" s="33"/>
      <c r="LN175" s="33"/>
      <c r="LO175" s="33"/>
      <c r="LP175" s="33"/>
      <c r="LQ175" s="33"/>
      <c r="LR175" s="33"/>
      <c r="LS175" s="33"/>
      <c r="LT175" s="33"/>
      <c r="LU175" s="33"/>
      <c r="LV175" s="33"/>
      <c r="LW175" s="33"/>
      <c r="LX175" s="33"/>
      <c r="LY175" s="33"/>
      <c r="LZ175" s="33"/>
      <c r="MA175" s="33"/>
      <c r="MB175" s="33"/>
      <c r="MC175" s="33"/>
      <c r="MD175" s="33"/>
      <c r="ME175" s="33"/>
      <c r="MF175" s="33"/>
      <c r="MG175" s="33"/>
      <c r="MH175" s="33"/>
      <c r="MI175" s="33"/>
      <c r="MJ175" s="33"/>
      <c r="MK175" s="33"/>
      <c r="ML175" s="33"/>
      <c r="MM175" s="33"/>
      <c r="MN175" s="33"/>
      <c r="MO175" s="33"/>
      <c r="MP175" s="33"/>
      <c r="MQ175" s="33"/>
      <c r="MR175" s="33"/>
      <c r="MS175" s="33"/>
      <c r="MT175" s="33"/>
      <c r="MU175" s="33"/>
      <c r="MV175" s="33"/>
      <c r="MW175" s="33"/>
      <c r="MX175" s="33"/>
      <c r="MY175" s="33"/>
      <c r="MZ175" s="33"/>
      <c r="NA175" s="33"/>
      <c r="NB175" s="33"/>
      <c r="NC175" s="33"/>
      <c r="ND175" s="33"/>
      <c r="NE175" s="33"/>
      <c r="NF175" s="33"/>
      <c r="NG175" s="33"/>
      <c r="NH175" s="33"/>
      <c r="NI175" s="33"/>
      <c r="NJ175" s="33"/>
      <c r="NK175" s="33"/>
      <c r="NL175" s="33"/>
      <c r="NM175" s="33"/>
      <c r="NN175" s="33"/>
      <c r="NO175" s="33"/>
      <c r="NP175" s="33"/>
      <c r="NQ175" s="33"/>
      <c r="NR175" s="33"/>
      <c r="NS175" s="33"/>
      <c r="NT175" s="31">
        <f>COUNTIF(F175:NS175,"1")</f>
        <v>5</v>
      </c>
      <c r="NU175" s="80">
        <f>NT176/NT175</f>
        <v>1</v>
      </c>
      <c r="NV175" s="29" t="str">
        <f>+IF(NX175&gt;=1,"1",0)</f>
        <v>1</v>
      </c>
      <c r="NW175" s="38">
        <f>MOD(ROW(NW175),2)</f>
        <v>1</v>
      </c>
      <c r="NX175" s="35">
        <f>COUNTIF(F175:AU175,"1")</f>
        <v>5</v>
      </c>
      <c r="NY175" s="80">
        <f>NX176/NX175</f>
        <v>1</v>
      </c>
      <c r="NZ175" s="29">
        <f>+IF(OB175&gt;=1,"1",0)</f>
        <v>0</v>
      </c>
      <c r="OA175" s="38">
        <f>MOD(ROW(OA175),2)</f>
        <v>1</v>
      </c>
      <c r="OB175" s="35">
        <f>COUNTIF(AV175:CK175,"1")</f>
        <v>0</v>
      </c>
      <c r="OC175" s="80" t="e">
        <f>OB176/OB175</f>
        <v>#DIV/0!</v>
      </c>
      <c r="OD175" s="29">
        <f>+IF(OF175&gt;=1,"1",0)</f>
        <v>0</v>
      </c>
      <c r="OE175" s="38">
        <f>MOD(ROW(OE175),2)</f>
        <v>1</v>
      </c>
      <c r="OF175" s="35">
        <f>COUNTIF(CL175:EA175,"1")</f>
        <v>0</v>
      </c>
      <c r="OG175" s="80" t="e">
        <f>OF176/OF175</f>
        <v>#DIV/0!</v>
      </c>
      <c r="OH175" s="29">
        <f>+IF(OJ175&gt;=1,"1",0)</f>
        <v>0</v>
      </c>
      <c r="OI175" s="38">
        <f>MOD(ROW(OI175),2)</f>
        <v>1</v>
      </c>
      <c r="OJ175" s="35">
        <f>COUNTIF(EB175:FQ175,"1")</f>
        <v>0</v>
      </c>
      <c r="OK175" s="79" t="e">
        <f>OJ176/OJ175</f>
        <v>#DIV/0!</v>
      </c>
      <c r="OL175" s="29">
        <f>+IF(ON175&gt;=1,"1",0)</f>
        <v>0</v>
      </c>
      <c r="OM175" s="38">
        <f>MOD(ROW(OM175),2)</f>
        <v>1</v>
      </c>
      <c r="ON175" s="35">
        <f>COUNTIF(FR175:HG175,"1")</f>
        <v>0</v>
      </c>
      <c r="OO175" s="79" t="e">
        <f>ON176/ON175</f>
        <v>#DIV/0!</v>
      </c>
      <c r="OP175" s="29">
        <f>+IF(OR175&gt;=1,"1",0)</f>
        <v>0</v>
      </c>
      <c r="OQ175" s="38">
        <f>MOD(ROW(OQ175),2)</f>
        <v>1</v>
      </c>
      <c r="OR175" s="35">
        <f>COUNTIF(HH175:IW175,"1")</f>
        <v>0</v>
      </c>
      <c r="OS175" s="79" t="e">
        <f>OR176/OR175</f>
        <v>#DIV/0!</v>
      </c>
      <c r="OT175" s="29">
        <f>+IF(OV175&gt;=1,"1",0)</f>
        <v>0</v>
      </c>
      <c r="OU175" s="38">
        <f>MOD(ROW(OU175),2)</f>
        <v>1</v>
      </c>
      <c r="OV175" s="35">
        <f>COUNTIF(IX175:KM175,"1")</f>
        <v>0</v>
      </c>
      <c r="OW175" s="79" t="e">
        <f>OV176/OV175</f>
        <v>#DIV/0!</v>
      </c>
      <c r="OX175" s="29">
        <f>+IF(OZ175&gt;=1,"1",0)</f>
        <v>0</v>
      </c>
      <c r="OY175" s="38">
        <f>MOD(ROW(OY175),2)</f>
        <v>1</v>
      </c>
      <c r="OZ175" s="35">
        <f>COUNTIF(KN175:MC175,"1")</f>
        <v>0</v>
      </c>
      <c r="PA175" s="79" t="e">
        <f>OZ176/OZ175</f>
        <v>#DIV/0!</v>
      </c>
      <c r="PB175" s="29">
        <f>+IF(PD175&gt;=1,"1",0)</f>
        <v>0</v>
      </c>
      <c r="PC175" s="38">
        <f>MOD(ROW(PC175),2)</f>
        <v>1</v>
      </c>
      <c r="PD175" s="35">
        <f>COUNTIF(MD175:NS175,"1")</f>
        <v>0</v>
      </c>
      <c r="PE175" s="79" t="e">
        <f>PD176/PD175</f>
        <v>#DIV/0!</v>
      </c>
    </row>
    <row r="176" spans="1:421" ht="15.75" customHeight="1" outlineLevel="1" thickBot="1" x14ac:dyDescent="0.3">
      <c r="C176" s="83"/>
      <c r="D176" s="72"/>
      <c r="E176" s="54" t="s">
        <v>9</v>
      </c>
      <c r="F176" s="34"/>
      <c r="G176" s="34"/>
      <c r="H176" s="34"/>
      <c r="I176" s="34" t="s">
        <v>75</v>
      </c>
      <c r="J176" s="34" t="s">
        <v>75</v>
      </c>
      <c r="K176" s="34" t="s">
        <v>75</v>
      </c>
      <c r="L176" s="34" t="s">
        <v>75</v>
      </c>
      <c r="M176" s="34" t="s">
        <v>75</v>
      </c>
      <c r="N176" s="34"/>
      <c r="O176" s="34"/>
      <c r="P176" s="70"/>
      <c r="Q176" s="34"/>
      <c r="R176" s="34"/>
      <c r="S176" s="34"/>
      <c r="T176" s="34"/>
      <c r="U176" s="34"/>
      <c r="V176" s="34"/>
      <c r="W176" s="70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  <c r="HB176" s="34"/>
      <c r="HC176" s="34"/>
      <c r="HD176" s="34"/>
      <c r="HE176" s="34"/>
      <c r="HF176" s="34"/>
      <c r="HG176" s="34"/>
      <c r="HH176" s="34"/>
      <c r="HI176" s="34"/>
      <c r="HJ176" s="34"/>
      <c r="HK176" s="34"/>
      <c r="HL176" s="34"/>
      <c r="HM176" s="34"/>
      <c r="HN176" s="34"/>
      <c r="HO176" s="34"/>
      <c r="HP176" s="34"/>
      <c r="HQ176" s="34"/>
      <c r="HR176" s="34"/>
      <c r="HS176" s="34"/>
      <c r="HT176" s="34"/>
      <c r="HU176" s="34"/>
      <c r="HV176" s="34"/>
      <c r="HW176" s="34"/>
      <c r="HX176" s="34"/>
      <c r="HY176" s="34"/>
      <c r="HZ176" s="34"/>
      <c r="IA176" s="34"/>
      <c r="IB176" s="34"/>
      <c r="IC176" s="34"/>
      <c r="ID176" s="34"/>
      <c r="IE176" s="34"/>
      <c r="IF176" s="34"/>
      <c r="IG176" s="34"/>
      <c r="IH176" s="34"/>
      <c r="II176" s="34"/>
      <c r="IJ176" s="34"/>
      <c r="IK176" s="34"/>
      <c r="IL176" s="34"/>
      <c r="IM176" s="34"/>
      <c r="IN176" s="34"/>
      <c r="IO176" s="34"/>
      <c r="IP176" s="34"/>
      <c r="IQ176" s="34"/>
      <c r="IR176" s="34"/>
      <c r="IS176" s="34"/>
      <c r="IT176" s="34"/>
      <c r="IU176" s="34"/>
      <c r="IV176" s="34"/>
      <c r="IW176" s="34"/>
      <c r="IX176" s="34"/>
      <c r="IY176" s="34"/>
      <c r="IZ176" s="34"/>
      <c r="JA176" s="34"/>
      <c r="JB176" s="34"/>
      <c r="JC176" s="34"/>
      <c r="JD176" s="34"/>
      <c r="JE176" s="34"/>
      <c r="JF176" s="34"/>
      <c r="JG176" s="34"/>
      <c r="JH176" s="34"/>
      <c r="JI176" s="34"/>
      <c r="JJ176" s="34"/>
      <c r="JK176" s="34"/>
      <c r="JL176" s="34"/>
      <c r="JM176" s="34"/>
      <c r="JN176" s="34"/>
      <c r="JO176" s="34"/>
      <c r="JP176" s="34"/>
      <c r="JQ176" s="34"/>
      <c r="JR176" s="34"/>
      <c r="JS176" s="34"/>
      <c r="JT176" s="34"/>
      <c r="JU176" s="34"/>
      <c r="JV176" s="34"/>
      <c r="JW176" s="34"/>
      <c r="JX176" s="34"/>
      <c r="JY176" s="34"/>
      <c r="JZ176" s="34"/>
      <c r="KA176" s="34"/>
      <c r="KB176" s="34"/>
      <c r="KC176" s="34"/>
      <c r="KD176" s="34"/>
      <c r="KE176" s="34"/>
      <c r="KF176" s="34"/>
      <c r="KG176" s="34"/>
      <c r="KH176" s="34"/>
      <c r="KI176" s="34"/>
      <c r="KJ176" s="34"/>
      <c r="KK176" s="34"/>
      <c r="KL176" s="34"/>
      <c r="KM176" s="34"/>
      <c r="KN176" s="34"/>
      <c r="KO176" s="34"/>
      <c r="KP176" s="34"/>
      <c r="KQ176" s="34"/>
      <c r="KR176" s="34"/>
      <c r="KS176" s="34"/>
      <c r="KT176" s="34"/>
      <c r="KU176" s="34"/>
      <c r="KV176" s="34"/>
      <c r="KW176" s="34"/>
      <c r="KX176" s="34"/>
      <c r="KY176" s="34"/>
      <c r="KZ176" s="34"/>
      <c r="LA176" s="34"/>
      <c r="LB176" s="34"/>
      <c r="LC176" s="34"/>
      <c r="LD176" s="34"/>
      <c r="LE176" s="34"/>
      <c r="LF176" s="34"/>
      <c r="LG176" s="34"/>
      <c r="LH176" s="34"/>
      <c r="LI176" s="34"/>
      <c r="LJ176" s="34"/>
      <c r="LK176" s="34"/>
      <c r="LL176" s="34"/>
      <c r="LM176" s="34"/>
      <c r="LN176" s="34"/>
      <c r="LO176" s="34"/>
      <c r="LP176" s="34"/>
      <c r="LQ176" s="34"/>
      <c r="LR176" s="34"/>
      <c r="LS176" s="34"/>
      <c r="LT176" s="34"/>
      <c r="LU176" s="34"/>
      <c r="LV176" s="34"/>
      <c r="LW176" s="34"/>
      <c r="LX176" s="34"/>
      <c r="LY176" s="34"/>
      <c r="LZ176" s="34"/>
      <c r="MA176" s="34"/>
      <c r="MB176" s="34"/>
      <c r="MC176" s="34"/>
      <c r="MD176" s="34"/>
      <c r="ME176" s="34"/>
      <c r="MF176" s="34"/>
      <c r="MG176" s="34"/>
      <c r="MH176" s="34"/>
      <c r="MI176" s="34"/>
      <c r="MJ176" s="34"/>
      <c r="MK176" s="34"/>
      <c r="ML176" s="34"/>
      <c r="MM176" s="34"/>
      <c r="MN176" s="34"/>
      <c r="MO176" s="34"/>
      <c r="MP176" s="34"/>
      <c r="MQ176" s="34"/>
      <c r="MR176" s="34"/>
      <c r="MS176" s="34"/>
      <c r="MT176" s="34"/>
      <c r="MU176" s="34"/>
      <c r="MV176" s="34"/>
      <c r="MW176" s="34"/>
      <c r="MX176" s="34"/>
      <c r="MY176" s="34"/>
      <c r="MZ176" s="34"/>
      <c r="NA176" s="34"/>
      <c r="NB176" s="34"/>
      <c r="NC176" s="34"/>
      <c r="ND176" s="34"/>
      <c r="NE176" s="34"/>
      <c r="NF176" s="34"/>
      <c r="NG176" s="34"/>
      <c r="NH176" s="34"/>
      <c r="NI176" s="34"/>
      <c r="NJ176" s="34"/>
      <c r="NK176" s="34"/>
      <c r="NL176" s="34"/>
      <c r="NM176" s="34"/>
      <c r="NN176" s="34"/>
      <c r="NO176" s="34"/>
      <c r="NP176" s="34"/>
      <c r="NQ176" s="34"/>
      <c r="NR176" s="34"/>
      <c r="NS176" s="34"/>
      <c r="NT176" s="7">
        <f>COUNTIF(F176:NS176,"x")</f>
        <v>5</v>
      </c>
      <c r="NU176" s="81"/>
      <c r="NV176" s="32">
        <f>IF(NX176=0,"0",NX176/NX175)</f>
        <v>1</v>
      </c>
      <c r="NW176" s="37">
        <f>MOD(ROW(NW176),2)</f>
        <v>0</v>
      </c>
      <c r="NX176" s="36">
        <f>COUNTIF(F176:AU176,"x")</f>
        <v>5</v>
      </c>
      <c r="NY176" s="81"/>
      <c r="NZ176" s="32" t="str">
        <f>IF(OB176=0,"0",OB176/OB175)</f>
        <v>0</v>
      </c>
      <c r="OA176" s="37">
        <f>MOD(ROW(OA176),2)</f>
        <v>0</v>
      </c>
      <c r="OB176" s="36">
        <f>COUNTIF(AV176:CK176,"x")</f>
        <v>0</v>
      </c>
      <c r="OC176" s="81"/>
      <c r="OD176" s="32" t="str">
        <f>IF(OF176=0,"0",OF176/OF175)</f>
        <v>0</v>
      </c>
      <c r="OE176" s="37">
        <f>MOD(ROW(OE176),2)</f>
        <v>0</v>
      </c>
      <c r="OF176" s="36">
        <f>COUNTIF(CL176:EA176,"x")</f>
        <v>0</v>
      </c>
      <c r="OG176" s="81"/>
      <c r="OH176" s="32" t="str">
        <f>IF(OJ176=0,"0",OJ176/OJ175)</f>
        <v>0</v>
      </c>
      <c r="OI176" s="37">
        <f>MOD(ROW(OI176),2)</f>
        <v>0</v>
      </c>
      <c r="OJ176" s="36">
        <f>COUNTIF(EB176:FQ176,"x")</f>
        <v>0</v>
      </c>
      <c r="OK176" s="74"/>
      <c r="OL176" s="32" t="str">
        <f>IF(ON176=0,"0",ON176/ON175)</f>
        <v>0</v>
      </c>
      <c r="OM176" s="37">
        <f>MOD(ROW(OM176),2)</f>
        <v>0</v>
      </c>
      <c r="ON176" s="36">
        <f>COUNTIF(FR176:HG176,"x")</f>
        <v>0</v>
      </c>
      <c r="OO176" s="74"/>
      <c r="OP176" s="32" t="str">
        <f>IF(OR176=0,"0",OR176/OR175)</f>
        <v>0</v>
      </c>
      <c r="OQ176" s="37">
        <f>MOD(ROW(OQ176),2)</f>
        <v>0</v>
      </c>
      <c r="OR176" s="36">
        <f>COUNTIF(HH176:IW176,"x")</f>
        <v>0</v>
      </c>
      <c r="OS176" s="74"/>
      <c r="OT176" s="32" t="str">
        <f>IF(OV176=0,"0",OV176/OV175)</f>
        <v>0</v>
      </c>
      <c r="OU176" s="37">
        <f>MOD(ROW(OU176),2)</f>
        <v>0</v>
      </c>
      <c r="OV176" s="36">
        <f>COUNTIF(IX176:KM176,"x")</f>
        <v>0</v>
      </c>
      <c r="OW176" s="74"/>
      <c r="OX176" s="32" t="str">
        <f>IF(OZ176=0,"0",OZ176/OZ175)</f>
        <v>0</v>
      </c>
      <c r="OY176" s="37">
        <f>MOD(ROW(OY176),2)</f>
        <v>0</v>
      </c>
      <c r="OZ176" s="36">
        <f>COUNTIF(KN176:MC176,"x")</f>
        <v>0</v>
      </c>
      <c r="PA176" s="74"/>
      <c r="PB176" s="32" t="str">
        <f>IF(PD176=0,"0",PD176/PD175)</f>
        <v>0</v>
      </c>
      <c r="PC176" s="37">
        <f>MOD(ROW(PC176),2)</f>
        <v>0</v>
      </c>
      <c r="PD176" s="36">
        <f>COUNTIF(MD176:NS176,"x")</f>
        <v>0</v>
      </c>
      <c r="PE176" s="74"/>
    </row>
    <row r="177" spans="3:421" ht="15.75" customHeight="1" outlineLevel="1" x14ac:dyDescent="0.25">
      <c r="C177" s="82" t="s">
        <v>62</v>
      </c>
      <c r="D177" s="71"/>
      <c r="E177" s="53" t="s">
        <v>8</v>
      </c>
      <c r="F177" s="33"/>
      <c r="G177" s="33"/>
      <c r="H177" s="33"/>
      <c r="I177" s="33">
        <v>1</v>
      </c>
      <c r="J177" s="33">
        <v>1</v>
      </c>
      <c r="K177" s="33">
        <v>1</v>
      </c>
      <c r="L177" s="33">
        <v>1</v>
      </c>
      <c r="M177" s="33">
        <v>1</v>
      </c>
      <c r="N177" s="33"/>
      <c r="O177" s="33"/>
      <c r="P177" s="69"/>
      <c r="Q177" s="33">
        <v>1</v>
      </c>
      <c r="R177" s="33">
        <v>1</v>
      </c>
      <c r="S177" s="33">
        <v>1</v>
      </c>
      <c r="T177" s="33">
        <v>1</v>
      </c>
      <c r="U177" s="33"/>
      <c r="V177" s="33"/>
      <c r="W177" s="69"/>
      <c r="X177" s="33">
        <v>1</v>
      </c>
      <c r="Y177" s="33">
        <v>1</v>
      </c>
      <c r="Z177" s="33">
        <v>1</v>
      </c>
      <c r="AA177" s="33">
        <v>1</v>
      </c>
      <c r="AB177" s="33"/>
      <c r="AC177" s="33"/>
      <c r="AD177" s="33">
        <v>1</v>
      </c>
      <c r="AE177" s="33">
        <v>1</v>
      </c>
      <c r="AF177" s="33">
        <v>1</v>
      </c>
      <c r="AG177" s="33">
        <v>1</v>
      </c>
      <c r="AH177" s="33">
        <v>1</v>
      </c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  <c r="HI177" s="33"/>
      <c r="HJ177" s="33"/>
      <c r="HK177" s="33"/>
      <c r="HL177" s="33"/>
      <c r="HM177" s="33"/>
      <c r="HN177" s="33"/>
      <c r="HO177" s="33"/>
      <c r="HP177" s="33"/>
      <c r="HQ177" s="33"/>
      <c r="HR177" s="33"/>
      <c r="HS177" s="33"/>
      <c r="HT177" s="33"/>
      <c r="HU177" s="33"/>
      <c r="HV177" s="33"/>
      <c r="HW177" s="33"/>
      <c r="HX177" s="33"/>
      <c r="HY177" s="33"/>
      <c r="HZ177" s="33"/>
      <c r="IA177" s="33"/>
      <c r="IB177" s="33"/>
      <c r="IC177" s="33"/>
      <c r="ID177" s="33"/>
      <c r="IE177" s="33"/>
      <c r="IF177" s="33"/>
      <c r="IG177" s="33"/>
      <c r="IH177" s="33"/>
      <c r="II177" s="33"/>
      <c r="IJ177" s="33"/>
      <c r="IK177" s="33"/>
      <c r="IL177" s="33"/>
      <c r="IM177" s="33"/>
      <c r="IN177" s="33"/>
      <c r="IO177" s="33"/>
      <c r="IP177" s="33"/>
      <c r="IQ177" s="33"/>
      <c r="IR177" s="33"/>
      <c r="IS177" s="33"/>
      <c r="IT177" s="33"/>
      <c r="IU177" s="33"/>
      <c r="IV177" s="33"/>
      <c r="IW177" s="33"/>
      <c r="IX177" s="33"/>
      <c r="IY177" s="33"/>
      <c r="IZ177" s="33"/>
      <c r="JA177" s="33"/>
      <c r="JB177" s="33"/>
      <c r="JC177" s="33"/>
      <c r="JD177" s="33"/>
      <c r="JE177" s="33"/>
      <c r="JF177" s="33"/>
      <c r="JG177" s="33"/>
      <c r="JH177" s="33"/>
      <c r="JI177" s="33"/>
      <c r="JJ177" s="33"/>
      <c r="JK177" s="33"/>
      <c r="JL177" s="33"/>
      <c r="JM177" s="33"/>
      <c r="JN177" s="33"/>
      <c r="JO177" s="33"/>
      <c r="JP177" s="33"/>
      <c r="JQ177" s="33"/>
      <c r="JR177" s="33"/>
      <c r="JS177" s="33"/>
      <c r="JT177" s="33"/>
      <c r="JU177" s="33"/>
      <c r="JV177" s="33"/>
      <c r="JW177" s="33"/>
      <c r="JX177" s="33"/>
      <c r="JY177" s="33"/>
      <c r="JZ177" s="33"/>
      <c r="KA177" s="33"/>
      <c r="KB177" s="33"/>
      <c r="KC177" s="33"/>
      <c r="KD177" s="33"/>
      <c r="KE177" s="33"/>
      <c r="KF177" s="33"/>
      <c r="KG177" s="33"/>
      <c r="KH177" s="33"/>
      <c r="KI177" s="33"/>
      <c r="KJ177" s="33"/>
      <c r="KK177" s="33"/>
      <c r="KL177" s="33"/>
      <c r="KM177" s="33"/>
      <c r="KN177" s="33"/>
      <c r="KO177" s="33"/>
      <c r="KP177" s="33"/>
      <c r="KQ177" s="33"/>
      <c r="KR177" s="33"/>
      <c r="KS177" s="33"/>
      <c r="KT177" s="33"/>
      <c r="KU177" s="33"/>
      <c r="KV177" s="33"/>
      <c r="KW177" s="33"/>
      <c r="KX177" s="33"/>
      <c r="KY177" s="33"/>
      <c r="KZ177" s="33"/>
      <c r="LA177" s="33"/>
      <c r="LB177" s="33"/>
      <c r="LC177" s="33"/>
      <c r="LD177" s="33"/>
      <c r="LE177" s="33"/>
      <c r="LF177" s="33"/>
      <c r="LG177" s="33"/>
      <c r="LH177" s="33"/>
      <c r="LI177" s="33"/>
      <c r="LJ177" s="33"/>
      <c r="LK177" s="33"/>
      <c r="LL177" s="33"/>
      <c r="LM177" s="33"/>
      <c r="LN177" s="33"/>
      <c r="LO177" s="33"/>
      <c r="LP177" s="33"/>
      <c r="LQ177" s="33"/>
      <c r="LR177" s="33"/>
      <c r="LS177" s="33"/>
      <c r="LT177" s="33"/>
      <c r="LU177" s="33"/>
      <c r="LV177" s="33"/>
      <c r="LW177" s="33"/>
      <c r="LX177" s="33"/>
      <c r="LY177" s="33"/>
      <c r="LZ177" s="33"/>
      <c r="MA177" s="33"/>
      <c r="MB177" s="33"/>
      <c r="MC177" s="33"/>
      <c r="MD177" s="33"/>
      <c r="ME177" s="33"/>
      <c r="MF177" s="33"/>
      <c r="MG177" s="33"/>
      <c r="MH177" s="33"/>
      <c r="MI177" s="33"/>
      <c r="MJ177" s="33"/>
      <c r="MK177" s="33"/>
      <c r="ML177" s="33"/>
      <c r="MM177" s="33"/>
      <c r="MN177" s="33"/>
      <c r="MO177" s="33"/>
      <c r="MP177" s="33"/>
      <c r="MQ177" s="33"/>
      <c r="MR177" s="33"/>
      <c r="MS177" s="33"/>
      <c r="MT177" s="33"/>
      <c r="MU177" s="33"/>
      <c r="MV177" s="33"/>
      <c r="MW177" s="33"/>
      <c r="MX177" s="33"/>
      <c r="MY177" s="33"/>
      <c r="MZ177" s="33"/>
      <c r="NA177" s="33"/>
      <c r="NB177" s="33"/>
      <c r="NC177" s="33"/>
      <c r="ND177" s="33"/>
      <c r="NE177" s="33"/>
      <c r="NF177" s="33"/>
      <c r="NG177" s="33"/>
      <c r="NH177" s="33"/>
      <c r="NI177" s="33"/>
      <c r="NJ177" s="33"/>
      <c r="NK177" s="33"/>
      <c r="NL177" s="33"/>
      <c r="NM177" s="33"/>
      <c r="NN177" s="33"/>
      <c r="NO177" s="33"/>
      <c r="NP177" s="33"/>
      <c r="NQ177" s="33"/>
      <c r="NR177" s="33"/>
      <c r="NS177" s="33"/>
      <c r="NT177" s="31">
        <f>COUNTIF(F177:NS177,"1")</f>
        <v>18</v>
      </c>
      <c r="NU177" s="80">
        <f>NT178/NT177</f>
        <v>1</v>
      </c>
      <c r="NV177" s="29" t="str">
        <f>+IF(NX177&gt;=1,"1",0)</f>
        <v>1</v>
      </c>
      <c r="NW177" s="38">
        <f t="shared" ref="NW177:NW202" si="338">MOD(ROW(NW177),2)</f>
        <v>1</v>
      </c>
      <c r="NX177" s="35">
        <f>COUNTIF(F177:AU177,"1")</f>
        <v>18</v>
      </c>
      <c r="NY177" s="80">
        <f t="shared" ref="NY177" si="339">NX178/NX177</f>
        <v>1</v>
      </c>
      <c r="NZ177" s="29">
        <f>+IF(OB177&gt;=1,"1",0)</f>
        <v>0</v>
      </c>
      <c r="OA177" s="38">
        <f t="shared" ref="OA177:OA202" si="340">MOD(ROW(OA177),2)</f>
        <v>1</v>
      </c>
      <c r="OB177" s="35">
        <f>COUNTIF(AV177:CK177,"1")</f>
        <v>0</v>
      </c>
      <c r="OC177" s="80" t="e">
        <f>OB178/OB177</f>
        <v>#DIV/0!</v>
      </c>
      <c r="OD177" s="29">
        <f>+IF(OF177&gt;=1,"1",0)</f>
        <v>0</v>
      </c>
      <c r="OE177" s="38">
        <f t="shared" ref="OE177:OE202" si="341">MOD(ROW(OE177),2)</f>
        <v>1</v>
      </c>
      <c r="OF177" s="35">
        <f>COUNTIF(CL177:EA177,"1")</f>
        <v>0</v>
      </c>
      <c r="OG177" s="80" t="e">
        <f>OF178/OF177</f>
        <v>#DIV/0!</v>
      </c>
      <c r="OH177" s="29">
        <f>+IF(OJ177&gt;=1,"1",0)</f>
        <v>0</v>
      </c>
      <c r="OI177" s="38">
        <f t="shared" ref="OI177:OI202" si="342">MOD(ROW(OI177),2)</f>
        <v>1</v>
      </c>
      <c r="OJ177" s="35">
        <f>COUNTIF(EB177:FQ177,"1")</f>
        <v>0</v>
      </c>
      <c r="OK177" s="79" t="e">
        <f>OJ178/OJ177</f>
        <v>#DIV/0!</v>
      </c>
      <c r="OL177" s="29">
        <f>+IF(ON177&gt;=1,"1",0)</f>
        <v>0</v>
      </c>
      <c r="OM177" s="38">
        <f t="shared" ref="OM177:OM202" si="343">MOD(ROW(OM177),2)</f>
        <v>1</v>
      </c>
      <c r="ON177" s="35">
        <f>COUNTIF(FR177:HG177,"1")</f>
        <v>0</v>
      </c>
      <c r="OO177" s="79" t="e">
        <f>ON178/ON177</f>
        <v>#DIV/0!</v>
      </c>
      <c r="OP177" s="29">
        <f>+IF(OR177&gt;=1,"1",0)</f>
        <v>0</v>
      </c>
      <c r="OQ177" s="38">
        <f t="shared" ref="OQ177:OQ202" si="344">MOD(ROW(OQ177),2)</f>
        <v>1</v>
      </c>
      <c r="OR177" s="35">
        <f>COUNTIF(HH177:IW177,"1")</f>
        <v>0</v>
      </c>
      <c r="OS177" s="79" t="e">
        <f>OR178/OR177</f>
        <v>#DIV/0!</v>
      </c>
      <c r="OT177" s="29">
        <f>+IF(OV177&gt;=1,"1",0)</f>
        <v>0</v>
      </c>
      <c r="OU177" s="38">
        <f t="shared" ref="OU177:OU202" si="345">MOD(ROW(OU177),2)</f>
        <v>1</v>
      </c>
      <c r="OV177" s="35">
        <f>COUNTIF(IX177:KM177,"1")</f>
        <v>0</v>
      </c>
      <c r="OW177" s="79" t="e">
        <f>OV178/OV177</f>
        <v>#DIV/0!</v>
      </c>
      <c r="OX177" s="29">
        <f>+IF(OZ177&gt;=1,"1",0)</f>
        <v>0</v>
      </c>
      <c r="OY177" s="38">
        <f t="shared" ref="OY177:OY202" si="346">MOD(ROW(OY177),2)</f>
        <v>1</v>
      </c>
      <c r="OZ177" s="35">
        <f>COUNTIF(KN177:MC177,"1")</f>
        <v>0</v>
      </c>
      <c r="PA177" s="79" t="e">
        <f>OZ178/OZ177</f>
        <v>#DIV/0!</v>
      </c>
      <c r="PB177" s="29">
        <f>+IF(PD177&gt;=1,"1",0)</f>
        <v>0</v>
      </c>
      <c r="PC177" s="38">
        <f t="shared" ref="PC177:PC202" si="347">MOD(ROW(PC177),2)</f>
        <v>1</v>
      </c>
      <c r="PD177" s="35">
        <f>COUNTIF(MD177:NS177,"1")</f>
        <v>0</v>
      </c>
      <c r="PE177" s="79" t="e">
        <f>PD178/PD177</f>
        <v>#DIV/0!</v>
      </c>
    </row>
    <row r="178" spans="3:421" ht="15.75" customHeight="1" outlineLevel="1" thickBot="1" x14ac:dyDescent="0.3">
      <c r="C178" s="83"/>
      <c r="D178" s="72"/>
      <c r="E178" s="54" t="s">
        <v>9</v>
      </c>
      <c r="F178" s="34"/>
      <c r="G178" s="34"/>
      <c r="H178" s="34"/>
      <c r="I178" s="34" t="s">
        <v>75</v>
      </c>
      <c r="J178" s="34" t="s">
        <v>75</v>
      </c>
      <c r="K178" s="34" t="s">
        <v>75</v>
      </c>
      <c r="L178" s="34" t="s">
        <v>75</v>
      </c>
      <c r="M178" s="34" t="s">
        <v>75</v>
      </c>
      <c r="N178" s="34"/>
      <c r="O178" s="34"/>
      <c r="P178" s="70"/>
      <c r="Q178" s="34" t="s">
        <v>75</v>
      </c>
      <c r="R178" s="34" t="s">
        <v>75</v>
      </c>
      <c r="S178" s="34" t="s">
        <v>75</v>
      </c>
      <c r="T178" s="34" t="s">
        <v>75</v>
      </c>
      <c r="U178" s="34"/>
      <c r="V178" s="34"/>
      <c r="W178" s="70"/>
      <c r="X178" s="34" t="s">
        <v>75</v>
      </c>
      <c r="Y178" s="34" t="s">
        <v>75</v>
      </c>
      <c r="Z178" s="34" t="s">
        <v>75</v>
      </c>
      <c r="AA178" s="34" t="s">
        <v>75</v>
      </c>
      <c r="AB178" s="34"/>
      <c r="AC178" s="34"/>
      <c r="AD178" s="34" t="s">
        <v>75</v>
      </c>
      <c r="AE178" s="34" t="s">
        <v>75</v>
      </c>
      <c r="AF178" s="34" t="s">
        <v>75</v>
      </c>
      <c r="AG178" s="34" t="s">
        <v>75</v>
      </c>
      <c r="AH178" s="34" t="s">
        <v>75</v>
      </c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  <c r="FS178" s="34"/>
      <c r="FT178" s="34"/>
      <c r="FU178" s="34"/>
      <c r="FV178" s="34"/>
      <c r="FW178" s="34"/>
      <c r="FX178" s="34"/>
      <c r="FY178" s="34"/>
      <c r="FZ178" s="34"/>
      <c r="GA178" s="34"/>
      <c r="GB178" s="34"/>
      <c r="GC178" s="34"/>
      <c r="GD178" s="34"/>
      <c r="GE178" s="34"/>
      <c r="GF178" s="34"/>
      <c r="GG178" s="34"/>
      <c r="GH178" s="34"/>
      <c r="GI178" s="34"/>
      <c r="GJ178" s="34"/>
      <c r="GK178" s="34"/>
      <c r="GL178" s="34"/>
      <c r="GM178" s="34"/>
      <c r="GN178" s="34"/>
      <c r="GO178" s="34"/>
      <c r="GP178" s="34"/>
      <c r="GQ178" s="34"/>
      <c r="GR178" s="34"/>
      <c r="GS178" s="34"/>
      <c r="GT178" s="34"/>
      <c r="GU178" s="34"/>
      <c r="GV178" s="34"/>
      <c r="GW178" s="34"/>
      <c r="GX178" s="34"/>
      <c r="GY178" s="34"/>
      <c r="GZ178" s="34"/>
      <c r="HA178" s="34"/>
      <c r="HB178" s="34"/>
      <c r="HC178" s="34"/>
      <c r="HD178" s="34"/>
      <c r="HE178" s="34"/>
      <c r="HF178" s="34"/>
      <c r="HG178" s="34"/>
      <c r="HH178" s="34"/>
      <c r="HI178" s="34"/>
      <c r="HJ178" s="34"/>
      <c r="HK178" s="34"/>
      <c r="HL178" s="34"/>
      <c r="HM178" s="34"/>
      <c r="HN178" s="34"/>
      <c r="HO178" s="34"/>
      <c r="HP178" s="34"/>
      <c r="HQ178" s="34"/>
      <c r="HR178" s="34"/>
      <c r="HS178" s="34"/>
      <c r="HT178" s="34"/>
      <c r="HU178" s="34"/>
      <c r="HV178" s="34"/>
      <c r="HW178" s="34"/>
      <c r="HX178" s="34"/>
      <c r="HY178" s="34"/>
      <c r="HZ178" s="34"/>
      <c r="IA178" s="34"/>
      <c r="IB178" s="34"/>
      <c r="IC178" s="34"/>
      <c r="ID178" s="34"/>
      <c r="IE178" s="34"/>
      <c r="IF178" s="34"/>
      <c r="IG178" s="34"/>
      <c r="IH178" s="34"/>
      <c r="II178" s="34"/>
      <c r="IJ178" s="34"/>
      <c r="IK178" s="34"/>
      <c r="IL178" s="34"/>
      <c r="IM178" s="34"/>
      <c r="IN178" s="34"/>
      <c r="IO178" s="34"/>
      <c r="IP178" s="34"/>
      <c r="IQ178" s="34"/>
      <c r="IR178" s="34"/>
      <c r="IS178" s="34"/>
      <c r="IT178" s="34"/>
      <c r="IU178" s="34"/>
      <c r="IV178" s="34"/>
      <c r="IW178" s="34"/>
      <c r="IX178" s="34"/>
      <c r="IY178" s="34"/>
      <c r="IZ178" s="34"/>
      <c r="JA178" s="34"/>
      <c r="JB178" s="34"/>
      <c r="JC178" s="34"/>
      <c r="JD178" s="34"/>
      <c r="JE178" s="34"/>
      <c r="JF178" s="34"/>
      <c r="JG178" s="34"/>
      <c r="JH178" s="34"/>
      <c r="JI178" s="34"/>
      <c r="JJ178" s="34"/>
      <c r="JK178" s="34"/>
      <c r="JL178" s="34"/>
      <c r="JM178" s="34"/>
      <c r="JN178" s="34"/>
      <c r="JO178" s="34"/>
      <c r="JP178" s="34"/>
      <c r="JQ178" s="34"/>
      <c r="JR178" s="34"/>
      <c r="JS178" s="34"/>
      <c r="JT178" s="34"/>
      <c r="JU178" s="34"/>
      <c r="JV178" s="34"/>
      <c r="JW178" s="34"/>
      <c r="JX178" s="34"/>
      <c r="JY178" s="34"/>
      <c r="JZ178" s="34"/>
      <c r="KA178" s="34"/>
      <c r="KB178" s="34"/>
      <c r="KC178" s="34"/>
      <c r="KD178" s="34"/>
      <c r="KE178" s="34"/>
      <c r="KF178" s="34"/>
      <c r="KG178" s="34"/>
      <c r="KH178" s="34"/>
      <c r="KI178" s="34"/>
      <c r="KJ178" s="34"/>
      <c r="KK178" s="34"/>
      <c r="KL178" s="34"/>
      <c r="KM178" s="34"/>
      <c r="KN178" s="34"/>
      <c r="KO178" s="34"/>
      <c r="KP178" s="34"/>
      <c r="KQ178" s="34"/>
      <c r="KR178" s="34"/>
      <c r="KS178" s="34"/>
      <c r="KT178" s="34"/>
      <c r="KU178" s="34"/>
      <c r="KV178" s="34"/>
      <c r="KW178" s="34"/>
      <c r="KX178" s="34"/>
      <c r="KY178" s="34"/>
      <c r="KZ178" s="34"/>
      <c r="LA178" s="34"/>
      <c r="LB178" s="34"/>
      <c r="LC178" s="34"/>
      <c r="LD178" s="34"/>
      <c r="LE178" s="34"/>
      <c r="LF178" s="34"/>
      <c r="LG178" s="34"/>
      <c r="LH178" s="34"/>
      <c r="LI178" s="34"/>
      <c r="LJ178" s="34"/>
      <c r="LK178" s="34"/>
      <c r="LL178" s="34"/>
      <c r="LM178" s="34"/>
      <c r="LN178" s="34"/>
      <c r="LO178" s="34"/>
      <c r="LP178" s="34"/>
      <c r="LQ178" s="34"/>
      <c r="LR178" s="34"/>
      <c r="LS178" s="34"/>
      <c r="LT178" s="34"/>
      <c r="LU178" s="34"/>
      <c r="LV178" s="34"/>
      <c r="LW178" s="34"/>
      <c r="LX178" s="34"/>
      <c r="LY178" s="34"/>
      <c r="LZ178" s="34"/>
      <c r="MA178" s="34"/>
      <c r="MB178" s="34"/>
      <c r="MC178" s="34"/>
      <c r="MD178" s="34"/>
      <c r="ME178" s="34"/>
      <c r="MF178" s="34"/>
      <c r="MG178" s="34"/>
      <c r="MH178" s="34"/>
      <c r="MI178" s="34"/>
      <c r="MJ178" s="34"/>
      <c r="MK178" s="34"/>
      <c r="ML178" s="34"/>
      <c r="MM178" s="34"/>
      <c r="MN178" s="34"/>
      <c r="MO178" s="34"/>
      <c r="MP178" s="34"/>
      <c r="MQ178" s="34"/>
      <c r="MR178" s="34"/>
      <c r="MS178" s="34"/>
      <c r="MT178" s="34"/>
      <c r="MU178" s="34"/>
      <c r="MV178" s="34"/>
      <c r="MW178" s="34"/>
      <c r="MX178" s="34"/>
      <c r="MY178" s="34"/>
      <c r="MZ178" s="34"/>
      <c r="NA178" s="34"/>
      <c r="NB178" s="34"/>
      <c r="NC178" s="34"/>
      <c r="ND178" s="34"/>
      <c r="NE178" s="34"/>
      <c r="NF178" s="34"/>
      <c r="NG178" s="34"/>
      <c r="NH178" s="34"/>
      <c r="NI178" s="34"/>
      <c r="NJ178" s="34"/>
      <c r="NK178" s="34"/>
      <c r="NL178" s="34"/>
      <c r="NM178" s="34"/>
      <c r="NN178" s="34"/>
      <c r="NO178" s="34"/>
      <c r="NP178" s="34"/>
      <c r="NQ178" s="34"/>
      <c r="NR178" s="34"/>
      <c r="NS178" s="34"/>
      <c r="NT178" s="7">
        <f>COUNTIF(F178:NS178,"x")</f>
        <v>18</v>
      </c>
      <c r="NU178" s="81"/>
      <c r="NV178" s="32">
        <f>IF(NX178=0,"0",NX178/NX177)</f>
        <v>1</v>
      </c>
      <c r="NW178" s="37">
        <f t="shared" si="338"/>
        <v>0</v>
      </c>
      <c r="NX178" s="36">
        <f>COUNTIF(F178:AU178,"x")</f>
        <v>18</v>
      </c>
      <c r="NY178" s="81"/>
      <c r="NZ178" s="32" t="str">
        <f>IF(OB178=0,"0",OB178/OB177)</f>
        <v>0</v>
      </c>
      <c r="OA178" s="37">
        <f t="shared" si="340"/>
        <v>0</v>
      </c>
      <c r="OB178" s="36">
        <f>COUNTIF(AV178:CK178,"x")</f>
        <v>0</v>
      </c>
      <c r="OC178" s="81"/>
      <c r="OD178" s="32" t="str">
        <f>IF(OF178=0,"0",OF178/OF177)</f>
        <v>0</v>
      </c>
      <c r="OE178" s="37">
        <f t="shared" si="341"/>
        <v>0</v>
      </c>
      <c r="OF178" s="36">
        <f>COUNTIF(CL178:EA178,"x")</f>
        <v>0</v>
      </c>
      <c r="OG178" s="81"/>
      <c r="OH178" s="32" t="str">
        <f>IF(OJ178=0,"0",OJ178/OJ177)</f>
        <v>0</v>
      </c>
      <c r="OI178" s="37">
        <f t="shared" si="342"/>
        <v>0</v>
      </c>
      <c r="OJ178" s="36">
        <f>COUNTIF(EB178:FQ178,"x")</f>
        <v>0</v>
      </c>
      <c r="OK178" s="74"/>
      <c r="OL178" s="32" t="str">
        <f>IF(ON178=0,"0",ON178/ON177)</f>
        <v>0</v>
      </c>
      <c r="OM178" s="37">
        <f t="shared" si="343"/>
        <v>0</v>
      </c>
      <c r="ON178" s="36">
        <f>COUNTIF(FR178:HG178,"x")</f>
        <v>0</v>
      </c>
      <c r="OO178" s="74"/>
      <c r="OP178" s="32" t="str">
        <f>IF(OR178=0,"0",OR178/OR177)</f>
        <v>0</v>
      </c>
      <c r="OQ178" s="37">
        <f t="shared" si="344"/>
        <v>0</v>
      </c>
      <c r="OR178" s="36">
        <f>COUNTIF(HH178:IW178,"x")</f>
        <v>0</v>
      </c>
      <c r="OS178" s="74"/>
      <c r="OT178" s="32" t="str">
        <f>IF(OV178=0,"0",OV178/OV177)</f>
        <v>0</v>
      </c>
      <c r="OU178" s="37">
        <f t="shared" si="345"/>
        <v>0</v>
      </c>
      <c r="OV178" s="36">
        <f>COUNTIF(IX178:KM178,"x")</f>
        <v>0</v>
      </c>
      <c r="OW178" s="74"/>
      <c r="OX178" s="32" t="str">
        <f>IF(OZ178=0,"0",OZ178/OZ177)</f>
        <v>0</v>
      </c>
      <c r="OY178" s="37">
        <f t="shared" si="346"/>
        <v>0</v>
      </c>
      <c r="OZ178" s="36">
        <f>COUNTIF(KN178:MC178,"x")</f>
        <v>0</v>
      </c>
      <c r="PA178" s="74"/>
      <c r="PB178" s="32" t="str">
        <f>IF(PD178=0,"0",PD178/PD177)</f>
        <v>0</v>
      </c>
      <c r="PC178" s="37">
        <f t="shared" si="347"/>
        <v>0</v>
      </c>
      <c r="PD178" s="36">
        <f>COUNTIF(MD178:NS178,"x")</f>
        <v>0</v>
      </c>
      <c r="PE178" s="74"/>
    </row>
    <row r="179" spans="3:421" ht="15.75" customHeight="1" outlineLevel="1" x14ac:dyDescent="0.25">
      <c r="C179" s="82" t="s">
        <v>63</v>
      </c>
      <c r="D179" s="71"/>
      <c r="E179" s="53" t="s">
        <v>8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69"/>
      <c r="Q179" s="33"/>
      <c r="R179" s="33"/>
      <c r="S179" s="33"/>
      <c r="T179" s="33"/>
      <c r="U179" s="33"/>
      <c r="V179" s="33"/>
      <c r="W179" s="69"/>
      <c r="X179" s="33"/>
      <c r="Y179" s="33"/>
      <c r="Z179" s="33"/>
      <c r="AA179" s="33"/>
      <c r="AB179" s="33"/>
      <c r="AC179" s="33"/>
      <c r="AD179" s="33"/>
      <c r="AE179" s="33"/>
      <c r="AF179" s="33"/>
      <c r="AG179" s="33">
        <v>1</v>
      </c>
      <c r="AH179" s="33">
        <v>1</v>
      </c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  <c r="HI179" s="33"/>
      <c r="HJ179" s="33"/>
      <c r="HK179" s="33"/>
      <c r="HL179" s="33"/>
      <c r="HM179" s="33"/>
      <c r="HN179" s="33"/>
      <c r="HO179" s="33"/>
      <c r="HP179" s="33"/>
      <c r="HQ179" s="33"/>
      <c r="HR179" s="33"/>
      <c r="HS179" s="33"/>
      <c r="HT179" s="33"/>
      <c r="HU179" s="33"/>
      <c r="HV179" s="33"/>
      <c r="HW179" s="33"/>
      <c r="HX179" s="33"/>
      <c r="HY179" s="33"/>
      <c r="HZ179" s="33"/>
      <c r="IA179" s="33"/>
      <c r="IB179" s="33"/>
      <c r="IC179" s="33"/>
      <c r="ID179" s="33"/>
      <c r="IE179" s="33"/>
      <c r="IF179" s="33"/>
      <c r="IG179" s="33"/>
      <c r="IH179" s="33"/>
      <c r="II179" s="33"/>
      <c r="IJ179" s="33"/>
      <c r="IK179" s="33"/>
      <c r="IL179" s="33"/>
      <c r="IM179" s="33"/>
      <c r="IN179" s="33"/>
      <c r="IO179" s="33"/>
      <c r="IP179" s="33"/>
      <c r="IQ179" s="33"/>
      <c r="IR179" s="33"/>
      <c r="IS179" s="33"/>
      <c r="IT179" s="33"/>
      <c r="IU179" s="33"/>
      <c r="IV179" s="33"/>
      <c r="IW179" s="33"/>
      <c r="IX179" s="33"/>
      <c r="IY179" s="33"/>
      <c r="IZ179" s="33"/>
      <c r="JA179" s="33"/>
      <c r="JB179" s="33"/>
      <c r="JC179" s="33"/>
      <c r="JD179" s="33"/>
      <c r="JE179" s="33"/>
      <c r="JF179" s="33"/>
      <c r="JG179" s="33"/>
      <c r="JH179" s="33"/>
      <c r="JI179" s="33"/>
      <c r="JJ179" s="33"/>
      <c r="JK179" s="33"/>
      <c r="JL179" s="33"/>
      <c r="JM179" s="33"/>
      <c r="JN179" s="33"/>
      <c r="JO179" s="33"/>
      <c r="JP179" s="33"/>
      <c r="JQ179" s="33"/>
      <c r="JR179" s="33"/>
      <c r="JS179" s="33"/>
      <c r="JT179" s="33"/>
      <c r="JU179" s="33"/>
      <c r="JV179" s="33"/>
      <c r="JW179" s="33"/>
      <c r="JX179" s="33"/>
      <c r="JY179" s="33"/>
      <c r="JZ179" s="33"/>
      <c r="KA179" s="33"/>
      <c r="KB179" s="33"/>
      <c r="KC179" s="33"/>
      <c r="KD179" s="33"/>
      <c r="KE179" s="33"/>
      <c r="KF179" s="33"/>
      <c r="KG179" s="33"/>
      <c r="KH179" s="33"/>
      <c r="KI179" s="33"/>
      <c r="KJ179" s="33"/>
      <c r="KK179" s="33"/>
      <c r="KL179" s="33"/>
      <c r="KM179" s="33"/>
      <c r="KN179" s="33"/>
      <c r="KO179" s="33"/>
      <c r="KP179" s="33"/>
      <c r="KQ179" s="33"/>
      <c r="KR179" s="33"/>
      <c r="KS179" s="33"/>
      <c r="KT179" s="33"/>
      <c r="KU179" s="33"/>
      <c r="KV179" s="33"/>
      <c r="KW179" s="33"/>
      <c r="KX179" s="33"/>
      <c r="KY179" s="33"/>
      <c r="KZ179" s="33"/>
      <c r="LA179" s="33"/>
      <c r="LB179" s="33"/>
      <c r="LC179" s="33"/>
      <c r="LD179" s="33"/>
      <c r="LE179" s="33"/>
      <c r="LF179" s="33"/>
      <c r="LG179" s="33"/>
      <c r="LH179" s="33"/>
      <c r="LI179" s="33"/>
      <c r="LJ179" s="33"/>
      <c r="LK179" s="33"/>
      <c r="LL179" s="33"/>
      <c r="LM179" s="33"/>
      <c r="LN179" s="33"/>
      <c r="LO179" s="33"/>
      <c r="LP179" s="33"/>
      <c r="LQ179" s="33"/>
      <c r="LR179" s="33"/>
      <c r="LS179" s="33"/>
      <c r="LT179" s="33"/>
      <c r="LU179" s="33"/>
      <c r="LV179" s="33"/>
      <c r="LW179" s="33"/>
      <c r="LX179" s="33"/>
      <c r="LY179" s="33"/>
      <c r="LZ179" s="33"/>
      <c r="MA179" s="33"/>
      <c r="MB179" s="33"/>
      <c r="MC179" s="33"/>
      <c r="MD179" s="33"/>
      <c r="ME179" s="33"/>
      <c r="MF179" s="33"/>
      <c r="MG179" s="33"/>
      <c r="MH179" s="33"/>
      <c r="MI179" s="33"/>
      <c r="MJ179" s="33"/>
      <c r="MK179" s="33"/>
      <c r="ML179" s="33"/>
      <c r="MM179" s="33"/>
      <c r="MN179" s="33"/>
      <c r="MO179" s="33"/>
      <c r="MP179" s="33"/>
      <c r="MQ179" s="33"/>
      <c r="MR179" s="33"/>
      <c r="MS179" s="33"/>
      <c r="MT179" s="33"/>
      <c r="MU179" s="33"/>
      <c r="MV179" s="33"/>
      <c r="MW179" s="33"/>
      <c r="MX179" s="33"/>
      <c r="MY179" s="33"/>
      <c r="MZ179" s="33"/>
      <c r="NA179" s="33"/>
      <c r="NB179" s="33"/>
      <c r="NC179" s="33"/>
      <c r="ND179" s="33"/>
      <c r="NE179" s="33"/>
      <c r="NF179" s="33"/>
      <c r="NG179" s="33"/>
      <c r="NH179" s="33"/>
      <c r="NI179" s="33"/>
      <c r="NJ179" s="33"/>
      <c r="NK179" s="33"/>
      <c r="NL179" s="33"/>
      <c r="NM179" s="33"/>
      <c r="NN179" s="33"/>
      <c r="NO179" s="33"/>
      <c r="NP179" s="33"/>
      <c r="NQ179" s="33"/>
      <c r="NR179" s="33"/>
      <c r="NS179" s="33"/>
      <c r="NT179" s="31">
        <f>COUNTIF(F179:NS179,"1")</f>
        <v>2</v>
      </c>
      <c r="NU179" s="80">
        <f>NT180/NT179</f>
        <v>1</v>
      </c>
      <c r="NV179" s="29" t="str">
        <f>+IF(NX179&gt;=1,"1",0)</f>
        <v>1</v>
      </c>
      <c r="NW179" s="38">
        <f t="shared" si="338"/>
        <v>1</v>
      </c>
      <c r="NX179" s="35">
        <f>COUNTIF(F179:AU179,"1")</f>
        <v>2</v>
      </c>
      <c r="NY179" s="80">
        <f t="shared" ref="NY179" si="348">NX180/NX179</f>
        <v>1</v>
      </c>
      <c r="NZ179" s="29">
        <f>+IF(OB179&gt;=1,"1",0)</f>
        <v>0</v>
      </c>
      <c r="OA179" s="38">
        <f t="shared" si="340"/>
        <v>1</v>
      </c>
      <c r="OB179" s="35">
        <f>COUNTIF(AV179:CK179,"1")</f>
        <v>0</v>
      </c>
      <c r="OC179" s="80" t="e">
        <f>OB180/OB179</f>
        <v>#DIV/0!</v>
      </c>
      <c r="OD179" s="29">
        <f>+IF(OF179&gt;=1,"1",0)</f>
        <v>0</v>
      </c>
      <c r="OE179" s="38">
        <f t="shared" si="341"/>
        <v>1</v>
      </c>
      <c r="OF179" s="35">
        <f>COUNTIF(CL179:EA179,"1")</f>
        <v>0</v>
      </c>
      <c r="OG179" s="80" t="e">
        <f>OF180/OF179</f>
        <v>#DIV/0!</v>
      </c>
      <c r="OH179" s="29">
        <f>+IF(OJ179&gt;=1,"1",0)</f>
        <v>0</v>
      </c>
      <c r="OI179" s="38">
        <f t="shared" si="342"/>
        <v>1</v>
      </c>
      <c r="OJ179" s="35">
        <f>COUNTIF(EB179:FQ179,"1")</f>
        <v>0</v>
      </c>
      <c r="OK179" s="79" t="e">
        <f>OJ180/OJ179</f>
        <v>#DIV/0!</v>
      </c>
      <c r="OL179" s="29">
        <f>+IF(ON179&gt;=1,"1",0)</f>
        <v>0</v>
      </c>
      <c r="OM179" s="38">
        <f t="shared" si="343"/>
        <v>1</v>
      </c>
      <c r="ON179" s="35">
        <f>COUNTIF(FR179:HG179,"1")</f>
        <v>0</v>
      </c>
      <c r="OO179" s="79" t="e">
        <f>ON180/ON179</f>
        <v>#DIV/0!</v>
      </c>
      <c r="OP179" s="29">
        <f>+IF(OR179&gt;=1,"1",0)</f>
        <v>0</v>
      </c>
      <c r="OQ179" s="38">
        <f t="shared" si="344"/>
        <v>1</v>
      </c>
      <c r="OR179" s="35">
        <f>COUNTIF(HH179:IW179,"1")</f>
        <v>0</v>
      </c>
      <c r="OS179" s="79" t="e">
        <f>OR180/OR179</f>
        <v>#DIV/0!</v>
      </c>
      <c r="OT179" s="29">
        <f>+IF(OV179&gt;=1,"1",0)</f>
        <v>0</v>
      </c>
      <c r="OU179" s="38">
        <f t="shared" si="345"/>
        <v>1</v>
      </c>
      <c r="OV179" s="35">
        <f>COUNTIF(IX179:KM179,"1")</f>
        <v>0</v>
      </c>
      <c r="OW179" s="79" t="e">
        <f>OV180/OV179</f>
        <v>#DIV/0!</v>
      </c>
      <c r="OX179" s="29">
        <f>+IF(OZ179&gt;=1,"1",0)</f>
        <v>0</v>
      </c>
      <c r="OY179" s="38">
        <f t="shared" si="346"/>
        <v>1</v>
      </c>
      <c r="OZ179" s="35">
        <f>COUNTIF(KN179:MC179,"1")</f>
        <v>0</v>
      </c>
      <c r="PA179" s="79" t="e">
        <f>OZ180/OZ179</f>
        <v>#DIV/0!</v>
      </c>
      <c r="PB179" s="29">
        <f>+IF(PD179&gt;=1,"1",0)</f>
        <v>0</v>
      </c>
      <c r="PC179" s="38">
        <f t="shared" si="347"/>
        <v>1</v>
      </c>
      <c r="PD179" s="35">
        <f>COUNTIF(MD179:NS179,"1")</f>
        <v>0</v>
      </c>
      <c r="PE179" s="79" t="e">
        <f>PD180/PD179</f>
        <v>#DIV/0!</v>
      </c>
    </row>
    <row r="180" spans="3:421" ht="15.75" customHeight="1" outlineLevel="1" thickBot="1" x14ac:dyDescent="0.3">
      <c r="C180" s="83"/>
      <c r="D180" s="72"/>
      <c r="E180" s="54" t="s">
        <v>9</v>
      </c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70"/>
      <c r="Q180" s="34"/>
      <c r="R180" s="34"/>
      <c r="S180" s="34"/>
      <c r="T180" s="34"/>
      <c r="U180" s="34"/>
      <c r="V180" s="34"/>
      <c r="W180" s="70"/>
      <c r="X180" s="34"/>
      <c r="Y180" s="34"/>
      <c r="Z180" s="34"/>
      <c r="AA180" s="34"/>
      <c r="AB180" s="34"/>
      <c r="AC180" s="34"/>
      <c r="AD180" s="34"/>
      <c r="AE180" s="34"/>
      <c r="AF180" s="34"/>
      <c r="AG180" s="34" t="s">
        <v>75</v>
      </c>
      <c r="AH180" s="34" t="s">
        <v>75</v>
      </c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  <c r="HB180" s="34"/>
      <c r="HC180" s="34"/>
      <c r="HD180" s="34"/>
      <c r="HE180" s="34"/>
      <c r="HF180" s="34"/>
      <c r="HG180" s="34"/>
      <c r="HH180" s="34"/>
      <c r="HI180" s="34"/>
      <c r="HJ180" s="34"/>
      <c r="HK180" s="34"/>
      <c r="HL180" s="34"/>
      <c r="HM180" s="34"/>
      <c r="HN180" s="34"/>
      <c r="HO180" s="34"/>
      <c r="HP180" s="34"/>
      <c r="HQ180" s="34"/>
      <c r="HR180" s="34"/>
      <c r="HS180" s="34"/>
      <c r="HT180" s="34"/>
      <c r="HU180" s="34"/>
      <c r="HV180" s="34"/>
      <c r="HW180" s="34"/>
      <c r="HX180" s="34"/>
      <c r="HY180" s="34"/>
      <c r="HZ180" s="34"/>
      <c r="IA180" s="34"/>
      <c r="IB180" s="34"/>
      <c r="IC180" s="34"/>
      <c r="ID180" s="34"/>
      <c r="IE180" s="34"/>
      <c r="IF180" s="34"/>
      <c r="IG180" s="34"/>
      <c r="IH180" s="34"/>
      <c r="II180" s="34"/>
      <c r="IJ180" s="34"/>
      <c r="IK180" s="34"/>
      <c r="IL180" s="34"/>
      <c r="IM180" s="34"/>
      <c r="IN180" s="34"/>
      <c r="IO180" s="34"/>
      <c r="IP180" s="34"/>
      <c r="IQ180" s="34"/>
      <c r="IR180" s="34"/>
      <c r="IS180" s="34"/>
      <c r="IT180" s="34"/>
      <c r="IU180" s="34"/>
      <c r="IV180" s="34"/>
      <c r="IW180" s="34"/>
      <c r="IX180" s="34"/>
      <c r="IY180" s="34"/>
      <c r="IZ180" s="34"/>
      <c r="JA180" s="34"/>
      <c r="JB180" s="34"/>
      <c r="JC180" s="34"/>
      <c r="JD180" s="34"/>
      <c r="JE180" s="34"/>
      <c r="JF180" s="34"/>
      <c r="JG180" s="34"/>
      <c r="JH180" s="34"/>
      <c r="JI180" s="34"/>
      <c r="JJ180" s="34"/>
      <c r="JK180" s="34"/>
      <c r="JL180" s="34"/>
      <c r="JM180" s="34"/>
      <c r="JN180" s="34"/>
      <c r="JO180" s="34"/>
      <c r="JP180" s="34"/>
      <c r="JQ180" s="34"/>
      <c r="JR180" s="34"/>
      <c r="JS180" s="34"/>
      <c r="JT180" s="34"/>
      <c r="JU180" s="34"/>
      <c r="JV180" s="34"/>
      <c r="JW180" s="34"/>
      <c r="JX180" s="34"/>
      <c r="JY180" s="34"/>
      <c r="JZ180" s="34"/>
      <c r="KA180" s="34"/>
      <c r="KB180" s="34"/>
      <c r="KC180" s="34"/>
      <c r="KD180" s="34"/>
      <c r="KE180" s="34"/>
      <c r="KF180" s="34"/>
      <c r="KG180" s="34"/>
      <c r="KH180" s="34"/>
      <c r="KI180" s="34"/>
      <c r="KJ180" s="34"/>
      <c r="KK180" s="34"/>
      <c r="KL180" s="34"/>
      <c r="KM180" s="34"/>
      <c r="KN180" s="34"/>
      <c r="KO180" s="34"/>
      <c r="KP180" s="34"/>
      <c r="KQ180" s="34"/>
      <c r="KR180" s="34"/>
      <c r="KS180" s="34"/>
      <c r="KT180" s="34"/>
      <c r="KU180" s="34"/>
      <c r="KV180" s="34"/>
      <c r="KW180" s="34"/>
      <c r="KX180" s="34"/>
      <c r="KY180" s="34"/>
      <c r="KZ180" s="34"/>
      <c r="LA180" s="34"/>
      <c r="LB180" s="34"/>
      <c r="LC180" s="34"/>
      <c r="LD180" s="34"/>
      <c r="LE180" s="34"/>
      <c r="LF180" s="34"/>
      <c r="LG180" s="34"/>
      <c r="LH180" s="34"/>
      <c r="LI180" s="34"/>
      <c r="LJ180" s="34"/>
      <c r="LK180" s="34"/>
      <c r="LL180" s="34"/>
      <c r="LM180" s="34"/>
      <c r="LN180" s="34"/>
      <c r="LO180" s="34"/>
      <c r="LP180" s="34"/>
      <c r="LQ180" s="34"/>
      <c r="LR180" s="34"/>
      <c r="LS180" s="34"/>
      <c r="LT180" s="34"/>
      <c r="LU180" s="34"/>
      <c r="LV180" s="34"/>
      <c r="LW180" s="34"/>
      <c r="LX180" s="34"/>
      <c r="LY180" s="34"/>
      <c r="LZ180" s="34"/>
      <c r="MA180" s="34"/>
      <c r="MB180" s="34"/>
      <c r="MC180" s="34"/>
      <c r="MD180" s="34"/>
      <c r="ME180" s="34"/>
      <c r="MF180" s="34"/>
      <c r="MG180" s="34"/>
      <c r="MH180" s="34"/>
      <c r="MI180" s="34"/>
      <c r="MJ180" s="34"/>
      <c r="MK180" s="34"/>
      <c r="ML180" s="34"/>
      <c r="MM180" s="34"/>
      <c r="MN180" s="34"/>
      <c r="MO180" s="34"/>
      <c r="MP180" s="34"/>
      <c r="MQ180" s="34"/>
      <c r="MR180" s="34"/>
      <c r="MS180" s="34"/>
      <c r="MT180" s="34"/>
      <c r="MU180" s="34"/>
      <c r="MV180" s="34"/>
      <c r="MW180" s="34"/>
      <c r="MX180" s="34"/>
      <c r="MY180" s="34"/>
      <c r="MZ180" s="34"/>
      <c r="NA180" s="34"/>
      <c r="NB180" s="34"/>
      <c r="NC180" s="34"/>
      <c r="ND180" s="34"/>
      <c r="NE180" s="34"/>
      <c r="NF180" s="34"/>
      <c r="NG180" s="34"/>
      <c r="NH180" s="34"/>
      <c r="NI180" s="34"/>
      <c r="NJ180" s="34"/>
      <c r="NK180" s="34"/>
      <c r="NL180" s="34"/>
      <c r="NM180" s="34"/>
      <c r="NN180" s="34"/>
      <c r="NO180" s="34"/>
      <c r="NP180" s="34"/>
      <c r="NQ180" s="34"/>
      <c r="NR180" s="34"/>
      <c r="NS180" s="34"/>
      <c r="NT180" s="7">
        <f>COUNTIF(F180:NS180,"x")</f>
        <v>2</v>
      </c>
      <c r="NU180" s="81"/>
      <c r="NV180" s="32">
        <f>IF(NX180=0,"0",NX180/NX179)</f>
        <v>1</v>
      </c>
      <c r="NW180" s="37">
        <f t="shared" si="338"/>
        <v>0</v>
      </c>
      <c r="NX180" s="36">
        <f>COUNTIF(F180:AU180,"x")</f>
        <v>2</v>
      </c>
      <c r="NY180" s="81"/>
      <c r="NZ180" s="32" t="str">
        <f>IF(OB180=0,"0",OB180/OB179)</f>
        <v>0</v>
      </c>
      <c r="OA180" s="37">
        <f t="shared" si="340"/>
        <v>0</v>
      </c>
      <c r="OB180" s="36">
        <f>COUNTIF(AV180:CK180,"x")</f>
        <v>0</v>
      </c>
      <c r="OC180" s="81"/>
      <c r="OD180" s="32" t="str">
        <f>IF(OF180=0,"0",OF180/OF179)</f>
        <v>0</v>
      </c>
      <c r="OE180" s="37">
        <f t="shared" si="341"/>
        <v>0</v>
      </c>
      <c r="OF180" s="36">
        <f>COUNTIF(CL180:EA180,"x")</f>
        <v>0</v>
      </c>
      <c r="OG180" s="81"/>
      <c r="OH180" s="32" t="str">
        <f>IF(OJ180=0,"0",OJ180/OJ179)</f>
        <v>0</v>
      </c>
      <c r="OI180" s="37">
        <f t="shared" si="342"/>
        <v>0</v>
      </c>
      <c r="OJ180" s="36">
        <f>COUNTIF(EB180:FQ180,"x")</f>
        <v>0</v>
      </c>
      <c r="OK180" s="74"/>
      <c r="OL180" s="32" t="str">
        <f>IF(ON180=0,"0",ON180/ON179)</f>
        <v>0</v>
      </c>
      <c r="OM180" s="37">
        <f t="shared" si="343"/>
        <v>0</v>
      </c>
      <c r="ON180" s="36">
        <f>COUNTIF(FR180:HG180,"x")</f>
        <v>0</v>
      </c>
      <c r="OO180" s="74"/>
      <c r="OP180" s="32" t="str">
        <f>IF(OR180=0,"0",OR180/OR179)</f>
        <v>0</v>
      </c>
      <c r="OQ180" s="37">
        <f t="shared" si="344"/>
        <v>0</v>
      </c>
      <c r="OR180" s="36">
        <f>COUNTIF(HH180:IW180,"x")</f>
        <v>0</v>
      </c>
      <c r="OS180" s="74"/>
      <c r="OT180" s="32" t="str">
        <f>IF(OV180=0,"0",OV180/OV179)</f>
        <v>0</v>
      </c>
      <c r="OU180" s="37">
        <f t="shared" si="345"/>
        <v>0</v>
      </c>
      <c r="OV180" s="36">
        <f>COUNTIF(IX180:KM180,"x")</f>
        <v>0</v>
      </c>
      <c r="OW180" s="74"/>
      <c r="OX180" s="32" t="str">
        <f>IF(OZ180=0,"0",OZ180/OZ179)</f>
        <v>0</v>
      </c>
      <c r="OY180" s="37">
        <f t="shared" si="346"/>
        <v>0</v>
      </c>
      <c r="OZ180" s="36">
        <f>COUNTIF(KN180:MC180,"x")</f>
        <v>0</v>
      </c>
      <c r="PA180" s="74"/>
      <c r="PB180" s="32" t="str">
        <f>IF(PD180=0,"0",PD180/PD179)</f>
        <v>0</v>
      </c>
      <c r="PC180" s="37">
        <f t="shared" si="347"/>
        <v>0</v>
      </c>
      <c r="PD180" s="36">
        <f>COUNTIF(MD180:NS180,"x")</f>
        <v>0</v>
      </c>
      <c r="PE180" s="74"/>
    </row>
    <row r="181" spans="3:421" ht="15.75" customHeight="1" outlineLevel="1" x14ac:dyDescent="0.25">
      <c r="C181" s="82" t="s">
        <v>72</v>
      </c>
      <c r="D181" s="71"/>
      <c r="E181" s="53" t="s">
        <v>8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69"/>
      <c r="Q181" s="33"/>
      <c r="R181" s="33"/>
      <c r="S181" s="33"/>
      <c r="T181" s="33"/>
      <c r="U181" s="33"/>
      <c r="V181" s="33"/>
      <c r="W181" s="69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/>
      <c r="HQ181" s="33"/>
      <c r="HR181" s="33"/>
      <c r="HS181" s="33"/>
      <c r="HT181" s="33"/>
      <c r="HU181" s="33"/>
      <c r="HV181" s="33"/>
      <c r="HW181" s="33"/>
      <c r="HX181" s="33"/>
      <c r="HY181" s="33"/>
      <c r="HZ181" s="33"/>
      <c r="IA181" s="33"/>
      <c r="IB181" s="33"/>
      <c r="IC181" s="33"/>
      <c r="ID181" s="33"/>
      <c r="IE181" s="33"/>
      <c r="IF181" s="33"/>
      <c r="IG181" s="33"/>
      <c r="IH181" s="33"/>
      <c r="II181" s="33"/>
      <c r="IJ181" s="33"/>
      <c r="IK181" s="33"/>
      <c r="IL181" s="33"/>
      <c r="IM181" s="33"/>
      <c r="IN181" s="33"/>
      <c r="IO181" s="33"/>
      <c r="IP181" s="33"/>
      <c r="IQ181" s="33"/>
      <c r="IR181" s="33"/>
      <c r="IS181" s="33"/>
      <c r="IT181" s="33"/>
      <c r="IU181" s="33"/>
      <c r="IV181" s="33"/>
      <c r="IW181" s="33"/>
      <c r="IX181" s="33"/>
      <c r="IY181" s="33"/>
      <c r="IZ181" s="33"/>
      <c r="JA181" s="33"/>
      <c r="JB181" s="33"/>
      <c r="JC181" s="33"/>
      <c r="JD181" s="33"/>
      <c r="JE181" s="33"/>
      <c r="JF181" s="33"/>
      <c r="JG181" s="33"/>
      <c r="JH181" s="33"/>
      <c r="JI181" s="33"/>
      <c r="JJ181" s="33"/>
      <c r="JK181" s="33"/>
      <c r="JL181" s="33"/>
      <c r="JM181" s="33"/>
      <c r="JN181" s="33"/>
      <c r="JO181" s="33"/>
      <c r="JP181" s="33"/>
      <c r="JQ181" s="33"/>
      <c r="JR181" s="33"/>
      <c r="JS181" s="33"/>
      <c r="JT181" s="33"/>
      <c r="JU181" s="33"/>
      <c r="JV181" s="33"/>
      <c r="JW181" s="33"/>
      <c r="JX181" s="33"/>
      <c r="JY181" s="33"/>
      <c r="JZ181" s="33"/>
      <c r="KA181" s="33"/>
      <c r="KB181" s="33"/>
      <c r="KC181" s="33"/>
      <c r="KD181" s="33"/>
      <c r="KE181" s="33"/>
      <c r="KF181" s="33"/>
      <c r="KG181" s="33"/>
      <c r="KH181" s="33"/>
      <c r="KI181" s="33"/>
      <c r="KJ181" s="33"/>
      <c r="KK181" s="33"/>
      <c r="KL181" s="33"/>
      <c r="KM181" s="33"/>
      <c r="KN181" s="33"/>
      <c r="KO181" s="33"/>
      <c r="KP181" s="33"/>
      <c r="KQ181" s="33"/>
      <c r="KR181" s="33"/>
      <c r="KS181" s="33"/>
      <c r="KT181" s="33"/>
      <c r="KU181" s="33"/>
      <c r="KV181" s="33"/>
      <c r="KW181" s="33"/>
      <c r="KX181" s="33"/>
      <c r="KY181" s="33"/>
      <c r="KZ181" s="33"/>
      <c r="LA181" s="33"/>
      <c r="LB181" s="33"/>
      <c r="LC181" s="33"/>
      <c r="LD181" s="33"/>
      <c r="LE181" s="33"/>
      <c r="LF181" s="33"/>
      <c r="LG181" s="33"/>
      <c r="LH181" s="33"/>
      <c r="LI181" s="33"/>
      <c r="LJ181" s="33"/>
      <c r="LK181" s="33"/>
      <c r="LL181" s="33"/>
      <c r="LM181" s="33"/>
      <c r="LN181" s="33"/>
      <c r="LO181" s="33"/>
      <c r="LP181" s="33"/>
      <c r="LQ181" s="33"/>
      <c r="LR181" s="33"/>
      <c r="LS181" s="33"/>
      <c r="LT181" s="33"/>
      <c r="LU181" s="33"/>
      <c r="LV181" s="33"/>
      <c r="LW181" s="33"/>
      <c r="LX181" s="33"/>
      <c r="LY181" s="33"/>
      <c r="LZ181" s="33"/>
      <c r="MA181" s="33"/>
      <c r="MB181" s="33"/>
      <c r="MC181" s="33"/>
      <c r="MD181" s="33"/>
      <c r="ME181" s="33"/>
      <c r="MF181" s="33"/>
      <c r="MG181" s="33"/>
      <c r="MH181" s="33"/>
      <c r="MI181" s="33"/>
      <c r="MJ181" s="33"/>
      <c r="MK181" s="33"/>
      <c r="ML181" s="33"/>
      <c r="MM181" s="33"/>
      <c r="MN181" s="33"/>
      <c r="MO181" s="33"/>
      <c r="MP181" s="33"/>
      <c r="MQ181" s="33"/>
      <c r="MR181" s="33"/>
      <c r="MS181" s="33"/>
      <c r="MT181" s="33"/>
      <c r="MU181" s="33"/>
      <c r="MV181" s="33"/>
      <c r="MW181" s="33"/>
      <c r="MX181" s="33"/>
      <c r="MY181" s="33"/>
      <c r="MZ181" s="33"/>
      <c r="NA181" s="33"/>
      <c r="NB181" s="33"/>
      <c r="NC181" s="33"/>
      <c r="ND181" s="33"/>
      <c r="NE181" s="33"/>
      <c r="NF181" s="33"/>
      <c r="NG181" s="33"/>
      <c r="NH181" s="33"/>
      <c r="NI181" s="33"/>
      <c r="NJ181" s="33"/>
      <c r="NK181" s="33"/>
      <c r="NL181" s="33"/>
      <c r="NM181" s="33"/>
      <c r="NN181" s="33"/>
      <c r="NO181" s="33"/>
      <c r="NP181" s="33"/>
      <c r="NQ181" s="33"/>
      <c r="NR181" s="33"/>
      <c r="NS181" s="33"/>
      <c r="NT181" s="31">
        <f>COUNTIF(F181:NS181,"1")</f>
        <v>0</v>
      </c>
      <c r="NU181" s="80" t="e">
        <f>NT182/NT181</f>
        <v>#DIV/0!</v>
      </c>
      <c r="NV181" s="29">
        <f>+IF(NX181&gt;=1,"1",0)</f>
        <v>0</v>
      </c>
      <c r="NW181" s="38">
        <f t="shared" si="338"/>
        <v>1</v>
      </c>
      <c r="NX181" s="35">
        <f>COUNTIF(F181:AU181,"1")</f>
        <v>0</v>
      </c>
      <c r="NY181" s="80" t="e">
        <f t="shared" ref="NY181" si="349">NX182/NX181</f>
        <v>#DIV/0!</v>
      </c>
      <c r="NZ181" s="29">
        <f>+IF(OB181&gt;=1,"1",0)</f>
        <v>0</v>
      </c>
      <c r="OA181" s="38">
        <f t="shared" si="340"/>
        <v>1</v>
      </c>
      <c r="OB181" s="35">
        <f>COUNTIF(AV181:CK181,"1")</f>
        <v>0</v>
      </c>
      <c r="OC181" s="80" t="e">
        <f>OB182/OB181</f>
        <v>#DIV/0!</v>
      </c>
      <c r="OD181" s="29">
        <f>+IF(OF181&gt;=1,"1",0)</f>
        <v>0</v>
      </c>
      <c r="OE181" s="38">
        <f t="shared" si="341"/>
        <v>1</v>
      </c>
      <c r="OF181" s="35">
        <f>COUNTIF(CL181:EA181,"1")</f>
        <v>0</v>
      </c>
      <c r="OG181" s="80" t="e">
        <f>OF182/OF181</f>
        <v>#DIV/0!</v>
      </c>
      <c r="OH181" s="29">
        <f>+IF(OJ181&gt;=1,"1",0)</f>
        <v>0</v>
      </c>
      <c r="OI181" s="38">
        <f t="shared" si="342"/>
        <v>1</v>
      </c>
      <c r="OJ181" s="35">
        <f>COUNTIF(EB181:FQ181,"1")</f>
        <v>0</v>
      </c>
      <c r="OK181" s="79" t="e">
        <f>OJ182/OJ181</f>
        <v>#DIV/0!</v>
      </c>
      <c r="OL181" s="29">
        <f>+IF(ON181&gt;=1,"1",0)</f>
        <v>0</v>
      </c>
      <c r="OM181" s="38">
        <f t="shared" si="343"/>
        <v>1</v>
      </c>
      <c r="ON181" s="35">
        <f>COUNTIF(FR181:HG181,"1")</f>
        <v>0</v>
      </c>
      <c r="OO181" s="79" t="e">
        <f>ON182/ON181</f>
        <v>#DIV/0!</v>
      </c>
      <c r="OP181" s="29">
        <f>+IF(OR181&gt;=1,"1",0)</f>
        <v>0</v>
      </c>
      <c r="OQ181" s="38">
        <f t="shared" si="344"/>
        <v>1</v>
      </c>
      <c r="OR181" s="35">
        <f>COUNTIF(HH181:IW181,"1")</f>
        <v>0</v>
      </c>
      <c r="OS181" s="79" t="e">
        <f>OR182/OR181</f>
        <v>#DIV/0!</v>
      </c>
      <c r="OT181" s="29">
        <f>+IF(OV181&gt;=1,"1",0)</f>
        <v>0</v>
      </c>
      <c r="OU181" s="38">
        <f t="shared" si="345"/>
        <v>1</v>
      </c>
      <c r="OV181" s="35">
        <f>COUNTIF(IX181:KM181,"1")</f>
        <v>0</v>
      </c>
      <c r="OW181" s="79" t="e">
        <f>OV182/OV181</f>
        <v>#DIV/0!</v>
      </c>
      <c r="OX181" s="29">
        <f>+IF(OZ181&gt;=1,"1",0)</f>
        <v>0</v>
      </c>
      <c r="OY181" s="38">
        <f t="shared" si="346"/>
        <v>1</v>
      </c>
      <c r="OZ181" s="35">
        <f>COUNTIF(KN181:MC181,"1")</f>
        <v>0</v>
      </c>
      <c r="PA181" s="79" t="e">
        <f>OZ182/OZ181</f>
        <v>#DIV/0!</v>
      </c>
      <c r="PB181" s="29">
        <f>+IF(PD181&gt;=1,"1",0)</f>
        <v>0</v>
      </c>
      <c r="PC181" s="38">
        <f t="shared" si="347"/>
        <v>1</v>
      </c>
      <c r="PD181" s="35">
        <f>COUNTIF(MD181:NS181,"1")</f>
        <v>0</v>
      </c>
      <c r="PE181" s="79" t="e">
        <f>PD182/PD181</f>
        <v>#DIV/0!</v>
      </c>
    </row>
    <row r="182" spans="3:421" ht="15.75" customHeight="1" outlineLevel="1" thickBot="1" x14ac:dyDescent="0.3">
      <c r="C182" s="83"/>
      <c r="D182" s="72"/>
      <c r="E182" s="54" t="s">
        <v>9</v>
      </c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70"/>
      <c r="Q182" s="34"/>
      <c r="R182" s="34"/>
      <c r="S182" s="34"/>
      <c r="T182" s="34"/>
      <c r="U182" s="34"/>
      <c r="V182" s="34"/>
      <c r="W182" s="70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  <c r="HB182" s="34"/>
      <c r="HC182" s="34"/>
      <c r="HD182" s="34"/>
      <c r="HE182" s="34"/>
      <c r="HF182" s="34"/>
      <c r="HG182" s="34"/>
      <c r="HH182" s="34"/>
      <c r="HI182" s="34"/>
      <c r="HJ182" s="34"/>
      <c r="HK182" s="34"/>
      <c r="HL182" s="34"/>
      <c r="HM182" s="34"/>
      <c r="HN182" s="34"/>
      <c r="HO182" s="34"/>
      <c r="HP182" s="34"/>
      <c r="HQ182" s="34"/>
      <c r="HR182" s="34"/>
      <c r="HS182" s="34"/>
      <c r="HT182" s="34"/>
      <c r="HU182" s="34"/>
      <c r="HV182" s="34"/>
      <c r="HW182" s="34"/>
      <c r="HX182" s="34"/>
      <c r="HY182" s="34"/>
      <c r="HZ182" s="34"/>
      <c r="IA182" s="34"/>
      <c r="IB182" s="34"/>
      <c r="IC182" s="34"/>
      <c r="ID182" s="34"/>
      <c r="IE182" s="34"/>
      <c r="IF182" s="34"/>
      <c r="IG182" s="34"/>
      <c r="IH182" s="34"/>
      <c r="II182" s="34"/>
      <c r="IJ182" s="34"/>
      <c r="IK182" s="34"/>
      <c r="IL182" s="34"/>
      <c r="IM182" s="34"/>
      <c r="IN182" s="34"/>
      <c r="IO182" s="34"/>
      <c r="IP182" s="34"/>
      <c r="IQ182" s="34"/>
      <c r="IR182" s="34"/>
      <c r="IS182" s="34"/>
      <c r="IT182" s="34"/>
      <c r="IU182" s="34"/>
      <c r="IV182" s="34"/>
      <c r="IW182" s="34"/>
      <c r="IX182" s="34"/>
      <c r="IY182" s="34"/>
      <c r="IZ182" s="34"/>
      <c r="JA182" s="34"/>
      <c r="JB182" s="34"/>
      <c r="JC182" s="34"/>
      <c r="JD182" s="34"/>
      <c r="JE182" s="34"/>
      <c r="JF182" s="34"/>
      <c r="JG182" s="34"/>
      <c r="JH182" s="34"/>
      <c r="JI182" s="34"/>
      <c r="JJ182" s="34"/>
      <c r="JK182" s="34"/>
      <c r="JL182" s="34"/>
      <c r="JM182" s="34"/>
      <c r="JN182" s="34"/>
      <c r="JO182" s="34"/>
      <c r="JP182" s="34"/>
      <c r="JQ182" s="34"/>
      <c r="JR182" s="34"/>
      <c r="JS182" s="34"/>
      <c r="JT182" s="34"/>
      <c r="JU182" s="34"/>
      <c r="JV182" s="34"/>
      <c r="JW182" s="34"/>
      <c r="JX182" s="34"/>
      <c r="JY182" s="34"/>
      <c r="JZ182" s="34"/>
      <c r="KA182" s="34"/>
      <c r="KB182" s="34"/>
      <c r="KC182" s="34"/>
      <c r="KD182" s="34"/>
      <c r="KE182" s="34"/>
      <c r="KF182" s="34"/>
      <c r="KG182" s="34"/>
      <c r="KH182" s="34"/>
      <c r="KI182" s="34"/>
      <c r="KJ182" s="34"/>
      <c r="KK182" s="34"/>
      <c r="KL182" s="34"/>
      <c r="KM182" s="34"/>
      <c r="KN182" s="34"/>
      <c r="KO182" s="34"/>
      <c r="KP182" s="34"/>
      <c r="KQ182" s="34"/>
      <c r="KR182" s="34"/>
      <c r="KS182" s="34"/>
      <c r="KT182" s="34"/>
      <c r="KU182" s="34"/>
      <c r="KV182" s="34"/>
      <c r="KW182" s="34"/>
      <c r="KX182" s="34"/>
      <c r="KY182" s="34"/>
      <c r="KZ182" s="34"/>
      <c r="LA182" s="34"/>
      <c r="LB182" s="34"/>
      <c r="LC182" s="34"/>
      <c r="LD182" s="34"/>
      <c r="LE182" s="34"/>
      <c r="LF182" s="34"/>
      <c r="LG182" s="34"/>
      <c r="LH182" s="34"/>
      <c r="LI182" s="34"/>
      <c r="LJ182" s="34"/>
      <c r="LK182" s="34"/>
      <c r="LL182" s="34"/>
      <c r="LM182" s="34"/>
      <c r="LN182" s="34"/>
      <c r="LO182" s="34"/>
      <c r="LP182" s="34"/>
      <c r="LQ182" s="34"/>
      <c r="LR182" s="34"/>
      <c r="LS182" s="34"/>
      <c r="LT182" s="34"/>
      <c r="LU182" s="34"/>
      <c r="LV182" s="34"/>
      <c r="LW182" s="34"/>
      <c r="LX182" s="34"/>
      <c r="LY182" s="34"/>
      <c r="LZ182" s="34"/>
      <c r="MA182" s="34"/>
      <c r="MB182" s="34"/>
      <c r="MC182" s="34"/>
      <c r="MD182" s="34"/>
      <c r="ME182" s="34"/>
      <c r="MF182" s="34"/>
      <c r="MG182" s="34"/>
      <c r="MH182" s="34"/>
      <c r="MI182" s="34"/>
      <c r="MJ182" s="34"/>
      <c r="MK182" s="34"/>
      <c r="ML182" s="34"/>
      <c r="MM182" s="34"/>
      <c r="MN182" s="34"/>
      <c r="MO182" s="34"/>
      <c r="MP182" s="34"/>
      <c r="MQ182" s="34"/>
      <c r="MR182" s="34"/>
      <c r="MS182" s="34"/>
      <c r="MT182" s="34"/>
      <c r="MU182" s="34"/>
      <c r="MV182" s="34"/>
      <c r="MW182" s="34"/>
      <c r="MX182" s="34"/>
      <c r="MY182" s="34"/>
      <c r="MZ182" s="34"/>
      <c r="NA182" s="34"/>
      <c r="NB182" s="34"/>
      <c r="NC182" s="34"/>
      <c r="ND182" s="34"/>
      <c r="NE182" s="34"/>
      <c r="NF182" s="34"/>
      <c r="NG182" s="34"/>
      <c r="NH182" s="34"/>
      <c r="NI182" s="34"/>
      <c r="NJ182" s="34"/>
      <c r="NK182" s="34"/>
      <c r="NL182" s="34"/>
      <c r="NM182" s="34"/>
      <c r="NN182" s="34"/>
      <c r="NO182" s="34"/>
      <c r="NP182" s="34"/>
      <c r="NQ182" s="34"/>
      <c r="NR182" s="34"/>
      <c r="NS182" s="34"/>
      <c r="NT182" s="7">
        <f>COUNTIF(F182:NS182,"x")</f>
        <v>0</v>
      </c>
      <c r="NU182" s="81"/>
      <c r="NV182" s="32" t="str">
        <f>IF(NX182=0,"0",NX182/NX181)</f>
        <v>0</v>
      </c>
      <c r="NW182" s="37">
        <f t="shared" si="338"/>
        <v>0</v>
      </c>
      <c r="NX182" s="36">
        <f>COUNTIF(F182:AU182,"x")</f>
        <v>0</v>
      </c>
      <c r="NY182" s="81"/>
      <c r="NZ182" s="32" t="str">
        <f>IF(OB182=0,"0",OB182/OB181)</f>
        <v>0</v>
      </c>
      <c r="OA182" s="37">
        <f t="shared" si="340"/>
        <v>0</v>
      </c>
      <c r="OB182" s="36">
        <f>COUNTIF(AV182:CK182,"x")</f>
        <v>0</v>
      </c>
      <c r="OC182" s="81"/>
      <c r="OD182" s="32" t="str">
        <f>IF(OF182=0,"0",OF182/OF181)</f>
        <v>0</v>
      </c>
      <c r="OE182" s="37">
        <f t="shared" si="341"/>
        <v>0</v>
      </c>
      <c r="OF182" s="36">
        <f>COUNTIF(CL182:EA182,"x")</f>
        <v>0</v>
      </c>
      <c r="OG182" s="81"/>
      <c r="OH182" s="32" t="str">
        <f>IF(OJ182=0,"0",OJ182/OJ181)</f>
        <v>0</v>
      </c>
      <c r="OI182" s="37">
        <f t="shared" si="342"/>
        <v>0</v>
      </c>
      <c r="OJ182" s="36">
        <f>COUNTIF(EB182:FQ182,"x")</f>
        <v>0</v>
      </c>
      <c r="OK182" s="74"/>
      <c r="OL182" s="32" t="str">
        <f>IF(ON182=0,"0",ON182/ON181)</f>
        <v>0</v>
      </c>
      <c r="OM182" s="37">
        <f t="shared" si="343"/>
        <v>0</v>
      </c>
      <c r="ON182" s="36">
        <f>COUNTIF(FR182:HG182,"x")</f>
        <v>0</v>
      </c>
      <c r="OO182" s="74"/>
      <c r="OP182" s="32" t="str">
        <f>IF(OR182=0,"0",OR182/OR181)</f>
        <v>0</v>
      </c>
      <c r="OQ182" s="37">
        <f t="shared" si="344"/>
        <v>0</v>
      </c>
      <c r="OR182" s="36">
        <f>COUNTIF(HH182:IW182,"x")</f>
        <v>0</v>
      </c>
      <c r="OS182" s="74"/>
      <c r="OT182" s="32" t="str">
        <f>IF(OV182=0,"0",OV182/OV181)</f>
        <v>0</v>
      </c>
      <c r="OU182" s="37">
        <f t="shared" si="345"/>
        <v>0</v>
      </c>
      <c r="OV182" s="36">
        <f>COUNTIF(IX182:KM182,"x")</f>
        <v>0</v>
      </c>
      <c r="OW182" s="74"/>
      <c r="OX182" s="32" t="str">
        <f>IF(OZ182=0,"0",OZ182/OZ181)</f>
        <v>0</v>
      </c>
      <c r="OY182" s="37">
        <f t="shared" si="346"/>
        <v>0</v>
      </c>
      <c r="OZ182" s="36">
        <f>COUNTIF(KN182:MC182,"x")</f>
        <v>0</v>
      </c>
      <c r="PA182" s="74"/>
      <c r="PB182" s="32" t="str">
        <f>IF(PD182=0,"0",PD182/PD181)</f>
        <v>0</v>
      </c>
      <c r="PC182" s="37">
        <f t="shared" si="347"/>
        <v>0</v>
      </c>
      <c r="PD182" s="36">
        <f>COUNTIF(MD182:NS182,"x")</f>
        <v>0</v>
      </c>
      <c r="PE182" s="74"/>
    </row>
    <row r="183" spans="3:421" ht="15.75" customHeight="1" outlineLevel="1" x14ac:dyDescent="0.25">
      <c r="C183" s="82" t="s">
        <v>66</v>
      </c>
      <c r="D183" s="59"/>
      <c r="E183" s="53" t="s">
        <v>8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69"/>
      <c r="Q183" s="33"/>
      <c r="R183" s="33"/>
      <c r="S183" s="33"/>
      <c r="T183" s="33"/>
      <c r="U183" s="33"/>
      <c r="V183" s="33"/>
      <c r="W183" s="69"/>
      <c r="X183" s="33"/>
      <c r="Y183" s="33"/>
      <c r="Z183" s="33"/>
      <c r="AA183" s="33"/>
      <c r="AB183" s="33"/>
      <c r="AC183" s="33"/>
      <c r="AD183" s="33"/>
      <c r="AE183" s="33"/>
      <c r="AF183" s="33" t="s">
        <v>75</v>
      </c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  <c r="HI183" s="33"/>
      <c r="HJ183" s="33"/>
      <c r="HK183" s="33"/>
      <c r="HL183" s="33"/>
      <c r="HM183" s="33"/>
      <c r="HN183" s="33"/>
      <c r="HO183" s="33"/>
      <c r="HP183" s="33"/>
      <c r="HQ183" s="33"/>
      <c r="HR183" s="33"/>
      <c r="HS183" s="33"/>
      <c r="HT183" s="33"/>
      <c r="HU183" s="33"/>
      <c r="HV183" s="33"/>
      <c r="HW183" s="33"/>
      <c r="HX183" s="33"/>
      <c r="HY183" s="33"/>
      <c r="HZ183" s="33"/>
      <c r="IA183" s="33"/>
      <c r="IB183" s="33"/>
      <c r="IC183" s="33"/>
      <c r="ID183" s="33"/>
      <c r="IE183" s="33"/>
      <c r="IF183" s="33"/>
      <c r="IG183" s="33"/>
      <c r="IH183" s="33"/>
      <c r="II183" s="33"/>
      <c r="IJ183" s="33"/>
      <c r="IK183" s="33"/>
      <c r="IL183" s="33"/>
      <c r="IM183" s="33"/>
      <c r="IN183" s="33"/>
      <c r="IO183" s="33"/>
      <c r="IP183" s="33"/>
      <c r="IQ183" s="33"/>
      <c r="IR183" s="33"/>
      <c r="IS183" s="33"/>
      <c r="IT183" s="33"/>
      <c r="IU183" s="33"/>
      <c r="IV183" s="33"/>
      <c r="IW183" s="33"/>
      <c r="IX183" s="33"/>
      <c r="IY183" s="33"/>
      <c r="IZ183" s="33"/>
      <c r="JA183" s="33"/>
      <c r="JB183" s="33"/>
      <c r="JC183" s="33"/>
      <c r="JD183" s="33"/>
      <c r="JE183" s="33"/>
      <c r="JF183" s="33"/>
      <c r="JG183" s="33"/>
      <c r="JH183" s="33"/>
      <c r="JI183" s="33"/>
      <c r="JJ183" s="33"/>
      <c r="JK183" s="33"/>
      <c r="JL183" s="33"/>
      <c r="JM183" s="33"/>
      <c r="JN183" s="33"/>
      <c r="JO183" s="33"/>
      <c r="JP183" s="33"/>
      <c r="JQ183" s="33"/>
      <c r="JR183" s="33"/>
      <c r="JS183" s="33"/>
      <c r="JT183" s="33"/>
      <c r="JU183" s="33"/>
      <c r="JV183" s="33"/>
      <c r="JW183" s="33"/>
      <c r="JX183" s="33"/>
      <c r="JY183" s="33"/>
      <c r="JZ183" s="33"/>
      <c r="KA183" s="33"/>
      <c r="KB183" s="33"/>
      <c r="KC183" s="33"/>
      <c r="KD183" s="33"/>
      <c r="KE183" s="33"/>
      <c r="KF183" s="33"/>
      <c r="KG183" s="33"/>
      <c r="KH183" s="33"/>
      <c r="KI183" s="33"/>
      <c r="KJ183" s="33"/>
      <c r="KK183" s="33"/>
      <c r="KL183" s="33"/>
      <c r="KM183" s="33"/>
      <c r="KN183" s="33"/>
      <c r="KO183" s="33"/>
      <c r="KP183" s="33"/>
      <c r="KQ183" s="33"/>
      <c r="KR183" s="33"/>
      <c r="KS183" s="33"/>
      <c r="KT183" s="33"/>
      <c r="KU183" s="33"/>
      <c r="KV183" s="33"/>
      <c r="KW183" s="33"/>
      <c r="KX183" s="33"/>
      <c r="KY183" s="33"/>
      <c r="KZ183" s="33"/>
      <c r="LA183" s="33"/>
      <c r="LB183" s="33"/>
      <c r="LC183" s="33"/>
      <c r="LD183" s="33"/>
      <c r="LE183" s="33"/>
      <c r="LF183" s="33"/>
      <c r="LG183" s="33"/>
      <c r="LH183" s="33"/>
      <c r="LI183" s="33"/>
      <c r="LJ183" s="33"/>
      <c r="LK183" s="33"/>
      <c r="LL183" s="33"/>
      <c r="LM183" s="33"/>
      <c r="LN183" s="33"/>
      <c r="LO183" s="33"/>
      <c r="LP183" s="33"/>
      <c r="LQ183" s="33"/>
      <c r="LR183" s="33"/>
      <c r="LS183" s="33"/>
      <c r="LT183" s="33"/>
      <c r="LU183" s="33"/>
      <c r="LV183" s="33"/>
      <c r="LW183" s="33"/>
      <c r="LX183" s="33"/>
      <c r="LY183" s="33"/>
      <c r="LZ183" s="33"/>
      <c r="MA183" s="33"/>
      <c r="MB183" s="33"/>
      <c r="MC183" s="33"/>
      <c r="MD183" s="33"/>
      <c r="ME183" s="33"/>
      <c r="MF183" s="33"/>
      <c r="MG183" s="33"/>
      <c r="MH183" s="33"/>
      <c r="MI183" s="33"/>
      <c r="MJ183" s="33"/>
      <c r="MK183" s="33"/>
      <c r="ML183" s="33"/>
      <c r="MM183" s="33"/>
      <c r="MN183" s="33"/>
      <c r="MO183" s="33"/>
      <c r="MP183" s="33"/>
      <c r="MQ183" s="33"/>
      <c r="MR183" s="33"/>
      <c r="MS183" s="33"/>
      <c r="MT183" s="33"/>
      <c r="MU183" s="33"/>
      <c r="MV183" s="33"/>
      <c r="MW183" s="33"/>
      <c r="MX183" s="33"/>
      <c r="MY183" s="33"/>
      <c r="MZ183" s="33"/>
      <c r="NA183" s="33"/>
      <c r="NB183" s="33"/>
      <c r="NC183" s="33"/>
      <c r="ND183" s="33"/>
      <c r="NE183" s="33"/>
      <c r="NF183" s="33"/>
      <c r="NG183" s="33"/>
      <c r="NH183" s="33"/>
      <c r="NI183" s="33"/>
      <c r="NJ183" s="33"/>
      <c r="NK183" s="33"/>
      <c r="NL183" s="33"/>
      <c r="NM183" s="33"/>
      <c r="NN183" s="33"/>
      <c r="NO183" s="33"/>
      <c r="NP183" s="33"/>
      <c r="NQ183" s="33"/>
      <c r="NR183" s="33"/>
      <c r="NS183" s="33"/>
      <c r="NT183" s="31">
        <f>COUNTIF(F183:NS183,"1")</f>
        <v>0</v>
      </c>
      <c r="NU183" s="80" t="e">
        <f>NT184/NT183</f>
        <v>#DIV/0!</v>
      </c>
      <c r="NV183" s="29">
        <f>+IF(NX183&gt;=1,"1",0)</f>
        <v>0</v>
      </c>
      <c r="NW183" s="38">
        <f t="shared" si="338"/>
        <v>1</v>
      </c>
      <c r="NX183" s="35">
        <f>COUNTIF(F183:AU183,"1")</f>
        <v>0</v>
      </c>
      <c r="NY183" s="80" t="e">
        <f t="shared" ref="NY183" si="350">NX184/NX183</f>
        <v>#DIV/0!</v>
      </c>
      <c r="NZ183" s="29">
        <f>+IF(OB183&gt;=1,"1",0)</f>
        <v>0</v>
      </c>
      <c r="OA183" s="38">
        <f t="shared" si="340"/>
        <v>1</v>
      </c>
      <c r="OB183" s="35">
        <f>COUNTIF(AV183:CK183,"1")</f>
        <v>0</v>
      </c>
      <c r="OC183" s="80" t="e">
        <f>OB184/OB183</f>
        <v>#DIV/0!</v>
      </c>
      <c r="OD183" s="29">
        <f>+IF(OF183&gt;=1,"1",0)</f>
        <v>0</v>
      </c>
      <c r="OE183" s="38">
        <f t="shared" si="341"/>
        <v>1</v>
      </c>
      <c r="OF183" s="35">
        <f>COUNTIF(CL183:EA183,"1")</f>
        <v>0</v>
      </c>
      <c r="OG183" s="80" t="e">
        <f>OF184/OF183</f>
        <v>#DIV/0!</v>
      </c>
      <c r="OH183" s="29">
        <f>+IF(OJ183&gt;=1,"1",0)</f>
        <v>0</v>
      </c>
      <c r="OI183" s="38">
        <f t="shared" si="342"/>
        <v>1</v>
      </c>
      <c r="OJ183" s="35">
        <f>COUNTIF(EB183:FQ183,"1")</f>
        <v>0</v>
      </c>
      <c r="OK183" s="79" t="e">
        <f>OJ184/OJ183</f>
        <v>#DIV/0!</v>
      </c>
      <c r="OL183" s="29">
        <f>+IF(ON183&gt;=1,"1",0)</f>
        <v>0</v>
      </c>
      <c r="OM183" s="38">
        <f t="shared" si="343"/>
        <v>1</v>
      </c>
      <c r="ON183" s="35">
        <f>COUNTIF(FR183:HG183,"1")</f>
        <v>0</v>
      </c>
      <c r="OO183" s="79" t="e">
        <f>ON184/ON183</f>
        <v>#DIV/0!</v>
      </c>
      <c r="OP183" s="29">
        <f>+IF(OR183&gt;=1,"1",0)</f>
        <v>0</v>
      </c>
      <c r="OQ183" s="38">
        <f t="shared" si="344"/>
        <v>1</v>
      </c>
      <c r="OR183" s="35">
        <f>COUNTIF(HH183:IW183,"1")</f>
        <v>0</v>
      </c>
      <c r="OS183" s="79" t="e">
        <f>OR184/OR183</f>
        <v>#DIV/0!</v>
      </c>
      <c r="OT183" s="29">
        <f>+IF(OV183&gt;=1,"1",0)</f>
        <v>0</v>
      </c>
      <c r="OU183" s="38">
        <f t="shared" si="345"/>
        <v>1</v>
      </c>
      <c r="OV183" s="35">
        <f>COUNTIF(IX183:KM183,"1")</f>
        <v>0</v>
      </c>
      <c r="OW183" s="79" t="e">
        <f>OV184/OV183</f>
        <v>#DIV/0!</v>
      </c>
      <c r="OX183" s="29">
        <f>+IF(OZ183&gt;=1,"1",0)</f>
        <v>0</v>
      </c>
      <c r="OY183" s="38">
        <f t="shared" si="346"/>
        <v>1</v>
      </c>
      <c r="OZ183" s="35">
        <f>COUNTIF(KN183:MC183,"1")</f>
        <v>0</v>
      </c>
      <c r="PA183" s="79" t="e">
        <f>OZ184/OZ183</f>
        <v>#DIV/0!</v>
      </c>
      <c r="PB183" s="29">
        <f>+IF(PD183&gt;=1,"1",0)</f>
        <v>0</v>
      </c>
      <c r="PC183" s="38">
        <f t="shared" si="347"/>
        <v>1</v>
      </c>
      <c r="PD183" s="35">
        <f>COUNTIF(MD183:NS183,"1")</f>
        <v>0</v>
      </c>
      <c r="PE183" s="79" t="e">
        <f>PD184/PD183</f>
        <v>#DIV/0!</v>
      </c>
    </row>
    <row r="184" spans="3:421" ht="15.75" customHeight="1" outlineLevel="1" thickBot="1" x14ac:dyDescent="0.3">
      <c r="C184" s="83"/>
      <c r="D184" s="60"/>
      <c r="E184" s="54" t="s">
        <v>9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70"/>
      <c r="Q184" s="34"/>
      <c r="R184" s="34"/>
      <c r="S184" s="34"/>
      <c r="T184" s="34"/>
      <c r="U184" s="34"/>
      <c r="V184" s="34"/>
      <c r="W184" s="70"/>
      <c r="X184" s="34"/>
      <c r="Y184" s="34"/>
      <c r="Z184" s="34"/>
      <c r="AA184" s="34"/>
      <c r="AB184" s="34"/>
      <c r="AC184" s="34"/>
      <c r="AD184" s="34"/>
      <c r="AE184" s="34"/>
      <c r="AF184" s="34">
        <v>1</v>
      </c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  <c r="HB184" s="34"/>
      <c r="HC184" s="34"/>
      <c r="HD184" s="34"/>
      <c r="HE184" s="34"/>
      <c r="HF184" s="34"/>
      <c r="HG184" s="34"/>
      <c r="HH184" s="34"/>
      <c r="HI184" s="34"/>
      <c r="HJ184" s="34"/>
      <c r="HK184" s="34"/>
      <c r="HL184" s="34"/>
      <c r="HM184" s="34"/>
      <c r="HN184" s="34"/>
      <c r="HO184" s="34"/>
      <c r="HP184" s="34"/>
      <c r="HQ184" s="34"/>
      <c r="HR184" s="34"/>
      <c r="HS184" s="34"/>
      <c r="HT184" s="34"/>
      <c r="HU184" s="34"/>
      <c r="HV184" s="34"/>
      <c r="HW184" s="34"/>
      <c r="HX184" s="34"/>
      <c r="HY184" s="34"/>
      <c r="HZ184" s="34"/>
      <c r="IA184" s="34"/>
      <c r="IB184" s="34"/>
      <c r="IC184" s="34"/>
      <c r="ID184" s="34"/>
      <c r="IE184" s="34"/>
      <c r="IF184" s="34"/>
      <c r="IG184" s="34"/>
      <c r="IH184" s="34"/>
      <c r="II184" s="34"/>
      <c r="IJ184" s="34"/>
      <c r="IK184" s="34"/>
      <c r="IL184" s="34"/>
      <c r="IM184" s="34"/>
      <c r="IN184" s="34"/>
      <c r="IO184" s="34"/>
      <c r="IP184" s="34"/>
      <c r="IQ184" s="34"/>
      <c r="IR184" s="34"/>
      <c r="IS184" s="34"/>
      <c r="IT184" s="34"/>
      <c r="IU184" s="34"/>
      <c r="IV184" s="34"/>
      <c r="IW184" s="34"/>
      <c r="IX184" s="34"/>
      <c r="IY184" s="34"/>
      <c r="IZ184" s="34"/>
      <c r="JA184" s="34"/>
      <c r="JB184" s="34"/>
      <c r="JC184" s="34"/>
      <c r="JD184" s="34"/>
      <c r="JE184" s="34"/>
      <c r="JF184" s="34"/>
      <c r="JG184" s="34"/>
      <c r="JH184" s="34"/>
      <c r="JI184" s="34"/>
      <c r="JJ184" s="34"/>
      <c r="JK184" s="34"/>
      <c r="JL184" s="34"/>
      <c r="JM184" s="34"/>
      <c r="JN184" s="34"/>
      <c r="JO184" s="34"/>
      <c r="JP184" s="34"/>
      <c r="JQ184" s="34"/>
      <c r="JR184" s="34"/>
      <c r="JS184" s="34"/>
      <c r="JT184" s="34"/>
      <c r="JU184" s="34"/>
      <c r="JV184" s="34"/>
      <c r="JW184" s="34"/>
      <c r="JX184" s="34"/>
      <c r="JY184" s="34"/>
      <c r="JZ184" s="34"/>
      <c r="KA184" s="34"/>
      <c r="KB184" s="34"/>
      <c r="KC184" s="34"/>
      <c r="KD184" s="34"/>
      <c r="KE184" s="34"/>
      <c r="KF184" s="34"/>
      <c r="KG184" s="34"/>
      <c r="KH184" s="34"/>
      <c r="KI184" s="34"/>
      <c r="KJ184" s="34"/>
      <c r="KK184" s="34"/>
      <c r="KL184" s="34"/>
      <c r="KM184" s="34"/>
      <c r="KN184" s="34"/>
      <c r="KO184" s="34"/>
      <c r="KP184" s="34"/>
      <c r="KQ184" s="34"/>
      <c r="KR184" s="34"/>
      <c r="KS184" s="34"/>
      <c r="KT184" s="34"/>
      <c r="KU184" s="34"/>
      <c r="KV184" s="34"/>
      <c r="KW184" s="34"/>
      <c r="KX184" s="34"/>
      <c r="KY184" s="34"/>
      <c r="KZ184" s="34"/>
      <c r="LA184" s="34"/>
      <c r="LB184" s="34"/>
      <c r="LC184" s="34"/>
      <c r="LD184" s="34"/>
      <c r="LE184" s="34"/>
      <c r="LF184" s="34"/>
      <c r="LG184" s="34"/>
      <c r="LH184" s="34"/>
      <c r="LI184" s="34"/>
      <c r="LJ184" s="34"/>
      <c r="LK184" s="34"/>
      <c r="LL184" s="34"/>
      <c r="LM184" s="34"/>
      <c r="LN184" s="34"/>
      <c r="LO184" s="34"/>
      <c r="LP184" s="34"/>
      <c r="LQ184" s="34"/>
      <c r="LR184" s="34"/>
      <c r="LS184" s="34"/>
      <c r="LT184" s="34"/>
      <c r="LU184" s="34"/>
      <c r="LV184" s="34"/>
      <c r="LW184" s="34"/>
      <c r="LX184" s="34"/>
      <c r="LY184" s="34"/>
      <c r="LZ184" s="34"/>
      <c r="MA184" s="34"/>
      <c r="MB184" s="34"/>
      <c r="MC184" s="34"/>
      <c r="MD184" s="34"/>
      <c r="ME184" s="34"/>
      <c r="MF184" s="34"/>
      <c r="MG184" s="34"/>
      <c r="MH184" s="34"/>
      <c r="MI184" s="34"/>
      <c r="MJ184" s="34"/>
      <c r="MK184" s="34"/>
      <c r="ML184" s="34"/>
      <c r="MM184" s="34"/>
      <c r="MN184" s="34"/>
      <c r="MO184" s="34"/>
      <c r="MP184" s="34"/>
      <c r="MQ184" s="34"/>
      <c r="MR184" s="34"/>
      <c r="MS184" s="34"/>
      <c r="MT184" s="34"/>
      <c r="MU184" s="34"/>
      <c r="MV184" s="34"/>
      <c r="MW184" s="34"/>
      <c r="MX184" s="34"/>
      <c r="MY184" s="34"/>
      <c r="MZ184" s="34"/>
      <c r="NA184" s="34"/>
      <c r="NB184" s="34"/>
      <c r="NC184" s="34"/>
      <c r="ND184" s="34"/>
      <c r="NE184" s="34"/>
      <c r="NF184" s="34"/>
      <c r="NG184" s="34"/>
      <c r="NH184" s="34"/>
      <c r="NI184" s="34"/>
      <c r="NJ184" s="34"/>
      <c r="NK184" s="34"/>
      <c r="NL184" s="34"/>
      <c r="NM184" s="34"/>
      <c r="NN184" s="34"/>
      <c r="NO184" s="34"/>
      <c r="NP184" s="34"/>
      <c r="NQ184" s="34"/>
      <c r="NR184" s="34"/>
      <c r="NS184" s="34"/>
      <c r="NT184" s="7">
        <f>COUNTIF(F184:NS184,"x")</f>
        <v>0</v>
      </c>
      <c r="NU184" s="81"/>
      <c r="NV184" s="32" t="str">
        <f>IF(NX184=0,"0",NX184/NX183)</f>
        <v>0</v>
      </c>
      <c r="NW184" s="37">
        <f t="shared" si="338"/>
        <v>0</v>
      </c>
      <c r="NX184" s="36">
        <f>COUNTIF(F184:AU184,"x")</f>
        <v>0</v>
      </c>
      <c r="NY184" s="81"/>
      <c r="NZ184" s="32" t="str">
        <f>IF(OB184=0,"0",OB184/OB183)</f>
        <v>0</v>
      </c>
      <c r="OA184" s="37">
        <f t="shared" si="340"/>
        <v>0</v>
      </c>
      <c r="OB184" s="36">
        <f>COUNTIF(AV184:CK184,"x")</f>
        <v>0</v>
      </c>
      <c r="OC184" s="81"/>
      <c r="OD184" s="32" t="str">
        <f>IF(OF184=0,"0",OF184/OF183)</f>
        <v>0</v>
      </c>
      <c r="OE184" s="37">
        <f t="shared" si="341"/>
        <v>0</v>
      </c>
      <c r="OF184" s="36">
        <f>COUNTIF(CL184:EA184,"x")</f>
        <v>0</v>
      </c>
      <c r="OG184" s="81"/>
      <c r="OH184" s="32" t="str">
        <f>IF(OJ184=0,"0",OJ184/OJ183)</f>
        <v>0</v>
      </c>
      <c r="OI184" s="37">
        <f t="shared" si="342"/>
        <v>0</v>
      </c>
      <c r="OJ184" s="36">
        <f>COUNTIF(EB184:FQ184,"x")</f>
        <v>0</v>
      </c>
      <c r="OK184" s="74"/>
      <c r="OL184" s="32" t="str">
        <f>IF(ON184=0,"0",ON184/ON183)</f>
        <v>0</v>
      </c>
      <c r="OM184" s="37">
        <f t="shared" si="343"/>
        <v>0</v>
      </c>
      <c r="ON184" s="36">
        <f>COUNTIF(FR184:HG184,"x")</f>
        <v>0</v>
      </c>
      <c r="OO184" s="74"/>
      <c r="OP184" s="32" t="str">
        <f>IF(OR184=0,"0",OR184/OR183)</f>
        <v>0</v>
      </c>
      <c r="OQ184" s="37">
        <f t="shared" si="344"/>
        <v>0</v>
      </c>
      <c r="OR184" s="36">
        <f>COUNTIF(HH184:IW184,"x")</f>
        <v>0</v>
      </c>
      <c r="OS184" s="74"/>
      <c r="OT184" s="32" t="str">
        <f>IF(OV184=0,"0",OV184/OV183)</f>
        <v>0</v>
      </c>
      <c r="OU184" s="37">
        <f t="shared" si="345"/>
        <v>0</v>
      </c>
      <c r="OV184" s="36">
        <f>COUNTIF(IX184:KM184,"x")</f>
        <v>0</v>
      </c>
      <c r="OW184" s="74"/>
      <c r="OX184" s="32" t="str">
        <f>IF(OZ184=0,"0",OZ184/OZ183)</f>
        <v>0</v>
      </c>
      <c r="OY184" s="37">
        <f t="shared" si="346"/>
        <v>0</v>
      </c>
      <c r="OZ184" s="36">
        <f>COUNTIF(KN184:MC184,"x")</f>
        <v>0</v>
      </c>
      <c r="PA184" s="74"/>
      <c r="PB184" s="32" t="str">
        <f>IF(PD184=0,"0",PD184/PD183)</f>
        <v>0</v>
      </c>
      <c r="PC184" s="37">
        <f t="shared" si="347"/>
        <v>0</v>
      </c>
      <c r="PD184" s="36">
        <f>COUNTIF(MD184:NS184,"x")</f>
        <v>0</v>
      </c>
      <c r="PE184" s="74"/>
    </row>
    <row r="185" spans="3:421" ht="15.75" customHeight="1" outlineLevel="1" x14ac:dyDescent="0.25">
      <c r="C185" s="82" t="s">
        <v>76</v>
      </c>
      <c r="D185" s="59"/>
      <c r="E185" s="53" t="s">
        <v>8</v>
      </c>
      <c r="F185" s="33"/>
      <c r="G185" s="33"/>
      <c r="H185" s="33"/>
      <c r="I185" s="33"/>
      <c r="J185" s="33">
        <v>1</v>
      </c>
      <c r="K185" s="33"/>
      <c r="L185" s="33"/>
      <c r="M185" s="33"/>
      <c r="N185" s="33"/>
      <c r="O185" s="33"/>
      <c r="P185" s="69"/>
      <c r="Q185" s="33"/>
      <c r="R185" s="33"/>
      <c r="S185" s="33"/>
      <c r="T185" s="33"/>
      <c r="U185" s="33"/>
      <c r="V185" s="33"/>
      <c r="W185" s="69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  <c r="HI185" s="33"/>
      <c r="HJ185" s="33"/>
      <c r="HK185" s="33"/>
      <c r="HL185" s="33"/>
      <c r="HM185" s="33"/>
      <c r="HN185" s="33"/>
      <c r="HO185" s="33"/>
      <c r="HP185" s="33"/>
      <c r="HQ185" s="33"/>
      <c r="HR185" s="33"/>
      <c r="HS185" s="33"/>
      <c r="HT185" s="33"/>
      <c r="HU185" s="33"/>
      <c r="HV185" s="33"/>
      <c r="HW185" s="33"/>
      <c r="HX185" s="33"/>
      <c r="HY185" s="33"/>
      <c r="HZ185" s="33"/>
      <c r="IA185" s="33"/>
      <c r="IB185" s="33"/>
      <c r="IC185" s="33"/>
      <c r="ID185" s="33"/>
      <c r="IE185" s="33"/>
      <c r="IF185" s="33"/>
      <c r="IG185" s="33"/>
      <c r="IH185" s="33"/>
      <c r="II185" s="33"/>
      <c r="IJ185" s="33"/>
      <c r="IK185" s="33"/>
      <c r="IL185" s="33"/>
      <c r="IM185" s="33"/>
      <c r="IN185" s="33"/>
      <c r="IO185" s="33"/>
      <c r="IP185" s="33"/>
      <c r="IQ185" s="33"/>
      <c r="IR185" s="33"/>
      <c r="IS185" s="33"/>
      <c r="IT185" s="33"/>
      <c r="IU185" s="33"/>
      <c r="IV185" s="33"/>
      <c r="IW185" s="33"/>
      <c r="IX185" s="33"/>
      <c r="IY185" s="33"/>
      <c r="IZ185" s="33"/>
      <c r="JA185" s="33"/>
      <c r="JB185" s="33"/>
      <c r="JC185" s="33"/>
      <c r="JD185" s="33"/>
      <c r="JE185" s="33"/>
      <c r="JF185" s="33"/>
      <c r="JG185" s="33"/>
      <c r="JH185" s="33"/>
      <c r="JI185" s="33"/>
      <c r="JJ185" s="33"/>
      <c r="JK185" s="33"/>
      <c r="JL185" s="33"/>
      <c r="JM185" s="33"/>
      <c r="JN185" s="33"/>
      <c r="JO185" s="33"/>
      <c r="JP185" s="33"/>
      <c r="JQ185" s="33"/>
      <c r="JR185" s="33"/>
      <c r="JS185" s="33"/>
      <c r="JT185" s="33"/>
      <c r="JU185" s="33"/>
      <c r="JV185" s="33"/>
      <c r="JW185" s="33"/>
      <c r="JX185" s="33"/>
      <c r="JY185" s="33"/>
      <c r="JZ185" s="33"/>
      <c r="KA185" s="33"/>
      <c r="KB185" s="33"/>
      <c r="KC185" s="33"/>
      <c r="KD185" s="33"/>
      <c r="KE185" s="33"/>
      <c r="KF185" s="33"/>
      <c r="KG185" s="33"/>
      <c r="KH185" s="33"/>
      <c r="KI185" s="33"/>
      <c r="KJ185" s="33"/>
      <c r="KK185" s="33"/>
      <c r="KL185" s="33"/>
      <c r="KM185" s="33"/>
      <c r="KN185" s="33"/>
      <c r="KO185" s="33"/>
      <c r="KP185" s="33"/>
      <c r="KQ185" s="33"/>
      <c r="KR185" s="33"/>
      <c r="KS185" s="33"/>
      <c r="KT185" s="33"/>
      <c r="KU185" s="33"/>
      <c r="KV185" s="33"/>
      <c r="KW185" s="33"/>
      <c r="KX185" s="33"/>
      <c r="KY185" s="33"/>
      <c r="KZ185" s="33"/>
      <c r="LA185" s="33"/>
      <c r="LB185" s="33"/>
      <c r="LC185" s="33"/>
      <c r="LD185" s="33"/>
      <c r="LE185" s="33"/>
      <c r="LF185" s="33"/>
      <c r="LG185" s="33"/>
      <c r="LH185" s="33"/>
      <c r="LI185" s="33"/>
      <c r="LJ185" s="33"/>
      <c r="LK185" s="33"/>
      <c r="LL185" s="33"/>
      <c r="LM185" s="33"/>
      <c r="LN185" s="33"/>
      <c r="LO185" s="33"/>
      <c r="LP185" s="33"/>
      <c r="LQ185" s="33"/>
      <c r="LR185" s="33"/>
      <c r="LS185" s="33"/>
      <c r="LT185" s="33"/>
      <c r="LU185" s="33"/>
      <c r="LV185" s="33"/>
      <c r="LW185" s="33"/>
      <c r="LX185" s="33"/>
      <c r="LY185" s="33"/>
      <c r="LZ185" s="33"/>
      <c r="MA185" s="33"/>
      <c r="MB185" s="33"/>
      <c r="MC185" s="33"/>
      <c r="MD185" s="33"/>
      <c r="ME185" s="33"/>
      <c r="MF185" s="33"/>
      <c r="MG185" s="33"/>
      <c r="MH185" s="33"/>
      <c r="MI185" s="33"/>
      <c r="MJ185" s="33"/>
      <c r="MK185" s="33"/>
      <c r="ML185" s="33"/>
      <c r="MM185" s="33"/>
      <c r="MN185" s="33"/>
      <c r="MO185" s="33"/>
      <c r="MP185" s="33"/>
      <c r="MQ185" s="33"/>
      <c r="MR185" s="33"/>
      <c r="MS185" s="33"/>
      <c r="MT185" s="33"/>
      <c r="MU185" s="33"/>
      <c r="MV185" s="33"/>
      <c r="MW185" s="33"/>
      <c r="MX185" s="33"/>
      <c r="MY185" s="33"/>
      <c r="MZ185" s="33"/>
      <c r="NA185" s="33"/>
      <c r="NB185" s="33"/>
      <c r="NC185" s="33"/>
      <c r="ND185" s="33"/>
      <c r="NE185" s="33"/>
      <c r="NF185" s="33"/>
      <c r="NG185" s="33"/>
      <c r="NH185" s="33"/>
      <c r="NI185" s="33"/>
      <c r="NJ185" s="33"/>
      <c r="NK185" s="33"/>
      <c r="NL185" s="33"/>
      <c r="NM185" s="33"/>
      <c r="NN185" s="33"/>
      <c r="NO185" s="33"/>
      <c r="NP185" s="33"/>
      <c r="NQ185" s="33"/>
      <c r="NR185" s="33"/>
      <c r="NS185" s="33"/>
      <c r="NT185" s="31">
        <f>COUNTIF(F185:NS185,"1")</f>
        <v>1</v>
      </c>
      <c r="NU185" s="80">
        <f>NT186/NT185</f>
        <v>1</v>
      </c>
      <c r="NV185" s="29" t="str">
        <f>+IF(NX185&gt;=1,"1",0)</f>
        <v>1</v>
      </c>
      <c r="NW185" s="38">
        <f t="shared" si="338"/>
        <v>1</v>
      </c>
      <c r="NX185" s="35">
        <f>COUNTIF(F185:AU185,"1")</f>
        <v>1</v>
      </c>
      <c r="NY185" s="80">
        <f t="shared" ref="NY185" si="351">NX186/NX185</f>
        <v>1</v>
      </c>
      <c r="NZ185" s="29">
        <f>+IF(OB185&gt;=1,"1",0)</f>
        <v>0</v>
      </c>
      <c r="OA185" s="38">
        <f t="shared" si="340"/>
        <v>1</v>
      </c>
      <c r="OB185" s="35">
        <f>COUNTIF(AV185:CK185,"1")</f>
        <v>0</v>
      </c>
      <c r="OC185" s="80" t="e">
        <f>OB186/OB185</f>
        <v>#DIV/0!</v>
      </c>
      <c r="OD185" s="29">
        <f>+IF(OF185&gt;=1,"1",0)</f>
        <v>0</v>
      </c>
      <c r="OE185" s="38">
        <f t="shared" si="341"/>
        <v>1</v>
      </c>
      <c r="OF185" s="35">
        <f>COUNTIF(CL185:EA185,"1")</f>
        <v>0</v>
      </c>
      <c r="OG185" s="80" t="e">
        <f>OF186/OF185</f>
        <v>#DIV/0!</v>
      </c>
      <c r="OH185" s="29">
        <f>+IF(OJ185&gt;=1,"1",0)</f>
        <v>0</v>
      </c>
      <c r="OI185" s="38">
        <f t="shared" si="342"/>
        <v>1</v>
      </c>
      <c r="OJ185" s="35">
        <f>COUNTIF(EB185:FQ185,"1")</f>
        <v>0</v>
      </c>
      <c r="OK185" s="79" t="e">
        <f>OJ186/OJ185</f>
        <v>#DIV/0!</v>
      </c>
      <c r="OL185" s="29">
        <f>+IF(ON185&gt;=1,"1",0)</f>
        <v>0</v>
      </c>
      <c r="OM185" s="38">
        <f t="shared" si="343"/>
        <v>1</v>
      </c>
      <c r="ON185" s="35">
        <f>COUNTIF(FR185:HG185,"1")</f>
        <v>0</v>
      </c>
      <c r="OO185" s="79" t="e">
        <f>ON186/ON185</f>
        <v>#DIV/0!</v>
      </c>
      <c r="OP185" s="29">
        <f>+IF(OR185&gt;=1,"1",0)</f>
        <v>0</v>
      </c>
      <c r="OQ185" s="38">
        <f t="shared" si="344"/>
        <v>1</v>
      </c>
      <c r="OR185" s="35">
        <f>COUNTIF(HH185:IW185,"1")</f>
        <v>0</v>
      </c>
      <c r="OS185" s="79" t="e">
        <f>OR186/OR185</f>
        <v>#DIV/0!</v>
      </c>
      <c r="OT185" s="29">
        <f>+IF(OV185&gt;=1,"1",0)</f>
        <v>0</v>
      </c>
      <c r="OU185" s="38">
        <f t="shared" si="345"/>
        <v>1</v>
      </c>
      <c r="OV185" s="35">
        <f>COUNTIF(IX185:KM185,"1")</f>
        <v>0</v>
      </c>
      <c r="OW185" s="79" t="e">
        <f>OV186/OV185</f>
        <v>#DIV/0!</v>
      </c>
      <c r="OX185" s="29">
        <f>+IF(OZ185&gt;=1,"1",0)</f>
        <v>0</v>
      </c>
      <c r="OY185" s="38">
        <f t="shared" si="346"/>
        <v>1</v>
      </c>
      <c r="OZ185" s="35">
        <f>COUNTIF(KN185:MC185,"1")</f>
        <v>0</v>
      </c>
      <c r="PA185" s="79" t="e">
        <f>OZ186/OZ185</f>
        <v>#DIV/0!</v>
      </c>
      <c r="PB185" s="29">
        <f>+IF(PD185&gt;=1,"1",0)</f>
        <v>0</v>
      </c>
      <c r="PC185" s="38">
        <f t="shared" si="347"/>
        <v>1</v>
      </c>
      <c r="PD185" s="35">
        <f>COUNTIF(MD185:NS185,"1")</f>
        <v>0</v>
      </c>
      <c r="PE185" s="79" t="e">
        <f>PD186/PD185</f>
        <v>#DIV/0!</v>
      </c>
    </row>
    <row r="186" spans="3:421" ht="15.75" customHeight="1" outlineLevel="1" thickBot="1" x14ac:dyDescent="0.3">
      <c r="C186" s="83"/>
      <c r="D186" s="60"/>
      <c r="E186" s="54" t="s">
        <v>9</v>
      </c>
      <c r="F186" s="34"/>
      <c r="G186" s="34"/>
      <c r="H186" s="34"/>
      <c r="I186" s="34"/>
      <c r="J186" s="34" t="s">
        <v>75</v>
      </c>
      <c r="K186" s="34"/>
      <c r="L186" s="34"/>
      <c r="M186" s="34"/>
      <c r="N186" s="34"/>
      <c r="O186" s="34"/>
      <c r="P186" s="70"/>
      <c r="Q186" s="34"/>
      <c r="R186" s="34"/>
      <c r="S186" s="34"/>
      <c r="T186" s="34"/>
      <c r="U186" s="34"/>
      <c r="V186" s="34"/>
      <c r="W186" s="70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  <c r="HB186" s="34"/>
      <c r="HC186" s="34"/>
      <c r="HD186" s="34"/>
      <c r="HE186" s="34"/>
      <c r="HF186" s="34"/>
      <c r="HG186" s="34"/>
      <c r="HH186" s="34"/>
      <c r="HI186" s="34"/>
      <c r="HJ186" s="34"/>
      <c r="HK186" s="34"/>
      <c r="HL186" s="34"/>
      <c r="HM186" s="34"/>
      <c r="HN186" s="34"/>
      <c r="HO186" s="34"/>
      <c r="HP186" s="34"/>
      <c r="HQ186" s="34"/>
      <c r="HR186" s="34"/>
      <c r="HS186" s="34"/>
      <c r="HT186" s="34"/>
      <c r="HU186" s="34"/>
      <c r="HV186" s="34"/>
      <c r="HW186" s="34"/>
      <c r="HX186" s="34"/>
      <c r="HY186" s="34"/>
      <c r="HZ186" s="34"/>
      <c r="IA186" s="34"/>
      <c r="IB186" s="34"/>
      <c r="IC186" s="34"/>
      <c r="ID186" s="34"/>
      <c r="IE186" s="34"/>
      <c r="IF186" s="34"/>
      <c r="IG186" s="34"/>
      <c r="IH186" s="34"/>
      <c r="II186" s="34"/>
      <c r="IJ186" s="34"/>
      <c r="IK186" s="34"/>
      <c r="IL186" s="34"/>
      <c r="IM186" s="34"/>
      <c r="IN186" s="34"/>
      <c r="IO186" s="34"/>
      <c r="IP186" s="34"/>
      <c r="IQ186" s="34"/>
      <c r="IR186" s="34"/>
      <c r="IS186" s="34"/>
      <c r="IT186" s="34"/>
      <c r="IU186" s="34"/>
      <c r="IV186" s="34"/>
      <c r="IW186" s="34"/>
      <c r="IX186" s="34"/>
      <c r="IY186" s="34"/>
      <c r="IZ186" s="34"/>
      <c r="JA186" s="34"/>
      <c r="JB186" s="34"/>
      <c r="JC186" s="34"/>
      <c r="JD186" s="34"/>
      <c r="JE186" s="34"/>
      <c r="JF186" s="34"/>
      <c r="JG186" s="34"/>
      <c r="JH186" s="34"/>
      <c r="JI186" s="34"/>
      <c r="JJ186" s="34"/>
      <c r="JK186" s="34"/>
      <c r="JL186" s="34"/>
      <c r="JM186" s="34"/>
      <c r="JN186" s="34"/>
      <c r="JO186" s="34"/>
      <c r="JP186" s="34"/>
      <c r="JQ186" s="34"/>
      <c r="JR186" s="34"/>
      <c r="JS186" s="34"/>
      <c r="JT186" s="34"/>
      <c r="JU186" s="34"/>
      <c r="JV186" s="34"/>
      <c r="JW186" s="34"/>
      <c r="JX186" s="34"/>
      <c r="JY186" s="34"/>
      <c r="JZ186" s="34"/>
      <c r="KA186" s="34"/>
      <c r="KB186" s="34"/>
      <c r="KC186" s="34"/>
      <c r="KD186" s="34"/>
      <c r="KE186" s="34"/>
      <c r="KF186" s="34"/>
      <c r="KG186" s="34"/>
      <c r="KH186" s="34"/>
      <c r="KI186" s="34"/>
      <c r="KJ186" s="34"/>
      <c r="KK186" s="34"/>
      <c r="KL186" s="34"/>
      <c r="KM186" s="34"/>
      <c r="KN186" s="34"/>
      <c r="KO186" s="34"/>
      <c r="KP186" s="34"/>
      <c r="KQ186" s="34"/>
      <c r="KR186" s="34"/>
      <c r="KS186" s="34"/>
      <c r="KT186" s="34"/>
      <c r="KU186" s="34"/>
      <c r="KV186" s="34"/>
      <c r="KW186" s="34"/>
      <c r="KX186" s="34"/>
      <c r="KY186" s="34"/>
      <c r="KZ186" s="34"/>
      <c r="LA186" s="34"/>
      <c r="LB186" s="34"/>
      <c r="LC186" s="34"/>
      <c r="LD186" s="34"/>
      <c r="LE186" s="34"/>
      <c r="LF186" s="34"/>
      <c r="LG186" s="34"/>
      <c r="LH186" s="34"/>
      <c r="LI186" s="34"/>
      <c r="LJ186" s="34"/>
      <c r="LK186" s="34"/>
      <c r="LL186" s="34"/>
      <c r="LM186" s="34"/>
      <c r="LN186" s="34"/>
      <c r="LO186" s="34"/>
      <c r="LP186" s="34"/>
      <c r="LQ186" s="34"/>
      <c r="LR186" s="34"/>
      <c r="LS186" s="34"/>
      <c r="LT186" s="34"/>
      <c r="LU186" s="34"/>
      <c r="LV186" s="34"/>
      <c r="LW186" s="34"/>
      <c r="LX186" s="34"/>
      <c r="LY186" s="34"/>
      <c r="LZ186" s="34"/>
      <c r="MA186" s="34"/>
      <c r="MB186" s="34"/>
      <c r="MC186" s="34"/>
      <c r="MD186" s="34"/>
      <c r="ME186" s="34"/>
      <c r="MF186" s="34"/>
      <c r="MG186" s="34"/>
      <c r="MH186" s="34"/>
      <c r="MI186" s="34"/>
      <c r="MJ186" s="34"/>
      <c r="MK186" s="34"/>
      <c r="ML186" s="34"/>
      <c r="MM186" s="34"/>
      <c r="MN186" s="34"/>
      <c r="MO186" s="34"/>
      <c r="MP186" s="34"/>
      <c r="MQ186" s="34"/>
      <c r="MR186" s="34"/>
      <c r="MS186" s="34"/>
      <c r="MT186" s="34"/>
      <c r="MU186" s="34"/>
      <c r="MV186" s="34"/>
      <c r="MW186" s="34"/>
      <c r="MX186" s="34"/>
      <c r="MY186" s="34"/>
      <c r="MZ186" s="34"/>
      <c r="NA186" s="34"/>
      <c r="NB186" s="34"/>
      <c r="NC186" s="34"/>
      <c r="ND186" s="34"/>
      <c r="NE186" s="34"/>
      <c r="NF186" s="34"/>
      <c r="NG186" s="34"/>
      <c r="NH186" s="34"/>
      <c r="NI186" s="34"/>
      <c r="NJ186" s="34"/>
      <c r="NK186" s="34"/>
      <c r="NL186" s="34"/>
      <c r="NM186" s="34"/>
      <c r="NN186" s="34"/>
      <c r="NO186" s="34"/>
      <c r="NP186" s="34"/>
      <c r="NQ186" s="34"/>
      <c r="NR186" s="34"/>
      <c r="NS186" s="34"/>
      <c r="NT186" s="7">
        <f>COUNTIF(F186:NS186,"x")</f>
        <v>1</v>
      </c>
      <c r="NU186" s="81"/>
      <c r="NV186" s="32">
        <f>IF(NX186=0,"0",NX186/NX185)</f>
        <v>1</v>
      </c>
      <c r="NW186" s="37">
        <f t="shared" si="338"/>
        <v>0</v>
      </c>
      <c r="NX186" s="36">
        <f>COUNTIF(F186:AU186,"x")</f>
        <v>1</v>
      </c>
      <c r="NY186" s="81"/>
      <c r="NZ186" s="32" t="str">
        <f>IF(OB186=0,"0",OB186/OB185)</f>
        <v>0</v>
      </c>
      <c r="OA186" s="37">
        <f t="shared" si="340"/>
        <v>0</v>
      </c>
      <c r="OB186" s="36">
        <f>COUNTIF(AV186:CK186,"x")</f>
        <v>0</v>
      </c>
      <c r="OC186" s="81"/>
      <c r="OD186" s="32" t="str">
        <f>IF(OF186=0,"0",OF186/OF185)</f>
        <v>0</v>
      </c>
      <c r="OE186" s="37">
        <f t="shared" si="341"/>
        <v>0</v>
      </c>
      <c r="OF186" s="36">
        <f>COUNTIF(CL186:EA186,"x")</f>
        <v>0</v>
      </c>
      <c r="OG186" s="81"/>
      <c r="OH186" s="32" t="str">
        <f>IF(OJ186=0,"0",OJ186/OJ185)</f>
        <v>0</v>
      </c>
      <c r="OI186" s="37">
        <f t="shared" si="342"/>
        <v>0</v>
      </c>
      <c r="OJ186" s="36">
        <f>COUNTIF(EB186:FQ186,"x")</f>
        <v>0</v>
      </c>
      <c r="OK186" s="74"/>
      <c r="OL186" s="32" t="str">
        <f>IF(ON186=0,"0",ON186/ON185)</f>
        <v>0</v>
      </c>
      <c r="OM186" s="37">
        <f t="shared" si="343"/>
        <v>0</v>
      </c>
      <c r="ON186" s="36">
        <f>COUNTIF(FR186:HG186,"x")</f>
        <v>0</v>
      </c>
      <c r="OO186" s="74"/>
      <c r="OP186" s="32" t="str">
        <f>IF(OR186=0,"0",OR186/OR185)</f>
        <v>0</v>
      </c>
      <c r="OQ186" s="37">
        <f t="shared" si="344"/>
        <v>0</v>
      </c>
      <c r="OR186" s="36">
        <f>COUNTIF(HH186:IW186,"x")</f>
        <v>0</v>
      </c>
      <c r="OS186" s="74"/>
      <c r="OT186" s="32" t="str">
        <f>IF(OV186=0,"0",OV186/OV185)</f>
        <v>0</v>
      </c>
      <c r="OU186" s="37">
        <f t="shared" si="345"/>
        <v>0</v>
      </c>
      <c r="OV186" s="36">
        <f>COUNTIF(IX186:KM186,"x")</f>
        <v>0</v>
      </c>
      <c r="OW186" s="74"/>
      <c r="OX186" s="32" t="str">
        <f>IF(OZ186=0,"0",OZ186/OZ185)</f>
        <v>0</v>
      </c>
      <c r="OY186" s="37">
        <f t="shared" si="346"/>
        <v>0</v>
      </c>
      <c r="OZ186" s="36">
        <f>COUNTIF(KN186:MC186,"x")</f>
        <v>0</v>
      </c>
      <c r="PA186" s="74"/>
      <c r="PB186" s="32" t="str">
        <f>IF(PD186=0,"0",PD186/PD185)</f>
        <v>0</v>
      </c>
      <c r="PC186" s="37">
        <f t="shared" si="347"/>
        <v>0</v>
      </c>
      <c r="PD186" s="36">
        <f>COUNTIF(MD186:NS186,"x")</f>
        <v>0</v>
      </c>
      <c r="PE186" s="74"/>
    </row>
    <row r="187" spans="3:421" ht="15.75" customHeight="1" outlineLevel="1" x14ac:dyDescent="0.25">
      <c r="C187" s="82" t="s">
        <v>86</v>
      </c>
      <c r="D187" s="59"/>
      <c r="E187" s="53" t="s">
        <v>8</v>
      </c>
      <c r="F187" s="33"/>
      <c r="G187" s="33"/>
      <c r="H187" s="33"/>
      <c r="I187" s="33"/>
      <c r="J187" s="33">
        <v>1</v>
      </c>
      <c r="K187" s="33"/>
      <c r="L187" s="33"/>
      <c r="M187" s="33"/>
      <c r="N187" s="33"/>
      <c r="O187" s="33"/>
      <c r="P187" s="69"/>
      <c r="Q187" s="33"/>
      <c r="R187" s="33"/>
      <c r="S187" s="33"/>
      <c r="T187" s="33"/>
      <c r="U187" s="33"/>
      <c r="V187" s="33"/>
      <c r="W187" s="69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  <c r="HI187" s="33"/>
      <c r="HJ187" s="33"/>
      <c r="HK187" s="33"/>
      <c r="HL187" s="33"/>
      <c r="HM187" s="33"/>
      <c r="HN187" s="33"/>
      <c r="HO187" s="33"/>
      <c r="HP187" s="33"/>
      <c r="HQ187" s="33"/>
      <c r="HR187" s="33"/>
      <c r="HS187" s="33"/>
      <c r="HT187" s="33"/>
      <c r="HU187" s="33"/>
      <c r="HV187" s="33"/>
      <c r="HW187" s="33"/>
      <c r="HX187" s="33"/>
      <c r="HY187" s="33"/>
      <c r="HZ187" s="33"/>
      <c r="IA187" s="33"/>
      <c r="IB187" s="33"/>
      <c r="IC187" s="33"/>
      <c r="ID187" s="33"/>
      <c r="IE187" s="33"/>
      <c r="IF187" s="33"/>
      <c r="IG187" s="33"/>
      <c r="IH187" s="33"/>
      <c r="II187" s="33"/>
      <c r="IJ187" s="33"/>
      <c r="IK187" s="33"/>
      <c r="IL187" s="33"/>
      <c r="IM187" s="33"/>
      <c r="IN187" s="33"/>
      <c r="IO187" s="33"/>
      <c r="IP187" s="33"/>
      <c r="IQ187" s="33"/>
      <c r="IR187" s="33"/>
      <c r="IS187" s="33"/>
      <c r="IT187" s="33"/>
      <c r="IU187" s="33"/>
      <c r="IV187" s="33"/>
      <c r="IW187" s="33"/>
      <c r="IX187" s="33"/>
      <c r="IY187" s="33"/>
      <c r="IZ187" s="33"/>
      <c r="JA187" s="33"/>
      <c r="JB187" s="33"/>
      <c r="JC187" s="33"/>
      <c r="JD187" s="33"/>
      <c r="JE187" s="33"/>
      <c r="JF187" s="33"/>
      <c r="JG187" s="33"/>
      <c r="JH187" s="33"/>
      <c r="JI187" s="33"/>
      <c r="JJ187" s="33"/>
      <c r="JK187" s="33"/>
      <c r="JL187" s="33"/>
      <c r="JM187" s="33"/>
      <c r="JN187" s="33"/>
      <c r="JO187" s="33"/>
      <c r="JP187" s="33"/>
      <c r="JQ187" s="33"/>
      <c r="JR187" s="33"/>
      <c r="JS187" s="33"/>
      <c r="JT187" s="33"/>
      <c r="JU187" s="33"/>
      <c r="JV187" s="33"/>
      <c r="JW187" s="33"/>
      <c r="JX187" s="33"/>
      <c r="JY187" s="33"/>
      <c r="JZ187" s="33"/>
      <c r="KA187" s="33"/>
      <c r="KB187" s="33"/>
      <c r="KC187" s="33"/>
      <c r="KD187" s="33"/>
      <c r="KE187" s="33"/>
      <c r="KF187" s="33"/>
      <c r="KG187" s="33"/>
      <c r="KH187" s="33"/>
      <c r="KI187" s="33"/>
      <c r="KJ187" s="33"/>
      <c r="KK187" s="33"/>
      <c r="KL187" s="33"/>
      <c r="KM187" s="33"/>
      <c r="KN187" s="33"/>
      <c r="KO187" s="33"/>
      <c r="KP187" s="33"/>
      <c r="KQ187" s="33"/>
      <c r="KR187" s="33"/>
      <c r="KS187" s="33"/>
      <c r="KT187" s="33"/>
      <c r="KU187" s="33"/>
      <c r="KV187" s="33"/>
      <c r="KW187" s="33"/>
      <c r="KX187" s="33"/>
      <c r="KY187" s="33"/>
      <c r="KZ187" s="33"/>
      <c r="LA187" s="33"/>
      <c r="LB187" s="33"/>
      <c r="LC187" s="33"/>
      <c r="LD187" s="33"/>
      <c r="LE187" s="33"/>
      <c r="LF187" s="33"/>
      <c r="LG187" s="33"/>
      <c r="LH187" s="33"/>
      <c r="LI187" s="33"/>
      <c r="LJ187" s="33"/>
      <c r="LK187" s="33"/>
      <c r="LL187" s="33"/>
      <c r="LM187" s="33"/>
      <c r="LN187" s="33"/>
      <c r="LO187" s="33"/>
      <c r="LP187" s="33"/>
      <c r="LQ187" s="33"/>
      <c r="LR187" s="33"/>
      <c r="LS187" s="33"/>
      <c r="LT187" s="33"/>
      <c r="LU187" s="33"/>
      <c r="LV187" s="33"/>
      <c r="LW187" s="33"/>
      <c r="LX187" s="33"/>
      <c r="LY187" s="33"/>
      <c r="LZ187" s="33"/>
      <c r="MA187" s="33"/>
      <c r="MB187" s="33"/>
      <c r="MC187" s="33"/>
      <c r="MD187" s="33"/>
      <c r="ME187" s="33"/>
      <c r="MF187" s="33"/>
      <c r="MG187" s="33"/>
      <c r="MH187" s="33"/>
      <c r="MI187" s="33"/>
      <c r="MJ187" s="33"/>
      <c r="MK187" s="33"/>
      <c r="ML187" s="33"/>
      <c r="MM187" s="33"/>
      <c r="MN187" s="33"/>
      <c r="MO187" s="33"/>
      <c r="MP187" s="33"/>
      <c r="MQ187" s="33"/>
      <c r="MR187" s="33"/>
      <c r="MS187" s="33"/>
      <c r="MT187" s="33"/>
      <c r="MU187" s="33"/>
      <c r="MV187" s="33"/>
      <c r="MW187" s="33"/>
      <c r="MX187" s="33"/>
      <c r="MY187" s="33"/>
      <c r="MZ187" s="33"/>
      <c r="NA187" s="33"/>
      <c r="NB187" s="33"/>
      <c r="NC187" s="33"/>
      <c r="ND187" s="33"/>
      <c r="NE187" s="33"/>
      <c r="NF187" s="33"/>
      <c r="NG187" s="33"/>
      <c r="NH187" s="33"/>
      <c r="NI187" s="33"/>
      <c r="NJ187" s="33"/>
      <c r="NK187" s="33"/>
      <c r="NL187" s="33"/>
      <c r="NM187" s="33"/>
      <c r="NN187" s="33"/>
      <c r="NO187" s="33"/>
      <c r="NP187" s="33"/>
      <c r="NQ187" s="33"/>
      <c r="NR187" s="33"/>
      <c r="NS187" s="33"/>
      <c r="NT187" s="31">
        <f>COUNTIF(F187:NS187,"1")</f>
        <v>1</v>
      </c>
      <c r="NU187" s="80">
        <f>NT188/NT187</f>
        <v>1</v>
      </c>
      <c r="NV187" s="29" t="str">
        <f>+IF(NX187&gt;=1,"1",0)</f>
        <v>1</v>
      </c>
      <c r="NW187" s="38">
        <f t="shared" si="338"/>
        <v>1</v>
      </c>
      <c r="NX187" s="35">
        <f>COUNTIF(F187:AU187,"1")</f>
        <v>1</v>
      </c>
      <c r="NY187" s="80">
        <f t="shared" ref="NY187" si="352">NX188/NX187</f>
        <v>1</v>
      </c>
      <c r="NZ187" s="29">
        <f>+IF(OB187&gt;=1,"1",0)</f>
        <v>0</v>
      </c>
      <c r="OA187" s="38">
        <f t="shared" si="340"/>
        <v>1</v>
      </c>
      <c r="OB187" s="35">
        <f>COUNTIF(AV187:CK187,"1")</f>
        <v>0</v>
      </c>
      <c r="OC187" s="80" t="e">
        <f>OB188/OB187</f>
        <v>#DIV/0!</v>
      </c>
      <c r="OD187" s="29">
        <f>+IF(OF187&gt;=1,"1",0)</f>
        <v>0</v>
      </c>
      <c r="OE187" s="38">
        <f t="shared" si="341"/>
        <v>1</v>
      </c>
      <c r="OF187" s="35">
        <f>COUNTIF(CL187:EA187,"1")</f>
        <v>0</v>
      </c>
      <c r="OG187" s="80" t="e">
        <f>OF188/OF187</f>
        <v>#DIV/0!</v>
      </c>
      <c r="OH187" s="29">
        <f>+IF(OJ187&gt;=1,"1",0)</f>
        <v>0</v>
      </c>
      <c r="OI187" s="38">
        <f t="shared" si="342"/>
        <v>1</v>
      </c>
      <c r="OJ187" s="35">
        <f>COUNTIF(EB187:FQ187,"1")</f>
        <v>0</v>
      </c>
      <c r="OK187" s="79" t="e">
        <f>OJ188/OJ187</f>
        <v>#DIV/0!</v>
      </c>
      <c r="OL187" s="29">
        <f>+IF(ON187&gt;=1,"1",0)</f>
        <v>0</v>
      </c>
      <c r="OM187" s="38">
        <f t="shared" si="343"/>
        <v>1</v>
      </c>
      <c r="ON187" s="35">
        <f>COUNTIF(FR187:HG187,"1")</f>
        <v>0</v>
      </c>
      <c r="OO187" s="79" t="e">
        <f>ON188/ON187</f>
        <v>#DIV/0!</v>
      </c>
      <c r="OP187" s="29">
        <f>+IF(OR187&gt;=1,"1",0)</f>
        <v>0</v>
      </c>
      <c r="OQ187" s="38">
        <f t="shared" si="344"/>
        <v>1</v>
      </c>
      <c r="OR187" s="35">
        <f>COUNTIF(HH187:IW187,"1")</f>
        <v>0</v>
      </c>
      <c r="OS187" s="79" t="e">
        <f>OR188/OR187</f>
        <v>#DIV/0!</v>
      </c>
      <c r="OT187" s="29">
        <f>+IF(OV187&gt;=1,"1",0)</f>
        <v>0</v>
      </c>
      <c r="OU187" s="38">
        <f t="shared" si="345"/>
        <v>1</v>
      </c>
      <c r="OV187" s="35">
        <f>COUNTIF(IX187:KM187,"1")</f>
        <v>0</v>
      </c>
      <c r="OW187" s="79" t="e">
        <f>OV188/OV187</f>
        <v>#DIV/0!</v>
      </c>
      <c r="OX187" s="29">
        <f>+IF(OZ187&gt;=1,"1",0)</f>
        <v>0</v>
      </c>
      <c r="OY187" s="38">
        <f t="shared" si="346"/>
        <v>1</v>
      </c>
      <c r="OZ187" s="35">
        <f>COUNTIF(KN187:MC187,"1")</f>
        <v>0</v>
      </c>
      <c r="PA187" s="79" t="e">
        <f>OZ188/OZ187</f>
        <v>#DIV/0!</v>
      </c>
      <c r="PB187" s="29">
        <f>+IF(PD187&gt;=1,"1",0)</f>
        <v>0</v>
      </c>
      <c r="PC187" s="38">
        <f t="shared" si="347"/>
        <v>1</v>
      </c>
      <c r="PD187" s="35">
        <f>COUNTIF(MD187:NS187,"1")</f>
        <v>0</v>
      </c>
      <c r="PE187" s="79" t="e">
        <f>PD188/PD187</f>
        <v>#DIV/0!</v>
      </c>
    </row>
    <row r="188" spans="3:421" ht="15.75" customHeight="1" outlineLevel="1" thickBot="1" x14ac:dyDescent="0.3">
      <c r="C188" s="83"/>
      <c r="D188" s="60"/>
      <c r="E188" s="54" t="s">
        <v>9</v>
      </c>
      <c r="F188" s="34"/>
      <c r="G188" s="34"/>
      <c r="H188" s="34"/>
      <c r="I188" s="34"/>
      <c r="J188" s="34" t="s">
        <v>75</v>
      </c>
      <c r="K188" s="34"/>
      <c r="L188" s="34"/>
      <c r="M188" s="34"/>
      <c r="N188" s="34"/>
      <c r="O188" s="34"/>
      <c r="P188" s="70"/>
      <c r="Q188" s="34"/>
      <c r="R188" s="34"/>
      <c r="S188" s="34"/>
      <c r="T188" s="34"/>
      <c r="U188" s="34"/>
      <c r="V188" s="34"/>
      <c r="W188" s="70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  <c r="HB188" s="34"/>
      <c r="HC188" s="34"/>
      <c r="HD188" s="34"/>
      <c r="HE188" s="34"/>
      <c r="HF188" s="34"/>
      <c r="HG188" s="34"/>
      <c r="HH188" s="34"/>
      <c r="HI188" s="34"/>
      <c r="HJ188" s="34"/>
      <c r="HK188" s="34"/>
      <c r="HL188" s="34"/>
      <c r="HM188" s="34"/>
      <c r="HN188" s="34"/>
      <c r="HO188" s="34"/>
      <c r="HP188" s="34"/>
      <c r="HQ188" s="34"/>
      <c r="HR188" s="34"/>
      <c r="HS188" s="34"/>
      <c r="HT188" s="34"/>
      <c r="HU188" s="34"/>
      <c r="HV188" s="34"/>
      <c r="HW188" s="34"/>
      <c r="HX188" s="34"/>
      <c r="HY188" s="34"/>
      <c r="HZ188" s="34"/>
      <c r="IA188" s="34"/>
      <c r="IB188" s="34"/>
      <c r="IC188" s="34"/>
      <c r="ID188" s="34"/>
      <c r="IE188" s="34"/>
      <c r="IF188" s="34"/>
      <c r="IG188" s="34"/>
      <c r="IH188" s="34"/>
      <c r="II188" s="34"/>
      <c r="IJ188" s="34"/>
      <c r="IK188" s="34"/>
      <c r="IL188" s="34"/>
      <c r="IM188" s="34"/>
      <c r="IN188" s="34"/>
      <c r="IO188" s="34"/>
      <c r="IP188" s="34"/>
      <c r="IQ188" s="34"/>
      <c r="IR188" s="34"/>
      <c r="IS188" s="34"/>
      <c r="IT188" s="34"/>
      <c r="IU188" s="34"/>
      <c r="IV188" s="34"/>
      <c r="IW188" s="34"/>
      <c r="IX188" s="34"/>
      <c r="IY188" s="34"/>
      <c r="IZ188" s="34"/>
      <c r="JA188" s="34"/>
      <c r="JB188" s="34"/>
      <c r="JC188" s="34"/>
      <c r="JD188" s="34"/>
      <c r="JE188" s="34"/>
      <c r="JF188" s="34"/>
      <c r="JG188" s="34"/>
      <c r="JH188" s="34"/>
      <c r="JI188" s="34"/>
      <c r="JJ188" s="34"/>
      <c r="JK188" s="34"/>
      <c r="JL188" s="34"/>
      <c r="JM188" s="34"/>
      <c r="JN188" s="34"/>
      <c r="JO188" s="34"/>
      <c r="JP188" s="34"/>
      <c r="JQ188" s="34"/>
      <c r="JR188" s="34"/>
      <c r="JS188" s="34"/>
      <c r="JT188" s="34"/>
      <c r="JU188" s="34"/>
      <c r="JV188" s="34"/>
      <c r="JW188" s="34"/>
      <c r="JX188" s="34"/>
      <c r="JY188" s="34"/>
      <c r="JZ188" s="34"/>
      <c r="KA188" s="34"/>
      <c r="KB188" s="34"/>
      <c r="KC188" s="34"/>
      <c r="KD188" s="34"/>
      <c r="KE188" s="34"/>
      <c r="KF188" s="34"/>
      <c r="KG188" s="34"/>
      <c r="KH188" s="34"/>
      <c r="KI188" s="34"/>
      <c r="KJ188" s="34"/>
      <c r="KK188" s="34"/>
      <c r="KL188" s="34"/>
      <c r="KM188" s="34"/>
      <c r="KN188" s="34"/>
      <c r="KO188" s="34"/>
      <c r="KP188" s="34"/>
      <c r="KQ188" s="34"/>
      <c r="KR188" s="34"/>
      <c r="KS188" s="34"/>
      <c r="KT188" s="34"/>
      <c r="KU188" s="34"/>
      <c r="KV188" s="34"/>
      <c r="KW188" s="34"/>
      <c r="KX188" s="34"/>
      <c r="KY188" s="34"/>
      <c r="KZ188" s="34"/>
      <c r="LA188" s="34"/>
      <c r="LB188" s="34"/>
      <c r="LC188" s="34"/>
      <c r="LD188" s="34"/>
      <c r="LE188" s="34"/>
      <c r="LF188" s="34"/>
      <c r="LG188" s="34"/>
      <c r="LH188" s="34"/>
      <c r="LI188" s="34"/>
      <c r="LJ188" s="34"/>
      <c r="LK188" s="34"/>
      <c r="LL188" s="34"/>
      <c r="LM188" s="34"/>
      <c r="LN188" s="34"/>
      <c r="LO188" s="34"/>
      <c r="LP188" s="34"/>
      <c r="LQ188" s="34"/>
      <c r="LR188" s="34"/>
      <c r="LS188" s="34"/>
      <c r="LT188" s="34"/>
      <c r="LU188" s="34"/>
      <c r="LV188" s="34"/>
      <c r="LW188" s="34"/>
      <c r="LX188" s="34"/>
      <c r="LY188" s="34"/>
      <c r="LZ188" s="34"/>
      <c r="MA188" s="34"/>
      <c r="MB188" s="34"/>
      <c r="MC188" s="34"/>
      <c r="MD188" s="34"/>
      <c r="ME188" s="34"/>
      <c r="MF188" s="34"/>
      <c r="MG188" s="34"/>
      <c r="MH188" s="34"/>
      <c r="MI188" s="34"/>
      <c r="MJ188" s="34"/>
      <c r="MK188" s="34"/>
      <c r="ML188" s="34"/>
      <c r="MM188" s="34"/>
      <c r="MN188" s="34"/>
      <c r="MO188" s="34"/>
      <c r="MP188" s="34"/>
      <c r="MQ188" s="34"/>
      <c r="MR188" s="34"/>
      <c r="MS188" s="34"/>
      <c r="MT188" s="34"/>
      <c r="MU188" s="34"/>
      <c r="MV188" s="34"/>
      <c r="MW188" s="34"/>
      <c r="MX188" s="34"/>
      <c r="MY188" s="34"/>
      <c r="MZ188" s="34"/>
      <c r="NA188" s="34"/>
      <c r="NB188" s="34"/>
      <c r="NC188" s="34"/>
      <c r="ND188" s="34"/>
      <c r="NE188" s="34"/>
      <c r="NF188" s="34"/>
      <c r="NG188" s="34"/>
      <c r="NH188" s="34"/>
      <c r="NI188" s="34"/>
      <c r="NJ188" s="34"/>
      <c r="NK188" s="34"/>
      <c r="NL188" s="34"/>
      <c r="NM188" s="34"/>
      <c r="NN188" s="34"/>
      <c r="NO188" s="34"/>
      <c r="NP188" s="34"/>
      <c r="NQ188" s="34"/>
      <c r="NR188" s="34"/>
      <c r="NS188" s="34"/>
      <c r="NT188" s="7">
        <f>COUNTIF(F188:NS188,"x")</f>
        <v>1</v>
      </c>
      <c r="NU188" s="81"/>
      <c r="NV188" s="32">
        <f>IF(NX188=0,"0",NX188/NX187)</f>
        <v>1</v>
      </c>
      <c r="NW188" s="37">
        <f t="shared" si="338"/>
        <v>0</v>
      </c>
      <c r="NX188" s="36">
        <f>COUNTIF(F188:AU188,"x")</f>
        <v>1</v>
      </c>
      <c r="NY188" s="81"/>
      <c r="NZ188" s="32" t="str">
        <f>IF(OB188=0,"0",OB188/OB187)</f>
        <v>0</v>
      </c>
      <c r="OA188" s="37">
        <f t="shared" si="340"/>
        <v>0</v>
      </c>
      <c r="OB188" s="36">
        <f>COUNTIF(AV188:CK188,"x")</f>
        <v>0</v>
      </c>
      <c r="OC188" s="81"/>
      <c r="OD188" s="32" t="str">
        <f>IF(OF188=0,"0",OF188/OF187)</f>
        <v>0</v>
      </c>
      <c r="OE188" s="37">
        <f t="shared" si="341"/>
        <v>0</v>
      </c>
      <c r="OF188" s="36">
        <f>COUNTIF(CL188:EA188,"x")</f>
        <v>0</v>
      </c>
      <c r="OG188" s="81"/>
      <c r="OH188" s="32" t="str">
        <f>IF(OJ188=0,"0",OJ188/OJ187)</f>
        <v>0</v>
      </c>
      <c r="OI188" s="37">
        <f t="shared" si="342"/>
        <v>0</v>
      </c>
      <c r="OJ188" s="36">
        <f>COUNTIF(EB188:FQ188,"x")</f>
        <v>0</v>
      </c>
      <c r="OK188" s="74"/>
      <c r="OL188" s="32" t="str">
        <f>IF(ON188=0,"0",ON188/ON187)</f>
        <v>0</v>
      </c>
      <c r="OM188" s="37">
        <f t="shared" si="343"/>
        <v>0</v>
      </c>
      <c r="ON188" s="36">
        <f>COUNTIF(FR188:HG188,"x")</f>
        <v>0</v>
      </c>
      <c r="OO188" s="74"/>
      <c r="OP188" s="32" t="str">
        <f>IF(OR188=0,"0",OR188/OR187)</f>
        <v>0</v>
      </c>
      <c r="OQ188" s="37">
        <f t="shared" si="344"/>
        <v>0</v>
      </c>
      <c r="OR188" s="36">
        <f>COUNTIF(HH188:IW188,"x")</f>
        <v>0</v>
      </c>
      <c r="OS188" s="74"/>
      <c r="OT188" s="32" t="str">
        <f>IF(OV188=0,"0",OV188/OV187)</f>
        <v>0</v>
      </c>
      <c r="OU188" s="37">
        <f t="shared" si="345"/>
        <v>0</v>
      </c>
      <c r="OV188" s="36">
        <f>COUNTIF(IX188:KM188,"x")</f>
        <v>0</v>
      </c>
      <c r="OW188" s="74"/>
      <c r="OX188" s="32" t="str">
        <f>IF(OZ188=0,"0",OZ188/OZ187)</f>
        <v>0</v>
      </c>
      <c r="OY188" s="37">
        <f t="shared" si="346"/>
        <v>0</v>
      </c>
      <c r="OZ188" s="36">
        <f>COUNTIF(KN188:MC188,"x")</f>
        <v>0</v>
      </c>
      <c r="PA188" s="74"/>
      <c r="PB188" s="32" t="str">
        <f>IF(PD188=0,"0",PD188/PD187)</f>
        <v>0</v>
      </c>
      <c r="PC188" s="37">
        <f t="shared" si="347"/>
        <v>0</v>
      </c>
      <c r="PD188" s="36">
        <f>COUNTIF(MD188:NS188,"x")</f>
        <v>0</v>
      </c>
      <c r="PE188" s="74"/>
    </row>
    <row r="189" spans="3:421" ht="15.75" customHeight="1" outlineLevel="1" x14ac:dyDescent="0.25">
      <c r="C189" s="82" t="s">
        <v>85</v>
      </c>
      <c r="D189" s="59"/>
      <c r="E189" s="53" t="s">
        <v>8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69"/>
      <c r="Q189" s="33"/>
      <c r="R189" s="33"/>
      <c r="S189" s="33"/>
      <c r="T189" s="33"/>
      <c r="U189" s="33"/>
      <c r="V189" s="33"/>
      <c r="W189" s="69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 t="s">
        <v>74</v>
      </c>
      <c r="AL189" s="33"/>
      <c r="AM189" s="33"/>
      <c r="AN189" s="33"/>
      <c r="AO189" s="33"/>
      <c r="AP189" s="33"/>
      <c r="AQ189" s="33"/>
      <c r="AR189" s="33">
        <v>1</v>
      </c>
      <c r="AS189" s="33"/>
      <c r="AT189" s="33"/>
      <c r="AU189" s="33"/>
      <c r="AV189" s="33">
        <v>1</v>
      </c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  <c r="HI189" s="33"/>
      <c r="HJ189" s="33"/>
      <c r="HK189" s="33"/>
      <c r="HL189" s="33"/>
      <c r="HM189" s="33"/>
      <c r="HN189" s="33"/>
      <c r="HO189" s="33"/>
      <c r="HP189" s="33"/>
      <c r="HQ189" s="33"/>
      <c r="HR189" s="33"/>
      <c r="HS189" s="33"/>
      <c r="HT189" s="33"/>
      <c r="HU189" s="33"/>
      <c r="HV189" s="33"/>
      <c r="HW189" s="33"/>
      <c r="HX189" s="33"/>
      <c r="HY189" s="33"/>
      <c r="HZ189" s="33"/>
      <c r="IA189" s="33"/>
      <c r="IB189" s="33"/>
      <c r="IC189" s="33"/>
      <c r="ID189" s="33"/>
      <c r="IE189" s="33"/>
      <c r="IF189" s="33"/>
      <c r="IG189" s="33"/>
      <c r="IH189" s="33"/>
      <c r="II189" s="33"/>
      <c r="IJ189" s="33"/>
      <c r="IK189" s="33"/>
      <c r="IL189" s="33"/>
      <c r="IM189" s="33"/>
      <c r="IN189" s="33"/>
      <c r="IO189" s="33"/>
      <c r="IP189" s="33"/>
      <c r="IQ189" s="33"/>
      <c r="IR189" s="33"/>
      <c r="IS189" s="33"/>
      <c r="IT189" s="33"/>
      <c r="IU189" s="33"/>
      <c r="IV189" s="33"/>
      <c r="IW189" s="33"/>
      <c r="IX189" s="33"/>
      <c r="IY189" s="33"/>
      <c r="IZ189" s="33"/>
      <c r="JA189" s="33"/>
      <c r="JB189" s="33"/>
      <c r="JC189" s="33"/>
      <c r="JD189" s="33"/>
      <c r="JE189" s="33"/>
      <c r="JF189" s="33"/>
      <c r="JG189" s="33"/>
      <c r="JH189" s="33"/>
      <c r="JI189" s="33"/>
      <c r="JJ189" s="33"/>
      <c r="JK189" s="33"/>
      <c r="JL189" s="33"/>
      <c r="JM189" s="33"/>
      <c r="JN189" s="33"/>
      <c r="JO189" s="33"/>
      <c r="JP189" s="33"/>
      <c r="JQ189" s="33"/>
      <c r="JR189" s="33"/>
      <c r="JS189" s="33"/>
      <c r="JT189" s="33"/>
      <c r="JU189" s="33"/>
      <c r="JV189" s="33"/>
      <c r="JW189" s="33"/>
      <c r="JX189" s="33"/>
      <c r="JY189" s="33"/>
      <c r="JZ189" s="33"/>
      <c r="KA189" s="33"/>
      <c r="KB189" s="33"/>
      <c r="KC189" s="33"/>
      <c r="KD189" s="33"/>
      <c r="KE189" s="33"/>
      <c r="KF189" s="33"/>
      <c r="KG189" s="33"/>
      <c r="KH189" s="33"/>
      <c r="KI189" s="33"/>
      <c r="KJ189" s="33"/>
      <c r="KK189" s="33"/>
      <c r="KL189" s="33"/>
      <c r="KM189" s="33"/>
      <c r="KN189" s="33"/>
      <c r="KO189" s="33"/>
      <c r="KP189" s="33"/>
      <c r="KQ189" s="33"/>
      <c r="KR189" s="33"/>
      <c r="KS189" s="33"/>
      <c r="KT189" s="33"/>
      <c r="KU189" s="33"/>
      <c r="KV189" s="33"/>
      <c r="KW189" s="33"/>
      <c r="KX189" s="33"/>
      <c r="KY189" s="33"/>
      <c r="KZ189" s="33"/>
      <c r="LA189" s="33"/>
      <c r="LB189" s="33"/>
      <c r="LC189" s="33"/>
      <c r="LD189" s="33"/>
      <c r="LE189" s="33"/>
      <c r="LF189" s="33"/>
      <c r="LG189" s="33"/>
      <c r="LH189" s="33"/>
      <c r="LI189" s="33"/>
      <c r="LJ189" s="33"/>
      <c r="LK189" s="33"/>
      <c r="LL189" s="33"/>
      <c r="LM189" s="33"/>
      <c r="LN189" s="33"/>
      <c r="LO189" s="33"/>
      <c r="LP189" s="33"/>
      <c r="LQ189" s="33"/>
      <c r="LR189" s="33"/>
      <c r="LS189" s="33"/>
      <c r="LT189" s="33"/>
      <c r="LU189" s="33"/>
      <c r="LV189" s="33"/>
      <c r="LW189" s="33"/>
      <c r="LX189" s="33"/>
      <c r="LY189" s="33"/>
      <c r="LZ189" s="33"/>
      <c r="MA189" s="33"/>
      <c r="MB189" s="33"/>
      <c r="MC189" s="33"/>
      <c r="MD189" s="33"/>
      <c r="ME189" s="33"/>
      <c r="MF189" s="33"/>
      <c r="MG189" s="33"/>
      <c r="MH189" s="33"/>
      <c r="MI189" s="33"/>
      <c r="MJ189" s="33"/>
      <c r="MK189" s="33"/>
      <c r="ML189" s="33"/>
      <c r="MM189" s="33"/>
      <c r="MN189" s="33"/>
      <c r="MO189" s="33"/>
      <c r="MP189" s="33"/>
      <c r="MQ189" s="33"/>
      <c r="MR189" s="33"/>
      <c r="MS189" s="33"/>
      <c r="MT189" s="33"/>
      <c r="MU189" s="33"/>
      <c r="MV189" s="33"/>
      <c r="MW189" s="33"/>
      <c r="MX189" s="33"/>
      <c r="MY189" s="33"/>
      <c r="MZ189" s="33"/>
      <c r="NA189" s="33"/>
      <c r="NB189" s="33"/>
      <c r="NC189" s="33"/>
      <c r="ND189" s="33"/>
      <c r="NE189" s="33"/>
      <c r="NF189" s="33"/>
      <c r="NG189" s="33"/>
      <c r="NH189" s="33"/>
      <c r="NI189" s="33"/>
      <c r="NJ189" s="33"/>
      <c r="NK189" s="33"/>
      <c r="NL189" s="33"/>
      <c r="NM189" s="33"/>
      <c r="NN189" s="33"/>
      <c r="NO189" s="33"/>
      <c r="NP189" s="33"/>
      <c r="NQ189" s="33"/>
      <c r="NR189" s="33"/>
      <c r="NS189" s="33"/>
      <c r="NT189" s="31">
        <f>COUNTIF(F189:NS189,"1")</f>
        <v>2</v>
      </c>
      <c r="NU189" s="80">
        <f>NT190/NT189</f>
        <v>0.5</v>
      </c>
      <c r="NV189" s="29" t="str">
        <f>+IF(NX189&gt;=1,"1",0)</f>
        <v>1</v>
      </c>
      <c r="NW189" s="38">
        <f t="shared" si="338"/>
        <v>1</v>
      </c>
      <c r="NX189" s="35">
        <f>COUNTIF(F189:AU189,"1")</f>
        <v>1</v>
      </c>
      <c r="NY189" s="80">
        <f t="shared" ref="NY189" si="353">NX190/NX189</f>
        <v>0</v>
      </c>
      <c r="NZ189" s="29" t="str">
        <f>+IF(OB189&gt;=1,"1",0)</f>
        <v>1</v>
      </c>
      <c r="OA189" s="38">
        <f t="shared" si="340"/>
        <v>1</v>
      </c>
      <c r="OB189" s="35">
        <f>COUNTIF(AV189:CK189,"1")</f>
        <v>1</v>
      </c>
      <c r="OC189" s="80">
        <f>OB190/OB189</f>
        <v>1</v>
      </c>
      <c r="OD189" s="29">
        <f>+IF(OF189&gt;=1,"1",0)</f>
        <v>0</v>
      </c>
      <c r="OE189" s="38">
        <f t="shared" si="341"/>
        <v>1</v>
      </c>
      <c r="OF189" s="35">
        <f>COUNTIF(CL189:EA189,"1")</f>
        <v>0</v>
      </c>
      <c r="OG189" s="80" t="e">
        <f>OF190/OF189</f>
        <v>#DIV/0!</v>
      </c>
      <c r="OH189" s="29">
        <f>+IF(OJ189&gt;=1,"1",0)</f>
        <v>0</v>
      </c>
      <c r="OI189" s="38">
        <f t="shared" si="342"/>
        <v>1</v>
      </c>
      <c r="OJ189" s="35">
        <f>COUNTIF(EB189:FQ189,"1")</f>
        <v>0</v>
      </c>
      <c r="OK189" s="79" t="e">
        <f>OJ190/OJ189</f>
        <v>#DIV/0!</v>
      </c>
      <c r="OL189" s="29">
        <f>+IF(ON189&gt;=1,"1",0)</f>
        <v>0</v>
      </c>
      <c r="OM189" s="38">
        <f t="shared" si="343"/>
        <v>1</v>
      </c>
      <c r="ON189" s="35">
        <f>COUNTIF(FR189:HG189,"1")</f>
        <v>0</v>
      </c>
      <c r="OO189" s="79" t="e">
        <f>ON190/ON189</f>
        <v>#DIV/0!</v>
      </c>
      <c r="OP189" s="29">
        <f>+IF(OR189&gt;=1,"1",0)</f>
        <v>0</v>
      </c>
      <c r="OQ189" s="38">
        <f t="shared" si="344"/>
        <v>1</v>
      </c>
      <c r="OR189" s="35">
        <f>COUNTIF(HH189:IW189,"1")</f>
        <v>0</v>
      </c>
      <c r="OS189" s="79" t="e">
        <f>OR190/OR189</f>
        <v>#DIV/0!</v>
      </c>
      <c r="OT189" s="29">
        <f>+IF(OV189&gt;=1,"1",0)</f>
        <v>0</v>
      </c>
      <c r="OU189" s="38">
        <f t="shared" si="345"/>
        <v>1</v>
      </c>
      <c r="OV189" s="35">
        <f>COUNTIF(IX189:KM189,"1")</f>
        <v>0</v>
      </c>
      <c r="OW189" s="79" t="e">
        <f>OV190/OV189</f>
        <v>#DIV/0!</v>
      </c>
      <c r="OX189" s="29">
        <f>+IF(OZ189&gt;=1,"1",0)</f>
        <v>0</v>
      </c>
      <c r="OY189" s="38">
        <f t="shared" si="346"/>
        <v>1</v>
      </c>
      <c r="OZ189" s="35">
        <f>COUNTIF(KN189:MC189,"1")</f>
        <v>0</v>
      </c>
      <c r="PA189" s="79" t="e">
        <f>OZ190/OZ189</f>
        <v>#DIV/0!</v>
      </c>
      <c r="PB189" s="29">
        <f>+IF(PD189&gt;=1,"1",0)</f>
        <v>0</v>
      </c>
      <c r="PC189" s="38">
        <f t="shared" si="347"/>
        <v>1</v>
      </c>
      <c r="PD189" s="35">
        <f>COUNTIF(MD189:NS189,"1")</f>
        <v>0</v>
      </c>
      <c r="PE189" s="79" t="e">
        <f>PD190/PD189</f>
        <v>#DIV/0!</v>
      </c>
    </row>
    <row r="190" spans="3:421" ht="15.75" customHeight="1" outlineLevel="1" thickBot="1" x14ac:dyDescent="0.3">
      <c r="C190" s="83"/>
      <c r="D190" s="60"/>
      <c r="E190" s="54" t="s">
        <v>9</v>
      </c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70"/>
      <c r="Q190" s="34"/>
      <c r="R190" s="34"/>
      <c r="S190" s="34"/>
      <c r="T190" s="34"/>
      <c r="U190" s="34"/>
      <c r="V190" s="34"/>
      <c r="W190" s="70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 t="s">
        <v>74</v>
      </c>
      <c r="AS190" s="34"/>
      <c r="AT190" s="34"/>
      <c r="AU190" s="34"/>
      <c r="AV190" s="34" t="s">
        <v>116</v>
      </c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4"/>
      <c r="GX190" s="34"/>
      <c r="GY190" s="34"/>
      <c r="GZ190" s="34"/>
      <c r="HA190" s="34"/>
      <c r="HB190" s="34"/>
      <c r="HC190" s="34"/>
      <c r="HD190" s="34"/>
      <c r="HE190" s="34"/>
      <c r="HF190" s="34"/>
      <c r="HG190" s="34"/>
      <c r="HH190" s="34"/>
      <c r="HI190" s="34"/>
      <c r="HJ190" s="34"/>
      <c r="HK190" s="34"/>
      <c r="HL190" s="34"/>
      <c r="HM190" s="34"/>
      <c r="HN190" s="34"/>
      <c r="HO190" s="34"/>
      <c r="HP190" s="34"/>
      <c r="HQ190" s="34"/>
      <c r="HR190" s="34"/>
      <c r="HS190" s="34"/>
      <c r="HT190" s="34"/>
      <c r="HU190" s="34"/>
      <c r="HV190" s="34"/>
      <c r="HW190" s="34"/>
      <c r="HX190" s="34"/>
      <c r="HY190" s="34"/>
      <c r="HZ190" s="34"/>
      <c r="IA190" s="34"/>
      <c r="IB190" s="34"/>
      <c r="IC190" s="34"/>
      <c r="ID190" s="34"/>
      <c r="IE190" s="34"/>
      <c r="IF190" s="34"/>
      <c r="IG190" s="34"/>
      <c r="IH190" s="34"/>
      <c r="II190" s="34"/>
      <c r="IJ190" s="34"/>
      <c r="IK190" s="34"/>
      <c r="IL190" s="34"/>
      <c r="IM190" s="34"/>
      <c r="IN190" s="34"/>
      <c r="IO190" s="34"/>
      <c r="IP190" s="34"/>
      <c r="IQ190" s="34"/>
      <c r="IR190" s="34"/>
      <c r="IS190" s="34"/>
      <c r="IT190" s="34"/>
      <c r="IU190" s="34"/>
      <c r="IV190" s="34"/>
      <c r="IW190" s="34"/>
      <c r="IX190" s="34"/>
      <c r="IY190" s="34"/>
      <c r="IZ190" s="34"/>
      <c r="JA190" s="34"/>
      <c r="JB190" s="34"/>
      <c r="JC190" s="34"/>
      <c r="JD190" s="34"/>
      <c r="JE190" s="34"/>
      <c r="JF190" s="34"/>
      <c r="JG190" s="34"/>
      <c r="JH190" s="34"/>
      <c r="JI190" s="34"/>
      <c r="JJ190" s="34"/>
      <c r="JK190" s="34"/>
      <c r="JL190" s="34"/>
      <c r="JM190" s="34"/>
      <c r="JN190" s="34"/>
      <c r="JO190" s="34"/>
      <c r="JP190" s="34"/>
      <c r="JQ190" s="34"/>
      <c r="JR190" s="34"/>
      <c r="JS190" s="34"/>
      <c r="JT190" s="34"/>
      <c r="JU190" s="34"/>
      <c r="JV190" s="34"/>
      <c r="JW190" s="34"/>
      <c r="JX190" s="34"/>
      <c r="JY190" s="34"/>
      <c r="JZ190" s="34"/>
      <c r="KA190" s="34"/>
      <c r="KB190" s="34"/>
      <c r="KC190" s="34"/>
      <c r="KD190" s="34"/>
      <c r="KE190" s="34"/>
      <c r="KF190" s="34"/>
      <c r="KG190" s="34"/>
      <c r="KH190" s="34"/>
      <c r="KI190" s="34"/>
      <c r="KJ190" s="34"/>
      <c r="KK190" s="34"/>
      <c r="KL190" s="34"/>
      <c r="KM190" s="34"/>
      <c r="KN190" s="34"/>
      <c r="KO190" s="34"/>
      <c r="KP190" s="34"/>
      <c r="KQ190" s="34"/>
      <c r="KR190" s="34"/>
      <c r="KS190" s="34"/>
      <c r="KT190" s="34"/>
      <c r="KU190" s="34"/>
      <c r="KV190" s="34"/>
      <c r="KW190" s="34"/>
      <c r="KX190" s="34"/>
      <c r="KY190" s="34"/>
      <c r="KZ190" s="34"/>
      <c r="LA190" s="34"/>
      <c r="LB190" s="34"/>
      <c r="LC190" s="34"/>
      <c r="LD190" s="34"/>
      <c r="LE190" s="34"/>
      <c r="LF190" s="34"/>
      <c r="LG190" s="34"/>
      <c r="LH190" s="34"/>
      <c r="LI190" s="34"/>
      <c r="LJ190" s="34"/>
      <c r="LK190" s="34"/>
      <c r="LL190" s="34"/>
      <c r="LM190" s="34"/>
      <c r="LN190" s="34"/>
      <c r="LO190" s="34"/>
      <c r="LP190" s="34"/>
      <c r="LQ190" s="34"/>
      <c r="LR190" s="34"/>
      <c r="LS190" s="34"/>
      <c r="LT190" s="34"/>
      <c r="LU190" s="34"/>
      <c r="LV190" s="34"/>
      <c r="LW190" s="34"/>
      <c r="LX190" s="34"/>
      <c r="LY190" s="34"/>
      <c r="LZ190" s="34"/>
      <c r="MA190" s="34"/>
      <c r="MB190" s="34"/>
      <c r="MC190" s="34"/>
      <c r="MD190" s="34"/>
      <c r="ME190" s="34"/>
      <c r="MF190" s="34"/>
      <c r="MG190" s="34"/>
      <c r="MH190" s="34"/>
      <c r="MI190" s="34"/>
      <c r="MJ190" s="34"/>
      <c r="MK190" s="34"/>
      <c r="ML190" s="34"/>
      <c r="MM190" s="34"/>
      <c r="MN190" s="34"/>
      <c r="MO190" s="34"/>
      <c r="MP190" s="34"/>
      <c r="MQ190" s="34"/>
      <c r="MR190" s="34"/>
      <c r="MS190" s="34"/>
      <c r="MT190" s="34"/>
      <c r="MU190" s="34"/>
      <c r="MV190" s="34"/>
      <c r="MW190" s="34"/>
      <c r="MX190" s="34"/>
      <c r="MY190" s="34"/>
      <c r="MZ190" s="34"/>
      <c r="NA190" s="34"/>
      <c r="NB190" s="34"/>
      <c r="NC190" s="34"/>
      <c r="ND190" s="34"/>
      <c r="NE190" s="34"/>
      <c r="NF190" s="34"/>
      <c r="NG190" s="34"/>
      <c r="NH190" s="34"/>
      <c r="NI190" s="34"/>
      <c r="NJ190" s="34"/>
      <c r="NK190" s="34"/>
      <c r="NL190" s="34"/>
      <c r="NM190" s="34"/>
      <c r="NN190" s="34"/>
      <c r="NO190" s="34"/>
      <c r="NP190" s="34"/>
      <c r="NQ190" s="34"/>
      <c r="NR190" s="34"/>
      <c r="NS190" s="34"/>
      <c r="NT190" s="7">
        <f>COUNTIF(F190:NS190,"x")</f>
        <v>1</v>
      </c>
      <c r="NU190" s="81"/>
      <c r="NV190" s="32" t="str">
        <f>IF(NX190=0,"0",NX190/NX189)</f>
        <v>0</v>
      </c>
      <c r="NW190" s="37">
        <f t="shared" si="338"/>
        <v>0</v>
      </c>
      <c r="NX190" s="36">
        <f>COUNTIF(F190:AU190,"x")</f>
        <v>0</v>
      </c>
      <c r="NY190" s="81"/>
      <c r="NZ190" s="32">
        <f>IF(OB190=0,"0",OB190/OB189)</f>
        <v>1</v>
      </c>
      <c r="OA190" s="37">
        <f t="shared" si="340"/>
        <v>0</v>
      </c>
      <c r="OB190" s="36">
        <f>COUNTIF(AV190:CK190,"x")</f>
        <v>1</v>
      </c>
      <c r="OC190" s="81"/>
      <c r="OD190" s="32" t="str">
        <f>IF(OF190=0,"0",OF190/OF189)</f>
        <v>0</v>
      </c>
      <c r="OE190" s="37">
        <f t="shared" si="341"/>
        <v>0</v>
      </c>
      <c r="OF190" s="36">
        <f>COUNTIF(CL190:EA190,"x")</f>
        <v>0</v>
      </c>
      <c r="OG190" s="81"/>
      <c r="OH190" s="32" t="str">
        <f>IF(OJ190=0,"0",OJ190/OJ189)</f>
        <v>0</v>
      </c>
      <c r="OI190" s="37">
        <f t="shared" si="342"/>
        <v>0</v>
      </c>
      <c r="OJ190" s="36">
        <f>COUNTIF(EB190:FQ190,"x")</f>
        <v>0</v>
      </c>
      <c r="OK190" s="74"/>
      <c r="OL190" s="32" t="str">
        <f>IF(ON190=0,"0",ON190/ON189)</f>
        <v>0</v>
      </c>
      <c r="OM190" s="37">
        <f t="shared" si="343"/>
        <v>0</v>
      </c>
      <c r="ON190" s="36">
        <f>COUNTIF(FR190:HG190,"x")</f>
        <v>0</v>
      </c>
      <c r="OO190" s="74"/>
      <c r="OP190" s="32" t="str">
        <f>IF(OR190=0,"0",OR190/OR189)</f>
        <v>0</v>
      </c>
      <c r="OQ190" s="37">
        <f t="shared" si="344"/>
        <v>0</v>
      </c>
      <c r="OR190" s="36">
        <f>COUNTIF(HH190:IW190,"x")</f>
        <v>0</v>
      </c>
      <c r="OS190" s="74"/>
      <c r="OT190" s="32" t="str">
        <f>IF(OV190=0,"0",OV190/OV189)</f>
        <v>0</v>
      </c>
      <c r="OU190" s="37">
        <f t="shared" si="345"/>
        <v>0</v>
      </c>
      <c r="OV190" s="36">
        <f>COUNTIF(IX190:KM190,"x")</f>
        <v>0</v>
      </c>
      <c r="OW190" s="74"/>
      <c r="OX190" s="32" t="str">
        <f>IF(OZ190=0,"0",OZ190/OZ189)</f>
        <v>0</v>
      </c>
      <c r="OY190" s="37">
        <f t="shared" si="346"/>
        <v>0</v>
      </c>
      <c r="OZ190" s="36">
        <f>COUNTIF(KN190:MC190,"x")</f>
        <v>0</v>
      </c>
      <c r="PA190" s="74"/>
      <c r="PB190" s="32" t="str">
        <f>IF(PD190=0,"0",PD190/PD189)</f>
        <v>0</v>
      </c>
      <c r="PC190" s="37">
        <f t="shared" si="347"/>
        <v>0</v>
      </c>
      <c r="PD190" s="36">
        <f>COUNTIF(MD190:NS190,"x")</f>
        <v>0</v>
      </c>
      <c r="PE190" s="74"/>
    </row>
    <row r="191" spans="3:421" ht="15.75" customHeight="1" outlineLevel="1" x14ac:dyDescent="0.25">
      <c r="C191" s="82" t="s">
        <v>84</v>
      </c>
      <c r="D191" s="59"/>
      <c r="E191" s="53" t="s">
        <v>8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69"/>
      <c r="Q191" s="33"/>
      <c r="R191" s="33"/>
      <c r="S191" s="33"/>
      <c r="T191" s="33"/>
      <c r="U191" s="33"/>
      <c r="V191" s="33"/>
      <c r="W191" s="69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  <c r="HI191" s="33"/>
      <c r="HJ191" s="33"/>
      <c r="HK191" s="33"/>
      <c r="HL191" s="33"/>
      <c r="HM191" s="33"/>
      <c r="HN191" s="33"/>
      <c r="HO191" s="33"/>
      <c r="HP191" s="33"/>
      <c r="HQ191" s="33"/>
      <c r="HR191" s="33"/>
      <c r="HS191" s="33"/>
      <c r="HT191" s="33"/>
      <c r="HU191" s="33"/>
      <c r="HV191" s="33"/>
      <c r="HW191" s="33"/>
      <c r="HX191" s="33"/>
      <c r="HY191" s="33"/>
      <c r="HZ191" s="33"/>
      <c r="IA191" s="33"/>
      <c r="IB191" s="33"/>
      <c r="IC191" s="33"/>
      <c r="ID191" s="33"/>
      <c r="IE191" s="33"/>
      <c r="IF191" s="33"/>
      <c r="IG191" s="33"/>
      <c r="IH191" s="33"/>
      <c r="II191" s="33"/>
      <c r="IJ191" s="33"/>
      <c r="IK191" s="33"/>
      <c r="IL191" s="33"/>
      <c r="IM191" s="33"/>
      <c r="IN191" s="33"/>
      <c r="IO191" s="33"/>
      <c r="IP191" s="33"/>
      <c r="IQ191" s="33"/>
      <c r="IR191" s="33"/>
      <c r="IS191" s="33"/>
      <c r="IT191" s="33"/>
      <c r="IU191" s="33"/>
      <c r="IV191" s="33"/>
      <c r="IW191" s="33"/>
      <c r="IX191" s="33"/>
      <c r="IY191" s="33"/>
      <c r="IZ191" s="33"/>
      <c r="JA191" s="33"/>
      <c r="JB191" s="33"/>
      <c r="JC191" s="33"/>
      <c r="JD191" s="33"/>
      <c r="JE191" s="33"/>
      <c r="JF191" s="33"/>
      <c r="JG191" s="33"/>
      <c r="JH191" s="33"/>
      <c r="JI191" s="33"/>
      <c r="JJ191" s="33"/>
      <c r="JK191" s="33"/>
      <c r="JL191" s="33"/>
      <c r="JM191" s="33"/>
      <c r="JN191" s="33"/>
      <c r="JO191" s="33"/>
      <c r="JP191" s="33"/>
      <c r="JQ191" s="33"/>
      <c r="JR191" s="33"/>
      <c r="JS191" s="33"/>
      <c r="JT191" s="33"/>
      <c r="JU191" s="33"/>
      <c r="JV191" s="33"/>
      <c r="JW191" s="33"/>
      <c r="JX191" s="33"/>
      <c r="JY191" s="33"/>
      <c r="JZ191" s="33"/>
      <c r="KA191" s="33"/>
      <c r="KB191" s="33"/>
      <c r="KC191" s="33"/>
      <c r="KD191" s="33"/>
      <c r="KE191" s="33"/>
      <c r="KF191" s="33"/>
      <c r="KG191" s="33"/>
      <c r="KH191" s="33"/>
      <c r="KI191" s="33"/>
      <c r="KJ191" s="33"/>
      <c r="KK191" s="33"/>
      <c r="KL191" s="33"/>
      <c r="KM191" s="33"/>
      <c r="KN191" s="33"/>
      <c r="KO191" s="33"/>
      <c r="KP191" s="33"/>
      <c r="KQ191" s="33"/>
      <c r="KR191" s="33"/>
      <c r="KS191" s="33"/>
      <c r="KT191" s="33"/>
      <c r="KU191" s="33"/>
      <c r="KV191" s="33"/>
      <c r="KW191" s="33"/>
      <c r="KX191" s="33"/>
      <c r="KY191" s="33"/>
      <c r="KZ191" s="33"/>
      <c r="LA191" s="33"/>
      <c r="LB191" s="33"/>
      <c r="LC191" s="33"/>
      <c r="LD191" s="33"/>
      <c r="LE191" s="33"/>
      <c r="LF191" s="33"/>
      <c r="LG191" s="33"/>
      <c r="LH191" s="33"/>
      <c r="LI191" s="33"/>
      <c r="LJ191" s="33"/>
      <c r="LK191" s="33"/>
      <c r="LL191" s="33"/>
      <c r="LM191" s="33"/>
      <c r="LN191" s="33"/>
      <c r="LO191" s="33"/>
      <c r="LP191" s="33"/>
      <c r="LQ191" s="33"/>
      <c r="LR191" s="33"/>
      <c r="LS191" s="33"/>
      <c r="LT191" s="33"/>
      <c r="LU191" s="33"/>
      <c r="LV191" s="33"/>
      <c r="LW191" s="33"/>
      <c r="LX191" s="33"/>
      <c r="LY191" s="33"/>
      <c r="LZ191" s="33"/>
      <c r="MA191" s="33"/>
      <c r="MB191" s="33"/>
      <c r="MC191" s="33"/>
      <c r="MD191" s="33"/>
      <c r="ME191" s="33"/>
      <c r="MF191" s="33"/>
      <c r="MG191" s="33"/>
      <c r="MH191" s="33"/>
      <c r="MI191" s="33"/>
      <c r="MJ191" s="33"/>
      <c r="MK191" s="33"/>
      <c r="ML191" s="33"/>
      <c r="MM191" s="33"/>
      <c r="MN191" s="33"/>
      <c r="MO191" s="33"/>
      <c r="MP191" s="33"/>
      <c r="MQ191" s="33"/>
      <c r="MR191" s="33"/>
      <c r="MS191" s="33"/>
      <c r="MT191" s="33"/>
      <c r="MU191" s="33"/>
      <c r="MV191" s="33"/>
      <c r="MW191" s="33"/>
      <c r="MX191" s="33"/>
      <c r="MY191" s="33"/>
      <c r="MZ191" s="33"/>
      <c r="NA191" s="33"/>
      <c r="NB191" s="33"/>
      <c r="NC191" s="33"/>
      <c r="ND191" s="33"/>
      <c r="NE191" s="33"/>
      <c r="NF191" s="33"/>
      <c r="NG191" s="33"/>
      <c r="NH191" s="33"/>
      <c r="NI191" s="33"/>
      <c r="NJ191" s="33"/>
      <c r="NK191" s="33"/>
      <c r="NL191" s="33"/>
      <c r="NM191" s="33"/>
      <c r="NN191" s="33"/>
      <c r="NO191" s="33"/>
      <c r="NP191" s="33"/>
      <c r="NQ191" s="33"/>
      <c r="NR191" s="33"/>
      <c r="NS191" s="33"/>
      <c r="NT191" s="31">
        <f>COUNTIF(F191:NS191,"1")</f>
        <v>0</v>
      </c>
      <c r="NU191" s="80" t="e">
        <f>NT192/NT191</f>
        <v>#DIV/0!</v>
      </c>
      <c r="NV191" s="29">
        <f>+IF(NX191&gt;=1,"1",0)</f>
        <v>0</v>
      </c>
      <c r="NW191" s="38">
        <f t="shared" si="338"/>
        <v>1</v>
      </c>
      <c r="NX191" s="35">
        <f>COUNTIF(F191:AU191,"1")</f>
        <v>0</v>
      </c>
      <c r="NY191" s="80" t="e">
        <f t="shared" ref="NY191" si="354">NX192/NX191</f>
        <v>#DIV/0!</v>
      </c>
      <c r="NZ191" s="29">
        <f>+IF(OB191&gt;=1,"1",0)</f>
        <v>0</v>
      </c>
      <c r="OA191" s="38">
        <f t="shared" si="340"/>
        <v>1</v>
      </c>
      <c r="OB191" s="35">
        <f>COUNTIF(AV191:CK191,"1")</f>
        <v>0</v>
      </c>
      <c r="OC191" s="80" t="e">
        <f>OB192/OB191</f>
        <v>#DIV/0!</v>
      </c>
      <c r="OD191" s="29">
        <f>+IF(OF191&gt;=1,"1",0)</f>
        <v>0</v>
      </c>
      <c r="OE191" s="38">
        <f t="shared" si="341"/>
        <v>1</v>
      </c>
      <c r="OF191" s="35">
        <f>COUNTIF(CL191:EA191,"1")</f>
        <v>0</v>
      </c>
      <c r="OG191" s="80" t="e">
        <f>OF192/OF191</f>
        <v>#DIV/0!</v>
      </c>
      <c r="OH191" s="29">
        <f>+IF(OJ191&gt;=1,"1",0)</f>
        <v>0</v>
      </c>
      <c r="OI191" s="38">
        <f t="shared" si="342"/>
        <v>1</v>
      </c>
      <c r="OJ191" s="35">
        <f>COUNTIF(EB191:FQ191,"1")</f>
        <v>0</v>
      </c>
      <c r="OK191" s="79" t="e">
        <f>OJ192/OJ191</f>
        <v>#DIV/0!</v>
      </c>
      <c r="OL191" s="29">
        <f>+IF(ON191&gt;=1,"1",0)</f>
        <v>0</v>
      </c>
      <c r="OM191" s="38">
        <f t="shared" si="343"/>
        <v>1</v>
      </c>
      <c r="ON191" s="35">
        <f>COUNTIF(FR191:HG191,"1")</f>
        <v>0</v>
      </c>
      <c r="OO191" s="79" t="e">
        <f>ON192/ON191</f>
        <v>#DIV/0!</v>
      </c>
      <c r="OP191" s="29">
        <f>+IF(OR191&gt;=1,"1",0)</f>
        <v>0</v>
      </c>
      <c r="OQ191" s="38">
        <f t="shared" si="344"/>
        <v>1</v>
      </c>
      <c r="OR191" s="35">
        <f>COUNTIF(HH191:IW191,"1")</f>
        <v>0</v>
      </c>
      <c r="OS191" s="79" t="e">
        <f>OR192/OR191</f>
        <v>#DIV/0!</v>
      </c>
      <c r="OT191" s="29">
        <f>+IF(OV191&gt;=1,"1",0)</f>
        <v>0</v>
      </c>
      <c r="OU191" s="38">
        <f t="shared" si="345"/>
        <v>1</v>
      </c>
      <c r="OV191" s="35">
        <f>COUNTIF(IX191:KM191,"1")</f>
        <v>0</v>
      </c>
      <c r="OW191" s="79" t="e">
        <f>OV192/OV191</f>
        <v>#DIV/0!</v>
      </c>
      <c r="OX191" s="29">
        <f>+IF(OZ191&gt;=1,"1",0)</f>
        <v>0</v>
      </c>
      <c r="OY191" s="38">
        <f t="shared" si="346"/>
        <v>1</v>
      </c>
      <c r="OZ191" s="35">
        <f>COUNTIF(KN191:MC191,"1")</f>
        <v>0</v>
      </c>
      <c r="PA191" s="79" t="e">
        <f>OZ192/OZ191</f>
        <v>#DIV/0!</v>
      </c>
      <c r="PB191" s="29">
        <f>+IF(PD191&gt;=1,"1",0)</f>
        <v>0</v>
      </c>
      <c r="PC191" s="38">
        <f t="shared" si="347"/>
        <v>1</v>
      </c>
      <c r="PD191" s="35">
        <f>COUNTIF(MD191:NS191,"1")</f>
        <v>0</v>
      </c>
      <c r="PE191" s="79" t="e">
        <f>PD192/PD191</f>
        <v>#DIV/0!</v>
      </c>
    </row>
    <row r="192" spans="3:421" ht="15.75" customHeight="1" outlineLevel="1" thickBot="1" x14ac:dyDescent="0.3">
      <c r="C192" s="83"/>
      <c r="D192" s="60"/>
      <c r="E192" s="54" t="s">
        <v>9</v>
      </c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70"/>
      <c r="Q192" s="34"/>
      <c r="R192" s="34"/>
      <c r="S192" s="34"/>
      <c r="T192" s="34"/>
      <c r="U192" s="34"/>
      <c r="V192" s="34"/>
      <c r="W192" s="70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  <c r="HB192" s="34"/>
      <c r="HC192" s="34"/>
      <c r="HD192" s="34"/>
      <c r="HE192" s="34"/>
      <c r="HF192" s="34"/>
      <c r="HG192" s="34"/>
      <c r="HH192" s="34"/>
      <c r="HI192" s="34"/>
      <c r="HJ192" s="34"/>
      <c r="HK192" s="34"/>
      <c r="HL192" s="34"/>
      <c r="HM192" s="34"/>
      <c r="HN192" s="34"/>
      <c r="HO192" s="34"/>
      <c r="HP192" s="34"/>
      <c r="HQ192" s="34"/>
      <c r="HR192" s="34"/>
      <c r="HS192" s="34"/>
      <c r="HT192" s="34"/>
      <c r="HU192" s="34"/>
      <c r="HV192" s="34"/>
      <c r="HW192" s="34"/>
      <c r="HX192" s="34"/>
      <c r="HY192" s="34"/>
      <c r="HZ192" s="34"/>
      <c r="IA192" s="34"/>
      <c r="IB192" s="34"/>
      <c r="IC192" s="34"/>
      <c r="ID192" s="34"/>
      <c r="IE192" s="34"/>
      <c r="IF192" s="34"/>
      <c r="IG192" s="34"/>
      <c r="IH192" s="34"/>
      <c r="II192" s="34"/>
      <c r="IJ192" s="34"/>
      <c r="IK192" s="34"/>
      <c r="IL192" s="34"/>
      <c r="IM192" s="34"/>
      <c r="IN192" s="34"/>
      <c r="IO192" s="34"/>
      <c r="IP192" s="34"/>
      <c r="IQ192" s="34"/>
      <c r="IR192" s="34"/>
      <c r="IS192" s="34"/>
      <c r="IT192" s="34"/>
      <c r="IU192" s="34"/>
      <c r="IV192" s="34"/>
      <c r="IW192" s="34"/>
      <c r="IX192" s="34"/>
      <c r="IY192" s="34"/>
      <c r="IZ192" s="34"/>
      <c r="JA192" s="34"/>
      <c r="JB192" s="34"/>
      <c r="JC192" s="34"/>
      <c r="JD192" s="34"/>
      <c r="JE192" s="34"/>
      <c r="JF192" s="34"/>
      <c r="JG192" s="34"/>
      <c r="JH192" s="34"/>
      <c r="JI192" s="34"/>
      <c r="JJ192" s="34"/>
      <c r="JK192" s="34"/>
      <c r="JL192" s="34"/>
      <c r="JM192" s="34"/>
      <c r="JN192" s="34"/>
      <c r="JO192" s="34"/>
      <c r="JP192" s="34"/>
      <c r="JQ192" s="34"/>
      <c r="JR192" s="34"/>
      <c r="JS192" s="34"/>
      <c r="JT192" s="34"/>
      <c r="JU192" s="34"/>
      <c r="JV192" s="34"/>
      <c r="JW192" s="34"/>
      <c r="JX192" s="34"/>
      <c r="JY192" s="34"/>
      <c r="JZ192" s="34"/>
      <c r="KA192" s="34"/>
      <c r="KB192" s="34"/>
      <c r="KC192" s="34"/>
      <c r="KD192" s="34"/>
      <c r="KE192" s="34"/>
      <c r="KF192" s="34"/>
      <c r="KG192" s="34"/>
      <c r="KH192" s="34"/>
      <c r="KI192" s="34"/>
      <c r="KJ192" s="34"/>
      <c r="KK192" s="34"/>
      <c r="KL192" s="34"/>
      <c r="KM192" s="34"/>
      <c r="KN192" s="34"/>
      <c r="KO192" s="34"/>
      <c r="KP192" s="34"/>
      <c r="KQ192" s="34"/>
      <c r="KR192" s="34"/>
      <c r="KS192" s="34"/>
      <c r="KT192" s="34"/>
      <c r="KU192" s="34"/>
      <c r="KV192" s="34"/>
      <c r="KW192" s="34"/>
      <c r="KX192" s="34"/>
      <c r="KY192" s="34"/>
      <c r="KZ192" s="34"/>
      <c r="LA192" s="34"/>
      <c r="LB192" s="34"/>
      <c r="LC192" s="34"/>
      <c r="LD192" s="34"/>
      <c r="LE192" s="34"/>
      <c r="LF192" s="34"/>
      <c r="LG192" s="34"/>
      <c r="LH192" s="34"/>
      <c r="LI192" s="34"/>
      <c r="LJ192" s="34"/>
      <c r="LK192" s="34"/>
      <c r="LL192" s="34"/>
      <c r="LM192" s="34"/>
      <c r="LN192" s="34"/>
      <c r="LO192" s="34"/>
      <c r="LP192" s="34"/>
      <c r="LQ192" s="34"/>
      <c r="LR192" s="34"/>
      <c r="LS192" s="34"/>
      <c r="LT192" s="34"/>
      <c r="LU192" s="34"/>
      <c r="LV192" s="34"/>
      <c r="LW192" s="34"/>
      <c r="LX192" s="34"/>
      <c r="LY192" s="34"/>
      <c r="LZ192" s="34"/>
      <c r="MA192" s="34"/>
      <c r="MB192" s="34"/>
      <c r="MC192" s="34"/>
      <c r="MD192" s="34"/>
      <c r="ME192" s="34"/>
      <c r="MF192" s="34"/>
      <c r="MG192" s="34"/>
      <c r="MH192" s="34"/>
      <c r="MI192" s="34"/>
      <c r="MJ192" s="34"/>
      <c r="MK192" s="34"/>
      <c r="ML192" s="34"/>
      <c r="MM192" s="34"/>
      <c r="MN192" s="34"/>
      <c r="MO192" s="34"/>
      <c r="MP192" s="34"/>
      <c r="MQ192" s="34"/>
      <c r="MR192" s="34"/>
      <c r="MS192" s="34"/>
      <c r="MT192" s="34"/>
      <c r="MU192" s="34"/>
      <c r="MV192" s="34"/>
      <c r="MW192" s="34"/>
      <c r="MX192" s="34"/>
      <c r="MY192" s="34"/>
      <c r="MZ192" s="34"/>
      <c r="NA192" s="34"/>
      <c r="NB192" s="34"/>
      <c r="NC192" s="34"/>
      <c r="ND192" s="34"/>
      <c r="NE192" s="34"/>
      <c r="NF192" s="34"/>
      <c r="NG192" s="34"/>
      <c r="NH192" s="34"/>
      <c r="NI192" s="34"/>
      <c r="NJ192" s="34"/>
      <c r="NK192" s="34"/>
      <c r="NL192" s="34"/>
      <c r="NM192" s="34"/>
      <c r="NN192" s="34"/>
      <c r="NO192" s="34"/>
      <c r="NP192" s="34"/>
      <c r="NQ192" s="34"/>
      <c r="NR192" s="34"/>
      <c r="NS192" s="34"/>
      <c r="NT192" s="7">
        <f>COUNTIF(F192:NS192,"x")</f>
        <v>0</v>
      </c>
      <c r="NU192" s="81"/>
      <c r="NV192" s="32" t="str">
        <f>IF(NX192=0,"0",NX192/NX191)</f>
        <v>0</v>
      </c>
      <c r="NW192" s="37">
        <f t="shared" si="338"/>
        <v>0</v>
      </c>
      <c r="NX192" s="36">
        <f>COUNTIF(F192:AU192,"x")</f>
        <v>0</v>
      </c>
      <c r="NY192" s="81"/>
      <c r="NZ192" s="32" t="str">
        <f>IF(OB192=0,"0",OB192/OB191)</f>
        <v>0</v>
      </c>
      <c r="OA192" s="37">
        <f t="shared" si="340"/>
        <v>0</v>
      </c>
      <c r="OB192" s="36">
        <f>COUNTIF(AV192:CK192,"x")</f>
        <v>0</v>
      </c>
      <c r="OC192" s="81"/>
      <c r="OD192" s="32" t="str">
        <f>IF(OF192=0,"0",OF192/OF191)</f>
        <v>0</v>
      </c>
      <c r="OE192" s="37">
        <f t="shared" si="341"/>
        <v>0</v>
      </c>
      <c r="OF192" s="36">
        <f>COUNTIF(CL192:EA192,"x")</f>
        <v>0</v>
      </c>
      <c r="OG192" s="81"/>
      <c r="OH192" s="32" t="str">
        <f>IF(OJ192=0,"0",OJ192/OJ191)</f>
        <v>0</v>
      </c>
      <c r="OI192" s="37">
        <f t="shared" si="342"/>
        <v>0</v>
      </c>
      <c r="OJ192" s="36">
        <f>COUNTIF(EB192:FQ192,"x")</f>
        <v>0</v>
      </c>
      <c r="OK192" s="74"/>
      <c r="OL192" s="32" t="str">
        <f>IF(ON192=0,"0",ON192/ON191)</f>
        <v>0</v>
      </c>
      <c r="OM192" s="37">
        <f t="shared" si="343"/>
        <v>0</v>
      </c>
      <c r="ON192" s="36">
        <f>COUNTIF(FR192:HG192,"x")</f>
        <v>0</v>
      </c>
      <c r="OO192" s="74"/>
      <c r="OP192" s="32" t="str">
        <f>IF(OR192=0,"0",OR192/OR191)</f>
        <v>0</v>
      </c>
      <c r="OQ192" s="37">
        <f t="shared" si="344"/>
        <v>0</v>
      </c>
      <c r="OR192" s="36">
        <f>COUNTIF(HH192:IW192,"x")</f>
        <v>0</v>
      </c>
      <c r="OS192" s="74"/>
      <c r="OT192" s="32" t="str">
        <f>IF(OV192=0,"0",OV192/OV191)</f>
        <v>0</v>
      </c>
      <c r="OU192" s="37">
        <f t="shared" si="345"/>
        <v>0</v>
      </c>
      <c r="OV192" s="36">
        <f>COUNTIF(IX192:KM192,"x")</f>
        <v>0</v>
      </c>
      <c r="OW192" s="74"/>
      <c r="OX192" s="32" t="str">
        <f>IF(OZ192=0,"0",OZ192/OZ191)</f>
        <v>0</v>
      </c>
      <c r="OY192" s="37">
        <f t="shared" si="346"/>
        <v>0</v>
      </c>
      <c r="OZ192" s="36">
        <f>COUNTIF(KN192:MC192,"x")</f>
        <v>0</v>
      </c>
      <c r="PA192" s="74"/>
      <c r="PB192" s="32" t="str">
        <f>IF(PD192=0,"0",PD192/PD191)</f>
        <v>0</v>
      </c>
      <c r="PC192" s="37">
        <f t="shared" si="347"/>
        <v>0</v>
      </c>
      <c r="PD192" s="36">
        <f>COUNTIF(MD192:NS192,"x")</f>
        <v>0</v>
      </c>
      <c r="PE192" s="74"/>
    </row>
    <row r="193" spans="3:421" ht="15.75" customHeight="1" outlineLevel="1" x14ac:dyDescent="0.25">
      <c r="C193" s="82" t="s">
        <v>111</v>
      </c>
      <c r="D193" s="59"/>
      <c r="E193" s="53" t="s">
        <v>8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69"/>
      <c r="Q193" s="33"/>
      <c r="R193" s="33"/>
      <c r="S193" s="33"/>
      <c r="T193" s="33"/>
      <c r="U193" s="33"/>
      <c r="V193" s="33"/>
      <c r="W193" s="69"/>
      <c r="X193" s="33"/>
      <c r="Y193" s="33"/>
      <c r="Z193" s="33"/>
      <c r="AA193" s="33"/>
      <c r="AB193" s="33"/>
      <c r="AC193" s="33"/>
      <c r="AD193" s="33"/>
      <c r="AE193" s="33"/>
      <c r="AF193" s="33">
        <v>1</v>
      </c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  <c r="HI193" s="33"/>
      <c r="HJ193" s="33"/>
      <c r="HK193" s="33"/>
      <c r="HL193" s="33"/>
      <c r="HM193" s="33"/>
      <c r="HN193" s="33"/>
      <c r="HO193" s="33"/>
      <c r="HP193" s="33"/>
      <c r="HQ193" s="33"/>
      <c r="HR193" s="33"/>
      <c r="HS193" s="33"/>
      <c r="HT193" s="33"/>
      <c r="HU193" s="33"/>
      <c r="HV193" s="33"/>
      <c r="HW193" s="33"/>
      <c r="HX193" s="33"/>
      <c r="HY193" s="33"/>
      <c r="HZ193" s="33"/>
      <c r="IA193" s="33"/>
      <c r="IB193" s="33"/>
      <c r="IC193" s="33"/>
      <c r="ID193" s="33"/>
      <c r="IE193" s="33"/>
      <c r="IF193" s="33"/>
      <c r="IG193" s="33"/>
      <c r="IH193" s="33"/>
      <c r="II193" s="33"/>
      <c r="IJ193" s="33"/>
      <c r="IK193" s="33"/>
      <c r="IL193" s="33"/>
      <c r="IM193" s="33"/>
      <c r="IN193" s="33"/>
      <c r="IO193" s="33"/>
      <c r="IP193" s="33"/>
      <c r="IQ193" s="33"/>
      <c r="IR193" s="33"/>
      <c r="IS193" s="33"/>
      <c r="IT193" s="33"/>
      <c r="IU193" s="33"/>
      <c r="IV193" s="33"/>
      <c r="IW193" s="33"/>
      <c r="IX193" s="33"/>
      <c r="IY193" s="33"/>
      <c r="IZ193" s="33"/>
      <c r="JA193" s="33"/>
      <c r="JB193" s="33"/>
      <c r="JC193" s="33"/>
      <c r="JD193" s="33"/>
      <c r="JE193" s="33"/>
      <c r="JF193" s="33"/>
      <c r="JG193" s="33"/>
      <c r="JH193" s="33"/>
      <c r="JI193" s="33"/>
      <c r="JJ193" s="33"/>
      <c r="JK193" s="33"/>
      <c r="JL193" s="33"/>
      <c r="JM193" s="33"/>
      <c r="JN193" s="33"/>
      <c r="JO193" s="33"/>
      <c r="JP193" s="33"/>
      <c r="JQ193" s="33"/>
      <c r="JR193" s="33"/>
      <c r="JS193" s="33"/>
      <c r="JT193" s="33"/>
      <c r="JU193" s="33"/>
      <c r="JV193" s="33"/>
      <c r="JW193" s="33"/>
      <c r="JX193" s="33"/>
      <c r="JY193" s="33"/>
      <c r="JZ193" s="33"/>
      <c r="KA193" s="33"/>
      <c r="KB193" s="33"/>
      <c r="KC193" s="33"/>
      <c r="KD193" s="33"/>
      <c r="KE193" s="33"/>
      <c r="KF193" s="33"/>
      <c r="KG193" s="33"/>
      <c r="KH193" s="33"/>
      <c r="KI193" s="33"/>
      <c r="KJ193" s="33"/>
      <c r="KK193" s="33"/>
      <c r="KL193" s="33"/>
      <c r="KM193" s="33"/>
      <c r="KN193" s="33"/>
      <c r="KO193" s="33"/>
      <c r="KP193" s="33"/>
      <c r="KQ193" s="33"/>
      <c r="KR193" s="33"/>
      <c r="KS193" s="33"/>
      <c r="KT193" s="33"/>
      <c r="KU193" s="33"/>
      <c r="KV193" s="33"/>
      <c r="KW193" s="33"/>
      <c r="KX193" s="33"/>
      <c r="KY193" s="33"/>
      <c r="KZ193" s="33"/>
      <c r="LA193" s="33"/>
      <c r="LB193" s="33"/>
      <c r="LC193" s="33"/>
      <c r="LD193" s="33"/>
      <c r="LE193" s="33"/>
      <c r="LF193" s="33"/>
      <c r="LG193" s="33"/>
      <c r="LH193" s="33"/>
      <c r="LI193" s="33"/>
      <c r="LJ193" s="33"/>
      <c r="LK193" s="33"/>
      <c r="LL193" s="33"/>
      <c r="LM193" s="33"/>
      <c r="LN193" s="33"/>
      <c r="LO193" s="33"/>
      <c r="LP193" s="33"/>
      <c r="LQ193" s="33"/>
      <c r="LR193" s="33"/>
      <c r="LS193" s="33"/>
      <c r="LT193" s="33"/>
      <c r="LU193" s="33"/>
      <c r="LV193" s="33"/>
      <c r="LW193" s="33"/>
      <c r="LX193" s="33"/>
      <c r="LY193" s="33"/>
      <c r="LZ193" s="33"/>
      <c r="MA193" s="33"/>
      <c r="MB193" s="33"/>
      <c r="MC193" s="33"/>
      <c r="MD193" s="33"/>
      <c r="ME193" s="33"/>
      <c r="MF193" s="33"/>
      <c r="MG193" s="33"/>
      <c r="MH193" s="33"/>
      <c r="MI193" s="33"/>
      <c r="MJ193" s="33"/>
      <c r="MK193" s="33"/>
      <c r="ML193" s="33"/>
      <c r="MM193" s="33"/>
      <c r="MN193" s="33"/>
      <c r="MO193" s="33"/>
      <c r="MP193" s="33"/>
      <c r="MQ193" s="33"/>
      <c r="MR193" s="33"/>
      <c r="MS193" s="33"/>
      <c r="MT193" s="33"/>
      <c r="MU193" s="33"/>
      <c r="MV193" s="33"/>
      <c r="MW193" s="33"/>
      <c r="MX193" s="33"/>
      <c r="MY193" s="33"/>
      <c r="MZ193" s="33"/>
      <c r="NA193" s="33"/>
      <c r="NB193" s="33"/>
      <c r="NC193" s="33"/>
      <c r="ND193" s="33"/>
      <c r="NE193" s="33"/>
      <c r="NF193" s="33"/>
      <c r="NG193" s="33"/>
      <c r="NH193" s="33"/>
      <c r="NI193" s="33"/>
      <c r="NJ193" s="33"/>
      <c r="NK193" s="33"/>
      <c r="NL193" s="33"/>
      <c r="NM193" s="33"/>
      <c r="NN193" s="33"/>
      <c r="NO193" s="33"/>
      <c r="NP193" s="33"/>
      <c r="NQ193" s="33"/>
      <c r="NR193" s="33"/>
      <c r="NS193" s="33"/>
      <c r="NT193" s="31">
        <f>COUNTIF(F193:NS193,"1")</f>
        <v>1</v>
      </c>
      <c r="NU193" s="80">
        <f>NT194/NT193</f>
        <v>1</v>
      </c>
      <c r="NV193" s="29" t="str">
        <f>+IF(NX193&gt;=1,"1",0)</f>
        <v>1</v>
      </c>
      <c r="NW193" s="38">
        <f t="shared" si="338"/>
        <v>1</v>
      </c>
      <c r="NX193" s="35">
        <f>COUNTIF(F193:AU193,"1")</f>
        <v>1</v>
      </c>
      <c r="NY193" s="80">
        <f t="shared" ref="NY193" si="355">NX194/NX193</f>
        <v>1</v>
      </c>
      <c r="NZ193" s="29">
        <f>+IF(OB193&gt;=1,"1",0)</f>
        <v>0</v>
      </c>
      <c r="OA193" s="38">
        <f t="shared" si="340"/>
        <v>1</v>
      </c>
      <c r="OB193" s="35">
        <f>COUNTIF(AV193:CK193,"1")</f>
        <v>0</v>
      </c>
      <c r="OC193" s="80" t="e">
        <f>OB194/OB193</f>
        <v>#DIV/0!</v>
      </c>
      <c r="OD193" s="29">
        <f>+IF(OF193&gt;=1,"1",0)</f>
        <v>0</v>
      </c>
      <c r="OE193" s="38">
        <f t="shared" si="341"/>
        <v>1</v>
      </c>
      <c r="OF193" s="35">
        <f>COUNTIF(CL193:EA193,"1")</f>
        <v>0</v>
      </c>
      <c r="OG193" s="80" t="e">
        <f>OF194/OF193</f>
        <v>#DIV/0!</v>
      </c>
      <c r="OH193" s="29">
        <f>+IF(OJ193&gt;=1,"1",0)</f>
        <v>0</v>
      </c>
      <c r="OI193" s="38">
        <f t="shared" si="342"/>
        <v>1</v>
      </c>
      <c r="OJ193" s="35">
        <f>COUNTIF(EB193:FQ193,"1")</f>
        <v>0</v>
      </c>
      <c r="OK193" s="79" t="e">
        <f>OJ194/OJ193</f>
        <v>#DIV/0!</v>
      </c>
      <c r="OL193" s="29">
        <f>+IF(ON193&gt;=1,"1",0)</f>
        <v>0</v>
      </c>
      <c r="OM193" s="38">
        <f t="shared" si="343"/>
        <v>1</v>
      </c>
      <c r="ON193" s="35">
        <f>COUNTIF(FR193:HG193,"1")</f>
        <v>0</v>
      </c>
      <c r="OO193" s="79" t="e">
        <f>ON194/ON193</f>
        <v>#DIV/0!</v>
      </c>
      <c r="OP193" s="29">
        <f>+IF(OR193&gt;=1,"1",0)</f>
        <v>0</v>
      </c>
      <c r="OQ193" s="38">
        <f t="shared" si="344"/>
        <v>1</v>
      </c>
      <c r="OR193" s="35">
        <f>COUNTIF(HH193:IW193,"1")</f>
        <v>0</v>
      </c>
      <c r="OS193" s="79" t="e">
        <f>OR194/OR193</f>
        <v>#DIV/0!</v>
      </c>
      <c r="OT193" s="29">
        <f>+IF(OV193&gt;=1,"1",0)</f>
        <v>0</v>
      </c>
      <c r="OU193" s="38">
        <f t="shared" si="345"/>
        <v>1</v>
      </c>
      <c r="OV193" s="35">
        <f>COUNTIF(IX193:KM193,"1")</f>
        <v>0</v>
      </c>
      <c r="OW193" s="79" t="e">
        <f>OV194/OV193</f>
        <v>#DIV/0!</v>
      </c>
      <c r="OX193" s="29">
        <f>+IF(OZ193&gt;=1,"1",0)</f>
        <v>0</v>
      </c>
      <c r="OY193" s="38">
        <f t="shared" si="346"/>
        <v>1</v>
      </c>
      <c r="OZ193" s="35">
        <f>COUNTIF(KN193:MC193,"1")</f>
        <v>0</v>
      </c>
      <c r="PA193" s="79" t="e">
        <f>OZ194/OZ193</f>
        <v>#DIV/0!</v>
      </c>
      <c r="PB193" s="29">
        <f>+IF(PD193&gt;=1,"1",0)</f>
        <v>0</v>
      </c>
      <c r="PC193" s="38">
        <f t="shared" si="347"/>
        <v>1</v>
      </c>
      <c r="PD193" s="35">
        <f>COUNTIF(MD193:NS193,"1")</f>
        <v>0</v>
      </c>
      <c r="PE193" s="79" t="e">
        <f>PD194/PD193</f>
        <v>#DIV/0!</v>
      </c>
    </row>
    <row r="194" spans="3:421" ht="15.75" customHeight="1" outlineLevel="1" thickBot="1" x14ac:dyDescent="0.3">
      <c r="C194" s="83"/>
      <c r="D194" s="60"/>
      <c r="E194" s="54" t="s">
        <v>9</v>
      </c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70"/>
      <c r="Q194" s="34"/>
      <c r="R194" s="34"/>
      <c r="S194" s="34"/>
      <c r="T194" s="34"/>
      <c r="U194" s="34"/>
      <c r="V194" s="34"/>
      <c r="W194" s="70"/>
      <c r="X194" s="34"/>
      <c r="Y194" s="34"/>
      <c r="Z194" s="34"/>
      <c r="AA194" s="34"/>
      <c r="AB194" s="34"/>
      <c r="AC194" s="34"/>
      <c r="AD194" s="34"/>
      <c r="AE194" s="34"/>
      <c r="AF194" s="34" t="s">
        <v>116</v>
      </c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  <c r="HB194" s="34"/>
      <c r="HC194" s="34"/>
      <c r="HD194" s="34"/>
      <c r="HE194" s="34"/>
      <c r="HF194" s="34"/>
      <c r="HG194" s="34"/>
      <c r="HH194" s="34"/>
      <c r="HI194" s="34"/>
      <c r="HJ194" s="34"/>
      <c r="HK194" s="34"/>
      <c r="HL194" s="34"/>
      <c r="HM194" s="34"/>
      <c r="HN194" s="34"/>
      <c r="HO194" s="34"/>
      <c r="HP194" s="34"/>
      <c r="HQ194" s="34"/>
      <c r="HR194" s="34"/>
      <c r="HS194" s="34"/>
      <c r="HT194" s="34"/>
      <c r="HU194" s="34"/>
      <c r="HV194" s="34"/>
      <c r="HW194" s="34"/>
      <c r="HX194" s="34"/>
      <c r="HY194" s="34"/>
      <c r="HZ194" s="34"/>
      <c r="IA194" s="34"/>
      <c r="IB194" s="34"/>
      <c r="IC194" s="34"/>
      <c r="ID194" s="34"/>
      <c r="IE194" s="34"/>
      <c r="IF194" s="34"/>
      <c r="IG194" s="34"/>
      <c r="IH194" s="34"/>
      <c r="II194" s="34"/>
      <c r="IJ194" s="34"/>
      <c r="IK194" s="34"/>
      <c r="IL194" s="34"/>
      <c r="IM194" s="34"/>
      <c r="IN194" s="34"/>
      <c r="IO194" s="34"/>
      <c r="IP194" s="34"/>
      <c r="IQ194" s="34"/>
      <c r="IR194" s="34"/>
      <c r="IS194" s="34"/>
      <c r="IT194" s="34"/>
      <c r="IU194" s="34"/>
      <c r="IV194" s="34"/>
      <c r="IW194" s="34"/>
      <c r="IX194" s="34"/>
      <c r="IY194" s="34"/>
      <c r="IZ194" s="34"/>
      <c r="JA194" s="34"/>
      <c r="JB194" s="34"/>
      <c r="JC194" s="34"/>
      <c r="JD194" s="34"/>
      <c r="JE194" s="34"/>
      <c r="JF194" s="34"/>
      <c r="JG194" s="34"/>
      <c r="JH194" s="34"/>
      <c r="JI194" s="34"/>
      <c r="JJ194" s="34"/>
      <c r="JK194" s="34"/>
      <c r="JL194" s="34"/>
      <c r="JM194" s="34"/>
      <c r="JN194" s="34"/>
      <c r="JO194" s="34"/>
      <c r="JP194" s="34"/>
      <c r="JQ194" s="34"/>
      <c r="JR194" s="34"/>
      <c r="JS194" s="34"/>
      <c r="JT194" s="34"/>
      <c r="JU194" s="34"/>
      <c r="JV194" s="34"/>
      <c r="JW194" s="34"/>
      <c r="JX194" s="34"/>
      <c r="JY194" s="34"/>
      <c r="JZ194" s="34"/>
      <c r="KA194" s="34"/>
      <c r="KB194" s="34"/>
      <c r="KC194" s="34"/>
      <c r="KD194" s="34"/>
      <c r="KE194" s="34"/>
      <c r="KF194" s="34"/>
      <c r="KG194" s="34"/>
      <c r="KH194" s="34"/>
      <c r="KI194" s="34"/>
      <c r="KJ194" s="34"/>
      <c r="KK194" s="34"/>
      <c r="KL194" s="34"/>
      <c r="KM194" s="34"/>
      <c r="KN194" s="34"/>
      <c r="KO194" s="34"/>
      <c r="KP194" s="34"/>
      <c r="KQ194" s="34"/>
      <c r="KR194" s="34"/>
      <c r="KS194" s="34"/>
      <c r="KT194" s="34"/>
      <c r="KU194" s="34"/>
      <c r="KV194" s="34"/>
      <c r="KW194" s="34"/>
      <c r="KX194" s="34"/>
      <c r="KY194" s="34"/>
      <c r="KZ194" s="34"/>
      <c r="LA194" s="34"/>
      <c r="LB194" s="34"/>
      <c r="LC194" s="34"/>
      <c r="LD194" s="34"/>
      <c r="LE194" s="34"/>
      <c r="LF194" s="34"/>
      <c r="LG194" s="34"/>
      <c r="LH194" s="34"/>
      <c r="LI194" s="34"/>
      <c r="LJ194" s="34"/>
      <c r="LK194" s="34"/>
      <c r="LL194" s="34"/>
      <c r="LM194" s="34"/>
      <c r="LN194" s="34"/>
      <c r="LO194" s="34"/>
      <c r="LP194" s="34"/>
      <c r="LQ194" s="34"/>
      <c r="LR194" s="34"/>
      <c r="LS194" s="34"/>
      <c r="LT194" s="34"/>
      <c r="LU194" s="34"/>
      <c r="LV194" s="34"/>
      <c r="LW194" s="34"/>
      <c r="LX194" s="34"/>
      <c r="LY194" s="34"/>
      <c r="LZ194" s="34"/>
      <c r="MA194" s="34"/>
      <c r="MB194" s="34"/>
      <c r="MC194" s="34"/>
      <c r="MD194" s="34"/>
      <c r="ME194" s="34"/>
      <c r="MF194" s="34"/>
      <c r="MG194" s="34"/>
      <c r="MH194" s="34"/>
      <c r="MI194" s="34"/>
      <c r="MJ194" s="34"/>
      <c r="MK194" s="34"/>
      <c r="ML194" s="34"/>
      <c r="MM194" s="34"/>
      <c r="MN194" s="34"/>
      <c r="MO194" s="34"/>
      <c r="MP194" s="34"/>
      <c r="MQ194" s="34"/>
      <c r="MR194" s="34"/>
      <c r="MS194" s="34"/>
      <c r="MT194" s="34"/>
      <c r="MU194" s="34"/>
      <c r="MV194" s="34"/>
      <c r="MW194" s="34"/>
      <c r="MX194" s="34"/>
      <c r="MY194" s="34"/>
      <c r="MZ194" s="34"/>
      <c r="NA194" s="34"/>
      <c r="NB194" s="34"/>
      <c r="NC194" s="34"/>
      <c r="ND194" s="34"/>
      <c r="NE194" s="34"/>
      <c r="NF194" s="34"/>
      <c r="NG194" s="34"/>
      <c r="NH194" s="34"/>
      <c r="NI194" s="34"/>
      <c r="NJ194" s="34"/>
      <c r="NK194" s="34"/>
      <c r="NL194" s="34"/>
      <c r="NM194" s="34"/>
      <c r="NN194" s="34"/>
      <c r="NO194" s="34"/>
      <c r="NP194" s="34"/>
      <c r="NQ194" s="34"/>
      <c r="NR194" s="34"/>
      <c r="NS194" s="34"/>
      <c r="NT194" s="7">
        <f>COUNTIF(F194:NS194,"x")</f>
        <v>1</v>
      </c>
      <c r="NU194" s="81"/>
      <c r="NV194" s="32">
        <f>IF(NX194=0,"0",NX194/NX193)</f>
        <v>1</v>
      </c>
      <c r="NW194" s="37">
        <f t="shared" si="338"/>
        <v>0</v>
      </c>
      <c r="NX194" s="36">
        <f>COUNTIF(F194:AU194,"x")</f>
        <v>1</v>
      </c>
      <c r="NY194" s="81"/>
      <c r="NZ194" s="32" t="str">
        <f>IF(OB194=0,"0",OB194/OB193)</f>
        <v>0</v>
      </c>
      <c r="OA194" s="37">
        <f t="shared" si="340"/>
        <v>0</v>
      </c>
      <c r="OB194" s="36">
        <f>COUNTIF(AV194:CK194,"x")</f>
        <v>0</v>
      </c>
      <c r="OC194" s="81"/>
      <c r="OD194" s="32" t="str">
        <f>IF(OF194=0,"0",OF194/OF193)</f>
        <v>0</v>
      </c>
      <c r="OE194" s="37">
        <f t="shared" si="341"/>
        <v>0</v>
      </c>
      <c r="OF194" s="36">
        <f>COUNTIF(CL194:EA194,"x")</f>
        <v>0</v>
      </c>
      <c r="OG194" s="81"/>
      <c r="OH194" s="32" t="str">
        <f>IF(OJ194=0,"0",OJ194/OJ193)</f>
        <v>0</v>
      </c>
      <c r="OI194" s="37">
        <f t="shared" si="342"/>
        <v>0</v>
      </c>
      <c r="OJ194" s="36">
        <f>COUNTIF(EB194:FQ194,"x")</f>
        <v>0</v>
      </c>
      <c r="OK194" s="74"/>
      <c r="OL194" s="32" t="str">
        <f>IF(ON194=0,"0",ON194/ON193)</f>
        <v>0</v>
      </c>
      <c r="OM194" s="37">
        <f t="shared" si="343"/>
        <v>0</v>
      </c>
      <c r="ON194" s="36">
        <f>COUNTIF(FR194:HG194,"x")</f>
        <v>0</v>
      </c>
      <c r="OO194" s="74"/>
      <c r="OP194" s="32" t="str">
        <f>IF(OR194=0,"0",OR194/OR193)</f>
        <v>0</v>
      </c>
      <c r="OQ194" s="37">
        <f t="shared" si="344"/>
        <v>0</v>
      </c>
      <c r="OR194" s="36">
        <f>COUNTIF(HH194:IW194,"x")</f>
        <v>0</v>
      </c>
      <c r="OS194" s="74"/>
      <c r="OT194" s="32" t="str">
        <f>IF(OV194=0,"0",OV194/OV193)</f>
        <v>0</v>
      </c>
      <c r="OU194" s="37">
        <f t="shared" si="345"/>
        <v>0</v>
      </c>
      <c r="OV194" s="36">
        <f>COUNTIF(IX194:KM194,"x")</f>
        <v>0</v>
      </c>
      <c r="OW194" s="74"/>
      <c r="OX194" s="32" t="str">
        <f>IF(OZ194=0,"0",OZ194/OZ193)</f>
        <v>0</v>
      </c>
      <c r="OY194" s="37">
        <f t="shared" si="346"/>
        <v>0</v>
      </c>
      <c r="OZ194" s="36">
        <f>COUNTIF(KN194:MC194,"x")</f>
        <v>0</v>
      </c>
      <c r="PA194" s="74"/>
      <c r="PB194" s="32" t="str">
        <f>IF(PD194=0,"0",PD194/PD193)</f>
        <v>0</v>
      </c>
      <c r="PC194" s="37">
        <f t="shared" si="347"/>
        <v>0</v>
      </c>
      <c r="PD194" s="36">
        <f>COUNTIF(MD194:NS194,"x")</f>
        <v>0</v>
      </c>
      <c r="PE194" s="74"/>
    </row>
    <row r="195" spans="3:421" ht="15.75" customHeight="1" outlineLevel="1" x14ac:dyDescent="0.25">
      <c r="C195" s="123" t="s">
        <v>121</v>
      </c>
      <c r="D195" s="59"/>
      <c r="E195" s="53" t="s">
        <v>8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69"/>
      <c r="Q195" s="33"/>
      <c r="R195" s="33"/>
      <c r="S195" s="33"/>
      <c r="T195" s="33"/>
      <c r="U195" s="33"/>
      <c r="V195" s="33"/>
      <c r="W195" s="69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>
        <v>1</v>
      </c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  <c r="HI195" s="33"/>
      <c r="HJ195" s="33"/>
      <c r="HK195" s="33"/>
      <c r="HL195" s="33"/>
      <c r="HM195" s="33"/>
      <c r="HN195" s="33"/>
      <c r="HO195" s="33"/>
      <c r="HP195" s="33"/>
      <c r="HQ195" s="33"/>
      <c r="HR195" s="33"/>
      <c r="HS195" s="33"/>
      <c r="HT195" s="33"/>
      <c r="HU195" s="33"/>
      <c r="HV195" s="33"/>
      <c r="HW195" s="33"/>
      <c r="HX195" s="33"/>
      <c r="HY195" s="33"/>
      <c r="HZ195" s="33"/>
      <c r="IA195" s="33"/>
      <c r="IB195" s="33"/>
      <c r="IC195" s="33"/>
      <c r="ID195" s="33"/>
      <c r="IE195" s="33"/>
      <c r="IF195" s="33"/>
      <c r="IG195" s="33"/>
      <c r="IH195" s="33"/>
      <c r="II195" s="33"/>
      <c r="IJ195" s="33"/>
      <c r="IK195" s="33"/>
      <c r="IL195" s="33"/>
      <c r="IM195" s="33"/>
      <c r="IN195" s="33"/>
      <c r="IO195" s="33"/>
      <c r="IP195" s="33"/>
      <c r="IQ195" s="33"/>
      <c r="IR195" s="33"/>
      <c r="IS195" s="33"/>
      <c r="IT195" s="33"/>
      <c r="IU195" s="33"/>
      <c r="IV195" s="33"/>
      <c r="IW195" s="33"/>
      <c r="IX195" s="33"/>
      <c r="IY195" s="33"/>
      <c r="IZ195" s="33"/>
      <c r="JA195" s="33"/>
      <c r="JB195" s="33"/>
      <c r="JC195" s="33"/>
      <c r="JD195" s="33"/>
      <c r="JE195" s="33"/>
      <c r="JF195" s="33"/>
      <c r="JG195" s="33"/>
      <c r="JH195" s="33"/>
      <c r="JI195" s="33"/>
      <c r="JJ195" s="33"/>
      <c r="JK195" s="33"/>
      <c r="JL195" s="33"/>
      <c r="JM195" s="33"/>
      <c r="JN195" s="33"/>
      <c r="JO195" s="33"/>
      <c r="JP195" s="33"/>
      <c r="JQ195" s="33"/>
      <c r="JR195" s="33"/>
      <c r="JS195" s="33"/>
      <c r="JT195" s="33"/>
      <c r="JU195" s="33"/>
      <c r="JV195" s="33"/>
      <c r="JW195" s="33"/>
      <c r="JX195" s="33"/>
      <c r="JY195" s="33"/>
      <c r="JZ195" s="33"/>
      <c r="KA195" s="33"/>
      <c r="KB195" s="33"/>
      <c r="KC195" s="33"/>
      <c r="KD195" s="33"/>
      <c r="KE195" s="33"/>
      <c r="KF195" s="33"/>
      <c r="KG195" s="33"/>
      <c r="KH195" s="33"/>
      <c r="KI195" s="33"/>
      <c r="KJ195" s="33"/>
      <c r="KK195" s="33"/>
      <c r="KL195" s="33"/>
      <c r="KM195" s="33"/>
      <c r="KN195" s="33"/>
      <c r="KO195" s="33"/>
      <c r="KP195" s="33"/>
      <c r="KQ195" s="33"/>
      <c r="KR195" s="33"/>
      <c r="KS195" s="33"/>
      <c r="KT195" s="33"/>
      <c r="KU195" s="33"/>
      <c r="KV195" s="33"/>
      <c r="KW195" s="33"/>
      <c r="KX195" s="33"/>
      <c r="KY195" s="33"/>
      <c r="KZ195" s="33"/>
      <c r="LA195" s="33"/>
      <c r="LB195" s="33"/>
      <c r="LC195" s="33"/>
      <c r="LD195" s="33"/>
      <c r="LE195" s="33"/>
      <c r="LF195" s="33"/>
      <c r="LG195" s="33"/>
      <c r="LH195" s="33"/>
      <c r="LI195" s="33"/>
      <c r="LJ195" s="33"/>
      <c r="LK195" s="33"/>
      <c r="LL195" s="33"/>
      <c r="LM195" s="33"/>
      <c r="LN195" s="33"/>
      <c r="LO195" s="33"/>
      <c r="LP195" s="33"/>
      <c r="LQ195" s="33"/>
      <c r="LR195" s="33"/>
      <c r="LS195" s="33"/>
      <c r="LT195" s="33"/>
      <c r="LU195" s="33"/>
      <c r="LV195" s="33"/>
      <c r="LW195" s="33"/>
      <c r="LX195" s="33"/>
      <c r="LY195" s="33"/>
      <c r="LZ195" s="33"/>
      <c r="MA195" s="33"/>
      <c r="MB195" s="33"/>
      <c r="MC195" s="33"/>
      <c r="MD195" s="33"/>
      <c r="ME195" s="33"/>
      <c r="MF195" s="33"/>
      <c r="MG195" s="33"/>
      <c r="MH195" s="33"/>
      <c r="MI195" s="33"/>
      <c r="MJ195" s="33"/>
      <c r="MK195" s="33"/>
      <c r="ML195" s="33"/>
      <c r="MM195" s="33"/>
      <c r="MN195" s="33"/>
      <c r="MO195" s="33"/>
      <c r="MP195" s="33"/>
      <c r="MQ195" s="33"/>
      <c r="MR195" s="33"/>
      <c r="MS195" s="33"/>
      <c r="MT195" s="33"/>
      <c r="MU195" s="33"/>
      <c r="MV195" s="33"/>
      <c r="MW195" s="33"/>
      <c r="MX195" s="33"/>
      <c r="MY195" s="33"/>
      <c r="MZ195" s="33"/>
      <c r="NA195" s="33"/>
      <c r="NB195" s="33"/>
      <c r="NC195" s="33"/>
      <c r="ND195" s="33"/>
      <c r="NE195" s="33"/>
      <c r="NF195" s="33"/>
      <c r="NG195" s="33"/>
      <c r="NH195" s="33"/>
      <c r="NI195" s="33"/>
      <c r="NJ195" s="33"/>
      <c r="NK195" s="33"/>
      <c r="NL195" s="33"/>
      <c r="NM195" s="33"/>
      <c r="NN195" s="33"/>
      <c r="NO195" s="33"/>
      <c r="NP195" s="33"/>
      <c r="NQ195" s="33"/>
      <c r="NR195" s="33"/>
      <c r="NS195" s="33"/>
      <c r="NT195" s="31">
        <f>COUNTIF(F195:NS195,"1")</f>
        <v>1</v>
      </c>
      <c r="NU195" s="80">
        <f>NT196/NT195</f>
        <v>1</v>
      </c>
      <c r="NV195" s="29" t="str">
        <f>+IF(NX195&gt;=1,"1",0)</f>
        <v>1</v>
      </c>
      <c r="NW195" s="38">
        <f t="shared" si="338"/>
        <v>1</v>
      </c>
      <c r="NX195" s="35">
        <f>COUNTIF(F195:AU195,"1")</f>
        <v>1</v>
      </c>
      <c r="NY195" s="80">
        <f t="shared" ref="NY195" si="356">NX196/NX195</f>
        <v>1</v>
      </c>
      <c r="NZ195" s="29">
        <f>+IF(OB195&gt;=1,"1",0)</f>
        <v>0</v>
      </c>
      <c r="OA195" s="38">
        <f t="shared" si="340"/>
        <v>1</v>
      </c>
      <c r="OB195" s="35">
        <f>COUNTIF(AV195:CK195,"1")</f>
        <v>0</v>
      </c>
      <c r="OC195" s="80" t="e">
        <f>OB196/OB195</f>
        <v>#DIV/0!</v>
      </c>
      <c r="OD195" s="29">
        <f>+IF(OF195&gt;=1,"1",0)</f>
        <v>0</v>
      </c>
      <c r="OE195" s="38">
        <f t="shared" si="341"/>
        <v>1</v>
      </c>
      <c r="OF195" s="35">
        <f>COUNTIF(CL195:EA195,"1")</f>
        <v>0</v>
      </c>
      <c r="OG195" s="80" t="e">
        <f>OF196/OF195</f>
        <v>#DIV/0!</v>
      </c>
      <c r="OH195" s="29">
        <f>+IF(OJ195&gt;=1,"1",0)</f>
        <v>0</v>
      </c>
      <c r="OI195" s="38">
        <f t="shared" si="342"/>
        <v>1</v>
      </c>
      <c r="OJ195" s="35">
        <f>COUNTIF(EB195:FQ195,"1")</f>
        <v>0</v>
      </c>
      <c r="OK195" s="79" t="e">
        <f>OJ196/OJ195</f>
        <v>#DIV/0!</v>
      </c>
      <c r="OL195" s="29">
        <f>+IF(ON195&gt;=1,"1",0)</f>
        <v>0</v>
      </c>
      <c r="OM195" s="38">
        <f t="shared" si="343"/>
        <v>1</v>
      </c>
      <c r="ON195" s="35">
        <f>COUNTIF(FR195:HG195,"1")</f>
        <v>0</v>
      </c>
      <c r="OO195" s="79" t="e">
        <f>ON196/ON195</f>
        <v>#DIV/0!</v>
      </c>
      <c r="OP195" s="29">
        <f>+IF(OR195&gt;=1,"1",0)</f>
        <v>0</v>
      </c>
      <c r="OQ195" s="38">
        <f t="shared" si="344"/>
        <v>1</v>
      </c>
      <c r="OR195" s="35">
        <f>COUNTIF(HH195:IW195,"1")</f>
        <v>0</v>
      </c>
      <c r="OS195" s="79" t="e">
        <f>OR196/OR195</f>
        <v>#DIV/0!</v>
      </c>
      <c r="OT195" s="29">
        <f>+IF(OV195&gt;=1,"1",0)</f>
        <v>0</v>
      </c>
      <c r="OU195" s="38">
        <f t="shared" si="345"/>
        <v>1</v>
      </c>
      <c r="OV195" s="35">
        <f>COUNTIF(IX195:KM195,"1")</f>
        <v>0</v>
      </c>
      <c r="OW195" s="79" t="e">
        <f>OV196/OV195</f>
        <v>#DIV/0!</v>
      </c>
      <c r="OX195" s="29">
        <f>+IF(OZ195&gt;=1,"1",0)</f>
        <v>0</v>
      </c>
      <c r="OY195" s="38">
        <f t="shared" si="346"/>
        <v>1</v>
      </c>
      <c r="OZ195" s="35">
        <f>COUNTIF(KN195:MC195,"1")</f>
        <v>0</v>
      </c>
      <c r="PA195" s="79" t="e">
        <f>OZ196/OZ195</f>
        <v>#DIV/0!</v>
      </c>
      <c r="PB195" s="29">
        <f>+IF(PD195&gt;=1,"1",0)</f>
        <v>0</v>
      </c>
      <c r="PC195" s="38">
        <f t="shared" si="347"/>
        <v>1</v>
      </c>
      <c r="PD195" s="35">
        <f>COUNTIF(MD195:NS195,"1")</f>
        <v>0</v>
      </c>
      <c r="PE195" s="79" t="e">
        <f>PD196/PD195</f>
        <v>#DIV/0!</v>
      </c>
    </row>
    <row r="196" spans="3:421" ht="15.75" customHeight="1" outlineLevel="1" thickBot="1" x14ac:dyDescent="0.3">
      <c r="C196" s="124"/>
      <c r="D196" s="60"/>
      <c r="E196" s="54" t="s">
        <v>9</v>
      </c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70"/>
      <c r="Q196" s="34"/>
      <c r="R196" s="34"/>
      <c r="S196" s="34"/>
      <c r="T196" s="34"/>
      <c r="U196" s="34"/>
      <c r="V196" s="34"/>
      <c r="W196" s="70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 t="s">
        <v>116</v>
      </c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  <c r="HB196" s="34"/>
      <c r="HC196" s="34"/>
      <c r="HD196" s="34"/>
      <c r="HE196" s="34"/>
      <c r="HF196" s="34"/>
      <c r="HG196" s="34"/>
      <c r="HH196" s="34"/>
      <c r="HI196" s="34"/>
      <c r="HJ196" s="34"/>
      <c r="HK196" s="34"/>
      <c r="HL196" s="34"/>
      <c r="HM196" s="34"/>
      <c r="HN196" s="34"/>
      <c r="HO196" s="34"/>
      <c r="HP196" s="34"/>
      <c r="HQ196" s="34"/>
      <c r="HR196" s="34"/>
      <c r="HS196" s="34"/>
      <c r="HT196" s="34"/>
      <c r="HU196" s="34"/>
      <c r="HV196" s="34"/>
      <c r="HW196" s="34"/>
      <c r="HX196" s="34"/>
      <c r="HY196" s="34"/>
      <c r="HZ196" s="34"/>
      <c r="IA196" s="34"/>
      <c r="IB196" s="34"/>
      <c r="IC196" s="34"/>
      <c r="ID196" s="34"/>
      <c r="IE196" s="34"/>
      <c r="IF196" s="34"/>
      <c r="IG196" s="34"/>
      <c r="IH196" s="34"/>
      <c r="II196" s="34"/>
      <c r="IJ196" s="34"/>
      <c r="IK196" s="34"/>
      <c r="IL196" s="34"/>
      <c r="IM196" s="34"/>
      <c r="IN196" s="34"/>
      <c r="IO196" s="34"/>
      <c r="IP196" s="34"/>
      <c r="IQ196" s="34"/>
      <c r="IR196" s="34"/>
      <c r="IS196" s="34"/>
      <c r="IT196" s="34"/>
      <c r="IU196" s="34"/>
      <c r="IV196" s="34"/>
      <c r="IW196" s="34"/>
      <c r="IX196" s="34"/>
      <c r="IY196" s="34"/>
      <c r="IZ196" s="34"/>
      <c r="JA196" s="34"/>
      <c r="JB196" s="34"/>
      <c r="JC196" s="34"/>
      <c r="JD196" s="34"/>
      <c r="JE196" s="34"/>
      <c r="JF196" s="34"/>
      <c r="JG196" s="34"/>
      <c r="JH196" s="34"/>
      <c r="JI196" s="34"/>
      <c r="JJ196" s="34"/>
      <c r="JK196" s="34"/>
      <c r="JL196" s="34"/>
      <c r="JM196" s="34"/>
      <c r="JN196" s="34"/>
      <c r="JO196" s="34"/>
      <c r="JP196" s="34"/>
      <c r="JQ196" s="34"/>
      <c r="JR196" s="34"/>
      <c r="JS196" s="34"/>
      <c r="JT196" s="34"/>
      <c r="JU196" s="34"/>
      <c r="JV196" s="34"/>
      <c r="JW196" s="34"/>
      <c r="JX196" s="34"/>
      <c r="JY196" s="34"/>
      <c r="JZ196" s="34"/>
      <c r="KA196" s="34"/>
      <c r="KB196" s="34"/>
      <c r="KC196" s="34"/>
      <c r="KD196" s="34"/>
      <c r="KE196" s="34"/>
      <c r="KF196" s="34"/>
      <c r="KG196" s="34"/>
      <c r="KH196" s="34"/>
      <c r="KI196" s="34"/>
      <c r="KJ196" s="34"/>
      <c r="KK196" s="34"/>
      <c r="KL196" s="34"/>
      <c r="KM196" s="34"/>
      <c r="KN196" s="34"/>
      <c r="KO196" s="34"/>
      <c r="KP196" s="34"/>
      <c r="KQ196" s="34"/>
      <c r="KR196" s="34"/>
      <c r="KS196" s="34"/>
      <c r="KT196" s="34"/>
      <c r="KU196" s="34"/>
      <c r="KV196" s="34"/>
      <c r="KW196" s="34"/>
      <c r="KX196" s="34"/>
      <c r="KY196" s="34"/>
      <c r="KZ196" s="34"/>
      <c r="LA196" s="34"/>
      <c r="LB196" s="34"/>
      <c r="LC196" s="34"/>
      <c r="LD196" s="34"/>
      <c r="LE196" s="34"/>
      <c r="LF196" s="34"/>
      <c r="LG196" s="34"/>
      <c r="LH196" s="34"/>
      <c r="LI196" s="34"/>
      <c r="LJ196" s="34"/>
      <c r="LK196" s="34"/>
      <c r="LL196" s="34"/>
      <c r="LM196" s="34"/>
      <c r="LN196" s="34"/>
      <c r="LO196" s="34"/>
      <c r="LP196" s="34"/>
      <c r="LQ196" s="34"/>
      <c r="LR196" s="34"/>
      <c r="LS196" s="34"/>
      <c r="LT196" s="34"/>
      <c r="LU196" s="34"/>
      <c r="LV196" s="34"/>
      <c r="LW196" s="34"/>
      <c r="LX196" s="34"/>
      <c r="LY196" s="34"/>
      <c r="LZ196" s="34"/>
      <c r="MA196" s="34"/>
      <c r="MB196" s="34"/>
      <c r="MC196" s="34"/>
      <c r="MD196" s="34"/>
      <c r="ME196" s="34"/>
      <c r="MF196" s="34"/>
      <c r="MG196" s="34"/>
      <c r="MH196" s="34"/>
      <c r="MI196" s="34"/>
      <c r="MJ196" s="34"/>
      <c r="MK196" s="34"/>
      <c r="ML196" s="34"/>
      <c r="MM196" s="34"/>
      <c r="MN196" s="34"/>
      <c r="MO196" s="34"/>
      <c r="MP196" s="34"/>
      <c r="MQ196" s="34"/>
      <c r="MR196" s="34"/>
      <c r="MS196" s="34"/>
      <c r="MT196" s="34"/>
      <c r="MU196" s="34"/>
      <c r="MV196" s="34"/>
      <c r="MW196" s="34"/>
      <c r="MX196" s="34"/>
      <c r="MY196" s="34"/>
      <c r="MZ196" s="34"/>
      <c r="NA196" s="34"/>
      <c r="NB196" s="34"/>
      <c r="NC196" s="34"/>
      <c r="ND196" s="34"/>
      <c r="NE196" s="34"/>
      <c r="NF196" s="34"/>
      <c r="NG196" s="34"/>
      <c r="NH196" s="34"/>
      <c r="NI196" s="34"/>
      <c r="NJ196" s="34"/>
      <c r="NK196" s="34"/>
      <c r="NL196" s="34"/>
      <c r="NM196" s="34"/>
      <c r="NN196" s="34"/>
      <c r="NO196" s="34"/>
      <c r="NP196" s="34"/>
      <c r="NQ196" s="34"/>
      <c r="NR196" s="34"/>
      <c r="NS196" s="34"/>
      <c r="NT196" s="7">
        <f>COUNTIF(F196:NS196,"x")</f>
        <v>1</v>
      </c>
      <c r="NU196" s="81"/>
      <c r="NV196" s="32">
        <f>IF(NX196=0,"0",NX196/NX195)</f>
        <v>1</v>
      </c>
      <c r="NW196" s="37">
        <f t="shared" si="338"/>
        <v>0</v>
      </c>
      <c r="NX196" s="36">
        <f>COUNTIF(F196:AU196,"x")</f>
        <v>1</v>
      </c>
      <c r="NY196" s="81"/>
      <c r="NZ196" s="32" t="str">
        <f>IF(OB196=0,"0",OB196/OB195)</f>
        <v>0</v>
      </c>
      <c r="OA196" s="37">
        <f t="shared" si="340"/>
        <v>0</v>
      </c>
      <c r="OB196" s="36">
        <f>COUNTIF(AV196:CK196,"x")</f>
        <v>0</v>
      </c>
      <c r="OC196" s="81"/>
      <c r="OD196" s="32" t="str">
        <f>IF(OF196=0,"0",OF196/OF195)</f>
        <v>0</v>
      </c>
      <c r="OE196" s="37">
        <f t="shared" si="341"/>
        <v>0</v>
      </c>
      <c r="OF196" s="36">
        <f>COUNTIF(CL196:EA196,"x")</f>
        <v>0</v>
      </c>
      <c r="OG196" s="81"/>
      <c r="OH196" s="32" t="str">
        <f>IF(OJ196=0,"0",OJ196/OJ195)</f>
        <v>0</v>
      </c>
      <c r="OI196" s="37">
        <f t="shared" si="342"/>
        <v>0</v>
      </c>
      <c r="OJ196" s="36">
        <f>COUNTIF(EB196:FQ196,"x")</f>
        <v>0</v>
      </c>
      <c r="OK196" s="74"/>
      <c r="OL196" s="32" t="str">
        <f>IF(ON196=0,"0",ON196/ON195)</f>
        <v>0</v>
      </c>
      <c r="OM196" s="37">
        <f t="shared" si="343"/>
        <v>0</v>
      </c>
      <c r="ON196" s="36">
        <f>COUNTIF(FR196:HG196,"x")</f>
        <v>0</v>
      </c>
      <c r="OO196" s="74"/>
      <c r="OP196" s="32" t="str">
        <f>IF(OR196=0,"0",OR196/OR195)</f>
        <v>0</v>
      </c>
      <c r="OQ196" s="37">
        <f t="shared" si="344"/>
        <v>0</v>
      </c>
      <c r="OR196" s="36">
        <f>COUNTIF(HH196:IW196,"x")</f>
        <v>0</v>
      </c>
      <c r="OS196" s="74"/>
      <c r="OT196" s="32" t="str">
        <f>IF(OV196=0,"0",OV196/OV195)</f>
        <v>0</v>
      </c>
      <c r="OU196" s="37">
        <f t="shared" si="345"/>
        <v>0</v>
      </c>
      <c r="OV196" s="36">
        <f>COUNTIF(IX196:KM196,"x")</f>
        <v>0</v>
      </c>
      <c r="OW196" s="74"/>
      <c r="OX196" s="32" t="str">
        <f>IF(OZ196=0,"0",OZ196/OZ195)</f>
        <v>0</v>
      </c>
      <c r="OY196" s="37">
        <f t="shared" si="346"/>
        <v>0</v>
      </c>
      <c r="OZ196" s="36">
        <f>COUNTIF(KN196:MC196,"x")</f>
        <v>0</v>
      </c>
      <c r="PA196" s="74"/>
      <c r="PB196" s="32" t="str">
        <f>IF(PD196=0,"0",PD196/PD195)</f>
        <v>0</v>
      </c>
      <c r="PC196" s="37">
        <f t="shared" si="347"/>
        <v>0</v>
      </c>
      <c r="PD196" s="36">
        <f>COUNTIF(MD196:NS196,"x")</f>
        <v>0</v>
      </c>
      <c r="PE196" s="74"/>
    </row>
    <row r="197" spans="3:421" ht="15.75" customHeight="1" outlineLevel="1" x14ac:dyDescent="0.25">
      <c r="C197" s="123" t="s">
        <v>117</v>
      </c>
      <c r="D197" s="59"/>
      <c r="E197" s="53" t="s">
        <v>8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69"/>
      <c r="Q197" s="33"/>
      <c r="R197" s="33"/>
      <c r="S197" s="33"/>
      <c r="T197" s="33"/>
      <c r="U197" s="33"/>
      <c r="V197" s="33"/>
      <c r="W197" s="69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>
        <v>1</v>
      </c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  <c r="HI197" s="33"/>
      <c r="HJ197" s="33"/>
      <c r="HK197" s="33"/>
      <c r="HL197" s="33"/>
      <c r="HM197" s="33"/>
      <c r="HN197" s="33"/>
      <c r="HO197" s="33"/>
      <c r="HP197" s="33"/>
      <c r="HQ197" s="33"/>
      <c r="HR197" s="33"/>
      <c r="HS197" s="33"/>
      <c r="HT197" s="33"/>
      <c r="HU197" s="33"/>
      <c r="HV197" s="33"/>
      <c r="HW197" s="33"/>
      <c r="HX197" s="33"/>
      <c r="HY197" s="33"/>
      <c r="HZ197" s="33"/>
      <c r="IA197" s="33"/>
      <c r="IB197" s="33"/>
      <c r="IC197" s="33"/>
      <c r="ID197" s="33"/>
      <c r="IE197" s="33"/>
      <c r="IF197" s="33"/>
      <c r="IG197" s="33"/>
      <c r="IH197" s="33"/>
      <c r="II197" s="33"/>
      <c r="IJ197" s="33"/>
      <c r="IK197" s="33"/>
      <c r="IL197" s="33"/>
      <c r="IM197" s="33"/>
      <c r="IN197" s="33"/>
      <c r="IO197" s="33"/>
      <c r="IP197" s="33"/>
      <c r="IQ197" s="33"/>
      <c r="IR197" s="33"/>
      <c r="IS197" s="33"/>
      <c r="IT197" s="33"/>
      <c r="IU197" s="33"/>
      <c r="IV197" s="33"/>
      <c r="IW197" s="33"/>
      <c r="IX197" s="33"/>
      <c r="IY197" s="33"/>
      <c r="IZ197" s="33"/>
      <c r="JA197" s="33"/>
      <c r="JB197" s="33"/>
      <c r="JC197" s="33"/>
      <c r="JD197" s="33"/>
      <c r="JE197" s="33"/>
      <c r="JF197" s="33"/>
      <c r="JG197" s="33"/>
      <c r="JH197" s="33"/>
      <c r="JI197" s="33"/>
      <c r="JJ197" s="33"/>
      <c r="JK197" s="33"/>
      <c r="JL197" s="33"/>
      <c r="JM197" s="33"/>
      <c r="JN197" s="33"/>
      <c r="JO197" s="33"/>
      <c r="JP197" s="33"/>
      <c r="JQ197" s="33"/>
      <c r="JR197" s="33"/>
      <c r="JS197" s="33"/>
      <c r="JT197" s="33"/>
      <c r="JU197" s="33"/>
      <c r="JV197" s="33"/>
      <c r="JW197" s="33"/>
      <c r="JX197" s="33"/>
      <c r="JY197" s="33"/>
      <c r="JZ197" s="33"/>
      <c r="KA197" s="33"/>
      <c r="KB197" s="33"/>
      <c r="KC197" s="33"/>
      <c r="KD197" s="33"/>
      <c r="KE197" s="33"/>
      <c r="KF197" s="33"/>
      <c r="KG197" s="33"/>
      <c r="KH197" s="33"/>
      <c r="KI197" s="33"/>
      <c r="KJ197" s="33"/>
      <c r="KK197" s="33"/>
      <c r="KL197" s="33"/>
      <c r="KM197" s="33"/>
      <c r="KN197" s="33"/>
      <c r="KO197" s="33"/>
      <c r="KP197" s="33"/>
      <c r="KQ197" s="33"/>
      <c r="KR197" s="33"/>
      <c r="KS197" s="33"/>
      <c r="KT197" s="33"/>
      <c r="KU197" s="33"/>
      <c r="KV197" s="33"/>
      <c r="KW197" s="33"/>
      <c r="KX197" s="33"/>
      <c r="KY197" s="33"/>
      <c r="KZ197" s="33"/>
      <c r="LA197" s="33"/>
      <c r="LB197" s="33"/>
      <c r="LC197" s="33"/>
      <c r="LD197" s="33"/>
      <c r="LE197" s="33"/>
      <c r="LF197" s="33"/>
      <c r="LG197" s="33"/>
      <c r="LH197" s="33"/>
      <c r="LI197" s="33"/>
      <c r="LJ197" s="33"/>
      <c r="LK197" s="33"/>
      <c r="LL197" s="33"/>
      <c r="LM197" s="33"/>
      <c r="LN197" s="33"/>
      <c r="LO197" s="33"/>
      <c r="LP197" s="33"/>
      <c r="LQ197" s="33"/>
      <c r="LR197" s="33"/>
      <c r="LS197" s="33"/>
      <c r="LT197" s="33"/>
      <c r="LU197" s="33"/>
      <c r="LV197" s="33"/>
      <c r="LW197" s="33"/>
      <c r="LX197" s="33"/>
      <c r="LY197" s="33"/>
      <c r="LZ197" s="33"/>
      <c r="MA197" s="33"/>
      <c r="MB197" s="33"/>
      <c r="MC197" s="33"/>
      <c r="MD197" s="33"/>
      <c r="ME197" s="33"/>
      <c r="MF197" s="33"/>
      <c r="MG197" s="33"/>
      <c r="MH197" s="33"/>
      <c r="MI197" s="33"/>
      <c r="MJ197" s="33"/>
      <c r="MK197" s="33"/>
      <c r="ML197" s="33"/>
      <c r="MM197" s="33"/>
      <c r="MN197" s="33"/>
      <c r="MO197" s="33"/>
      <c r="MP197" s="33"/>
      <c r="MQ197" s="33"/>
      <c r="MR197" s="33"/>
      <c r="MS197" s="33"/>
      <c r="MT197" s="33"/>
      <c r="MU197" s="33"/>
      <c r="MV197" s="33"/>
      <c r="MW197" s="33"/>
      <c r="MX197" s="33"/>
      <c r="MY197" s="33"/>
      <c r="MZ197" s="33"/>
      <c r="NA197" s="33"/>
      <c r="NB197" s="33"/>
      <c r="NC197" s="33"/>
      <c r="ND197" s="33"/>
      <c r="NE197" s="33"/>
      <c r="NF197" s="33"/>
      <c r="NG197" s="33"/>
      <c r="NH197" s="33"/>
      <c r="NI197" s="33"/>
      <c r="NJ197" s="33"/>
      <c r="NK197" s="33"/>
      <c r="NL197" s="33"/>
      <c r="NM197" s="33"/>
      <c r="NN197" s="33"/>
      <c r="NO197" s="33"/>
      <c r="NP197" s="33"/>
      <c r="NQ197" s="33"/>
      <c r="NR197" s="33"/>
      <c r="NS197" s="33"/>
      <c r="NT197" s="31">
        <f>COUNTIF(F197:NS197,"1")</f>
        <v>1</v>
      </c>
      <c r="NU197" s="80">
        <f>NT198/NT197</f>
        <v>1</v>
      </c>
      <c r="NV197" s="29" t="str">
        <f>+IF(NX197&gt;=1,"1",0)</f>
        <v>1</v>
      </c>
      <c r="NW197" s="38">
        <f t="shared" si="338"/>
        <v>1</v>
      </c>
      <c r="NX197" s="35">
        <f>COUNTIF(F197:AU197,"1")</f>
        <v>1</v>
      </c>
      <c r="NY197" s="80">
        <f t="shared" ref="NY197" si="357">NX198/NX197</f>
        <v>1</v>
      </c>
      <c r="NZ197" s="29">
        <f>+IF(OB197&gt;=1,"1",0)</f>
        <v>0</v>
      </c>
      <c r="OA197" s="38">
        <f t="shared" si="340"/>
        <v>1</v>
      </c>
      <c r="OB197" s="35">
        <f>COUNTIF(AV197:CK197,"1")</f>
        <v>0</v>
      </c>
      <c r="OC197" s="80" t="e">
        <f>OB198/OB197</f>
        <v>#DIV/0!</v>
      </c>
      <c r="OD197" s="29">
        <f>+IF(OF197&gt;=1,"1",0)</f>
        <v>0</v>
      </c>
      <c r="OE197" s="38">
        <f t="shared" si="341"/>
        <v>1</v>
      </c>
      <c r="OF197" s="35">
        <f>COUNTIF(CL197:EA197,"1")</f>
        <v>0</v>
      </c>
      <c r="OG197" s="80" t="e">
        <f>OF198/OF197</f>
        <v>#DIV/0!</v>
      </c>
      <c r="OH197" s="29">
        <f>+IF(OJ197&gt;=1,"1",0)</f>
        <v>0</v>
      </c>
      <c r="OI197" s="38">
        <f t="shared" si="342"/>
        <v>1</v>
      </c>
      <c r="OJ197" s="35">
        <f>COUNTIF(EB197:FQ197,"1")</f>
        <v>0</v>
      </c>
      <c r="OK197" s="79" t="e">
        <f>OJ198/OJ197</f>
        <v>#DIV/0!</v>
      </c>
      <c r="OL197" s="29">
        <f>+IF(ON197&gt;=1,"1",0)</f>
        <v>0</v>
      </c>
      <c r="OM197" s="38">
        <f t="shared" si="343"/>
        <v>1</v>
      </c>
      <c r="ON197" s="35">
        <f>COUNTIF(FR197:HG197,"1")</f>
        <v>0</v>
      </c>
      <c r="OO197" s="79" t="e">
        <f>ON198/ON197</f>
        <v>#DIV/0!</v>
      </c>
      <c r="OP197" s="29">
        <f>+IF(OR197&gt;=1,"1",0)</f>
        <v>0</v>
      </c>
      <c r="OQ197" s="38">
        <f t="shared" si="344"/>
        <v>1</v>
      </c>
      <c r="OR197" s="35">
        <f>COUNTIF(HH197:IW197,"1")</f>
        <v>0</v>
      </c>
      <c r="OS197" s="79" t="e">
        <f>OR198/OR197</f>
        <v>#DIV/0!</v>
      </c>
      <c r="OT197" s="29">
        <f>+IF(OV197&gt;=1,"1",0)</f>
        <v>0</v>
      </c>
      <c r="OU197" s="38">
        <f t="shared" si="345"/>
        <v>1</v>
      </c>
      <c r="OV197" s="35">
        <f>COUNTIF(IX197:KM197,"1")</f>
        <v>0</v>
      </c>
      <c r="OW197" s="79" t="e">
        <f>OV198/OV197</f>
        <v>#DIV/0!</v>
      </c>
      <c r="OX197" s="29">
        <f>+IF(OZ197&gt;=1,"1",0)</f>
        <v>0</v>
      </c>
      <c r="OY197" s="38">
        <f t="shared" si="346"/>
        <v>1</v>
      </c>
      <c r="OZ197" s="35">
        <f>COUNTIF(KN197:MC197,"1")</f>
        <v>0</v>
      </c>
      <c r="PA197" s="79" t="e">
        <f>OZ198/OZ197</f>
        <v>#DIV/0!</v>
      </c>
      <c r="PB197" s="29">
        <f>+IF(PD197&gt;=1,"1",0)</f>
        <v>0</v>
      </c>
      <c r="PC197" s="38">
        <f t="shared" si="347"/>
        <v>1</v>
      </c>
      <c r="PD197" s="35">
        <f>COUNTIF(MD197:NS197,"1")</f>
        <v>0</v>
      </c>
      <c r="PE197" s="79" t="e">
        <f>PD198/PD197</f>
        <v>#DIV/0!</v>
      </c>
    </row>
    <row r="198" spans="3:421" ht="15.75" customHeight="1" outlineLevel="1" thickBot="1" x14ac:dyDescent="0.3">
      <c r="C198" s="124"/>
      <c r="D198" s="60"/>
      <c r="E198" s="54" t="s">
        <v>9</v>
      </c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70"/>
      <c r="Q198" s="34"/>
      <c r="R198" s="34"/>
      <c r="S198" s="34"/>
      <c r="T198" s="34"/>
      <c r="U198" s="34"/>
      <c r="V198" s="34"/>
      <c r="W198" s="70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 t="s">
        <v>116</v>
      </c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  <c r="HB198" s="34"/>
      <c r="HC198" s="34"/>
      <c r="HD198" s="34"/>
      <c r="HE198" s="34"/>
      <c r="HF198" s="34"/>
      <c r="HG198" s="34"/>
      <c r="HH198" s="34"/>
      <c r="HI198" s="34"/>
      <c r="HJ198" s="34"/>
      <c r="HK198" s="34"/>
      <c r="HL198" s="34"/>
      <c r="HM198" s="34"/>
      <c r="HN198" s="34"/>
      <c r="HO198" s="34"/>
      <c r="HP198" s="34"/>
      <c r="HQ198" s="34"/>
      <c r="HR198" s="34"/>
      <c r="HS198" s="34"/>
      <c r="HT198" s="34"/>
      <c r="HU198" s="34"/>
      <c r="HV198" s="34"/>
      <c r="HW198" s="34"/>
      <c r="HX198" s="34"/>
      <c r="HY198" s="34"/>
      <c r="HZ198" s="34"/>
      <c r="IA198" s="34"/>
      <c r="IB198" s="34"/>
      <c r="IC198" s="34"/>
      <c r="ID198" s="34"/>
      <c r="IE198" s="34"/>
      <c r="IF198" s="34"/>
      <c r="IG198" s="34"/>
      <c r="IH198" s="34"/>
      <c r="II198" s="34"/>
      <c r="IJ198" s="34"/>
      <c r="IK198" s="34"/>
      <c r="IL198" s="34"/>
      <c r="IM198" s="34"/>
      <c r="IN198" s="34"/>
      <c r="IO198" s="34"/>
      <c r="IP198" s="34"/>
      <c r="IQ198" s="34"/>
      <c r="IR198" s="34"/>
      <c r="IS198" s="34"/>
      <c r="IT198" s="34"/>
      <c r="IU198" s="34"/>
      <c r="IV198" s="34"/>
      <c r="IW198" s="34"/>
      <c r="IX198" s="34"/>
      <c r="IY198" s="34"/>
      <c r="IZ198" s="34"/>
      <c r="JA198" s="34"/>
      <c r="JB198" s="34"/>
      <c r="JC198" s="34"/>
      <c r="JD198" s="34"/>
      <c r="JE198" s="34"/>
      <c r="JF198" s="34"/>
      <c r="JG198" s="34"/>
      <c r="JH198" s="34"/>
      <c r="JI198" s="34"/>
      <c r="JJ198" s="34"/>
      <c r="JK198" s="34"/>
      <c r="JL198" s="34"/>
      <c r="JM198" s="34"/>
      <c r="JN198" s="34"/>
      <c r="JO198" s="34"/>
      <c r="JP198" s="34"/>
      <c r="JQ198" s="34"/>
      <c r="JR198" s="34"/>
      <c r="JS198" s="34"/>
      <c r="JT198" s="34"/>
      <c r="JU198" s="34"/>
      <c r="JV198" s="34"/>
      <c r="JW198" s="34"/>
      <c r="JX198" s="34"/>
      <c r="JY198" s="34"/>
      <c r="JZ198" s="34"/>
      <c r="KA198" s="34"/>
      <c r="KB198" s="34"/>
      <c r="KC198" s="34"/>
      <c r="KD198" s="34"/>
      <c r="KE198" s="34"/>
      <c r="KF198" s="34"/>
      <c r="KG198" s="34"/>
      <c r="KH198" s="34"/>
      <c r="KI198" s="34"/>
      <c r="KJ198" s="34"/>
      <c r="KK198" s="34"/>
      <c r="KL198" s="34"/>
      <c r="KM198" s="34"/>
      <c r="KN198" s="34"/>
      <c r="KO198" s="34"/>
      <c r="KP198" s="34"/>
      <c r="KQ198" s="34"/>
      <c r="KR198" s="34"/>
      <c r="KS198" s="34"/>
      <c r="KT198" s="34"/>
      <c r="KU198" s="34"/>
      <c r="KV198" s="34"/>
      <c r="KW198" s="34"/>
      <c r="KX198" s="34"/>
      <c r="KY198" s="34"/>
      <c r="KZ198" s="34"/>
      <c r="LA198" s="34"/>
      <c r="LB198" s="34"/>
      <c r="LC198" s="34"/>
      <c r="LD198" s="34"/>
      <c r="LE198" s="34"/>
      <c r="LF198" s="34"/>
      <c r="LG198" s="34"/>
      <c r="LH198" s="34"/>
      <c r="LI198" s="34"/>
      <c r="LJ198" s="34"/>
      <c r="LK198" s="34"/>
      <c r="LL198" s="34"/>
      <c r="LM198" s="34"/>
      <c r="LN198" s="34"/>
      <c r="LO198" s="34"/>
      <c r="LP198" s="34"/>
      <c r="LQ198" s="34"/>
      <c r="LR198" s="34"/>
      <c r="LS198" s="34"/>
      <c r="LT198" s="34"/>
      <c r="LU198" s="34"/>
      <c r="LV198" s="34"/>
      <c r="LW198" s="34"/>
      <c r="LX198" s="34"/>
      <c r="LY198" s="34"/>
      <c r="LZ198" s="34"/>
      <c r="MA198" s="34"/>
      <c r="MB198" s="34"/>
      <c r="MC198" s="34"/>
      <c r="MD198" s="34"/>
      <c r="ME198" s="34"/>
      <c r="MF198" s="34"/>
      <c r="MG198" s="34"/>
      <c r="MH198" s="34"/>
      <c r="MI198" s="34"/>
      <c r="MJ198" s="34"/>
      <c r="MK198" s="34"/>
      <c r="ML198" s="34"/>
      <c r="MM198" s="34"/>
      <c r="MN198" s="34"/>
      <c r="MO198" s="34"/>
      <c r="MP198" s="34"/>
      <c r="MQ198" s="34"/>
      <c r="MR198" s="34"/>
      <c r="MS198" s="34"/>
      <c r="MT198" s="34"/>
      <c r="MU198" s="34"/>
      <c r="MV198" s="34"/>
      <c r="MW198" s="34"/>
      <c r="MX198" s="34"/>
      <c r="MY198" s="34"/>
      <c r="MZ198" s="34"/>
      <c r="NA198" s="34"/>
      <c r="NB198" s="34"/>
      <c r="NC198" s="34"/>
      <c r="ND198" s="34"/>
      <c r="NE198" s="34"/>
      <c r="NF198" s="34"/>
      <c r="NG198" s="34"/>
      <c r="NH198" s="34"/>
      <c r="NI198" s="34"/>
      <c r="NJ198" s="34"/>
      <c r="NK198" s="34"/>
      <c r="NL198" s="34"/>
      <c r="NM198" s="34"/>
      <c r="NN198" s="34"/>
      <c r="NO198" s="34"/>
      <c r="NP198" s="34"/>
      <c r="NQ198" s="34"/>
      <c r="NR198" s="34"/>
      <c r="NS198" s="34"/>
      <c r="NT198" s="7">
        <f>COUNTIF(F198:NS198,"x")</f>
        <v>1</v>
      </c>
      <c r="NU198" s="81"/>
      <c r="NV198" s="32">
        <f>IF(NX198=0,"0",NX198/NX197)</f>
        <v>1</v>
      </c>
      <c r="NW198" s="37">
        <f t="shared" si="338"/>
        <v>0</v>
      </c>
      <c r="NX198" s="36">
        <f>COUNTIF(F198:AU198,"x")</f>
        <v>1</v>
      </c>
      <c r="NY198" s="81"/>
      <c r="NZ198" s="32" t="str">
        <f>IF(OB198=0,"0",OB198/OB197)</f>
        <v>0</v>
      </c>
      <c r="OA198" s="37">
        <f t="shared" si="340"/>
        <v>0</v>
      </c>
      <c r="OB198" s="36">
        <f>COUNTIF(AV198:CK198,"x")</f>
        <v>0</v>
      </c>
      <c r="OC198" s="81"/>
      <c r="OD198" s="32" t="str">
        <f>IF(OF198=0,"0",OF198/OF197)</f>
        <v>0</v>
      </c>
      <c r="OE198" s="37">
        <f t="shared" si="341"/>
        <v>0</v>
      </c>
      <c r="OF198" s="36">
        <f>COUNTIF(CL198:EA198,"x")</f>
        <v>0</v>
      </c>
      <c r="OG198" s="81"/>
      <c r="OH198" s="32" t="str">
        <f>IF(OJ198=0,"0",OJ198/OJ197)</f>
        <v>0</v>
      </c>
      <c r="OI198" s="37">
        <f t="shared" si="342"/>
        <v>0</v>
      </c>
      <c r="OJ198" s="36">
        <f>COUNTIF(EB198:FQ198,"x")</f>
        <v>0</v>
      </c>
      <c r="OK198" s="74"/>
      <c r="OL198" s="32" t="str">
        <f>IF(ON198=0,"0",ON198/ON197)</f>
        <v>0</v>
      </c>
      <c r="OM198" s="37">
        <f t="shared" si="343"/>
        <v>0</v>
      </c>
      <c r="ON198" s="36">
        <f>COUNTIF(FR198:HG198,"x")</f>
        <v>0</v>
      </c>
      <c r="OO198" s="74"/>
      <c r="OP198" s="32" t="str">
        <f>IF(OR198=0,"0",OR198/OR197)</f>
        <v>0</v>
      </c>
      <c r="OQ198" s="37">
        <f t="shared" si="344"/>
        <v>0</v>
      </c>
      <c r="OR198" s="36">
        <f>COUNTIF(HH198:IW198,"x")</f>
        <v>0</v>
      </c>
      <c r="OS198" s="74"/>
      <c r="OT198" s="32" t="str">
        <f>IF(OV198=0,"0",OV198/OV197)</f>
        <v>0</v>
      </c>
      <c r="OU198" s="37">
        <f t="shared" si="345"/>
        <v>0</v>
      </c>
      <c r="OV198" s="36">
        <f>COUNTIF(IX198:KM198,"x")</f>
        <v>0</v>
      </c>
      <c r="OW198" s="74"/>
      <c r="OX198" s="32" t="str">
        <f>IF(OZ198=0,"0",OZ198/OZ197)</f>
        <v>0</v>
      </c>
      <c r="OY198" s="37">
        <f t="shared" si="346"/>
        <v>0</v>
      </c>
      <c r="OZ198" s="36">
        <f>COUNTIF(KN198:MC198,"x")</f>
        <v>0</v>
      </c>
      <c r="PA198" s="74"/>
      <c r="PB198" s="32" t="str">
        <f>IF(PD198=0,"0",PD198/PD197)</f>
        <v>0</v>
      </c>
      <c r="PC198" s="37">
        <f t="shared" si="347"/>
        <v>0</v>
      </c>
      <c r="PD198" s="36">
        <f>COUNTIF(MD198:NS198,"x")</f>
        <v>0</v>
      </c>
      <c r="PE198" s="74"/>
    </row>
    <row r="199" spans="3:421" ht="15.75" customHeight="1" outlineLevel="1" x14ac:dyDescent="0.25">
      <c r="C199" s="123"/>
      <c r="D199" s="59"/>
      <c r="E199" s="53" t="s">
        <v>8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69"/>
      <c r="Q199" s="33"/>
      <c r="R199" s="33"/>
      <c r="S199" s="33"/>
      <c r="T199" s="33"/>
      <c r="U199" s="33"/>
      <c r="V199" s="33"/>
      <c r="W199" s="69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  <c r="HI199" s="33"/>
      <c r="HJ199" s="33"/>
      <c r="HK199" s="33"/>
      <c r="HL199" s="33"/>
      <c r="HM199" s="33"/>
      <c r="HN199" s="33"/>
      <c r="HO199" s="33"/>
      <c r="HP199" s="33"/>
      <c r="HQ199" s="33"/>
      <c r="HR199" s="33"/>
      <c r="HS199" s="33"/>
      <c r="HT199" s="33"/>
      <c r="HU199" s="33"/>
      <c r="HV199" s="33"/>
      <c r="HW199" s="33"/>
      <c r="HX199" s="33"/>
      <c r="HY199" s="33"/>
      <c r="HZ199" s="33"/>
      <c r="IA199" s="33"/>
      <c r="IB199" s="33"/>
      <c r="IC199" s="33"/>
      <c r="ID199" s="33"/>
      <c r="IE199" s="33"/>
      <c r="IF199" s="33"/>
      <c r="IG199" s="33"/>
      <c r="IH199" s="33"/>
      <c r="II199" s="33"/>
      <c r="IJ199" s="33"/>
      <c r="IK199" s="33"/>
      <c r="IL199" s="33"/>
      <c r="IM199" s="33"/>
      <c r="IN199" s="33"/>
      <c r="IO199" s="33"/>
      <c r="IP199" s="33"/>
      <c r="IQ199" s="33"/>
      <c r="IR199" s="33"/>
      <c r="IS199" s="33"/>
      <c r="IT199" s="33"/>
      <c r="IU199" s="33"/>
      <c r="IV199" s="33"/>
      <c r="IW199" s="33"/>
      <c r="IX199" s="33"/>
      <c r="IY199" s="33"/>
      <c r="IZ199" s="33"/>
      <c r="JA199" s="33"/>
      <c r="JB199" s="33"/>
      <c r="JC199" s="33"/>
      <c r="JD199" s="33"/>
      <c r="JE199" s="33"/>
      <c r="JF199" s="33"/>
      <c r="JG199" s="33"/>
      <c r="JH199" s="33"/>
      <c r="JI199" s="33"/>
      <c r="JJ199" s="33"/>
      <c r="JK199" s="33"/>
      <c r="JL199" s="33"/>
      <c r="JM199" s="33"/>
      <c r="JN199" s="33"/>
      <c r="JO199" s="33"/>
      <c r="JP199" s="33"/>
      <c r="JQ199" s="33"/>
      <c r="JR199" s="33"/>
      <c r="JS199" s="33"/>
      <c r="JT199" s="33"/>
      <c r="JU199" s="33"/>
      <c r="JV199" s="33"/>
      <c r="JW199" s="33"/>
      <c r="JX199" s="33"/>
      <c r="JY199" s="33"/>
      <c r="JZ199" s="33"/>
      <c r="KA199" s="33"/>
      <c r="KB199" s="33"/>
      <c r="KC199" s="33"/>
      <c r="KD199" s="33"/>
      <c r="KE199" s="33"/>
      <c r="KF199" s="33"/>
      <c r="KG199" s="33"/>
      <c r="KH199" s="33"/>
      <c r="KI199" s="33"/>
      <c r="KJ199" s="33"/>
      <c r="KK199" s="33"/>
      <c r="KL199" s="33"/>
      <c r="KM199" s="33"/>
      <c r="KN199" s="33"/>
      <c r="KO199" s="33"/>
      <c r="KP199" s="33"/>
      <c r="KQ199" s="33"/>
      <c r="KR199" s="33"/>
      <c r="KS199" s="33"/>
      <c r="KT199" s="33"/>
      <c r="KU199" s="33"/>
      <c r="KV199" s="33"/>
      <c r="KW199" s="33"/>
      <c r="KX199" s="33"/>
      <c r="KY199" s="33"/>
      <c r="KZ199" s="33"/>
      <c r="LA199" s="33"/>
      <c r="LB199" s="33"/>
      <c r="LC199" s="33"/>
      <c r="LD199" s="33"/>
      <c r="LE199" s="33"/>
      <c r="LF199" s="33"/>
      <c r="LG199" s="33"/>
      <c r="LH199" s="33"/>
      <c r="LI199" s="33"/>
      <c r="LJ199" s="33"/>
      <c r="LK199" s="33"/>
      <c r="LL199" s="33"/>
      <c r="LM199" s="33"/>
      <c r="LN199" s="33"/>
      <c r="LO199" s="33"/>
      <c r="LP199" s="33"/>
      <c r="LQ199" s="33"/>
      <c r="LR199" s="33"/>
      <c r="LS199" s="33"/>
      <c r="LT199" s="33"/>
      <c r="LU199" s="33"/>
      <c r="LV199" s="33"/>
      <c r="LW199" s="33"/>
      <c r="LX199" s="33"/>
      <c r="LY199" s="33"/>
      <c r="LZ199" s="33"/>
      <c r="MA199" s="33"/>
      <c r="MB199" s="33"/>
      <c r="MC199" s="33"/>
      <c r="MD199" s="33"/>
      <c r="ME199" s="33"/>
      <c r="MF199" s="33"/>
      <c r="MG199" s="33"/>
      <c r="MH199" s="33"/>
      <c r="MI199" s="33"/>
      <c r="MJ199" s="33"/>
      <c r="MK199" s="33"/>
      <c r="ML199" s="33"/>
      <c r="MM199" s="33"/>
      <c r="MN199" s="33"/>
      <c r="MO199" s="33"/>
      <c r="MP199" s="33"/>
      <c r="MQ199" s="33"/>
      <c r="MR199" s="33"/>
      <c r="MS199" s="33"/>
      <c r="MT199" s="33"/>
      <c r="MU199" s="33"/>
      <c r="MV199" s="33"/>
      <c r="MW199" s="33"/>
      <c r="MX199" s="33"/>
      <c r="MY199" s="33"/>
      <c r="MZ199" s="33"/>
      <c r="NA199" s="33"/>
      <c r="NB199" s="33"/>
      <c r="NC199" s="33"/>
      <c r="ND199" s="33"/>
      <c r="NE199" s="33"/>
      <c r="NF199" s="33"/>
      <c r="NG199" s="33"/>
      <c r="NH199" s="33"/>
      <c r="NI199" s="33"/>
      <c r="NJ199" s="33"/>
      <c r="NK199" s="33"/>
      <c r="NL199" s="33"/>
      <c r="NM199" s="33"/>
      <c r="NN199" s="33"/>
      <c r="NO199" s="33"/>
      <c r="NP199" s="33"/>
      <c r="NQ199" s="33"/>
      <c r="NR199" s="33"/>
      <c r="NS199" s="33"/>
      <c r="NT199" s="31">
        <f>COUNTIF(F199:NS199,"1")</f>
        <v>0</v>
      </c>
      <c r="NU199" s="80" t="e">
        <f>NT200/NT199</f>
        <v>#DIV/0!</v>
      </c>
      <c r="NV199" s="29">
        <f>+IF(NX199&gt;=1,"1",0)</f>
        <v>0</v>
      </c>
      <c r="NW199" s="38">
        <f t="shared" si="338"/>
        <v>1</v>
      </c>
      <c r="NX199" s="35">
        <f>COUNTIF(F199:AU199,"1")</f>
        <v>0</v>
      </c>
      <c r="NY199" s="80" t="e">
        <f t="shared" ref="NY199" si="358">NX200/NX199</f>
        <v>#DIV/0!</v>
      </c>
      <c r="NZ199" s="29">
        <f>+IF(OB199&gt;=1,"1",0)</f>
        <v>0</v>
      </c>
      <c r="OA199" s="38">
        <f t="shared" si="340"/>
        <v>1</v>
      </c>
      <c r="OB199" s="35">
        <f>COUNTIF(AV199:CK199,"1")</f>
        <v>0</v>
      </c>
      <c r="OC199" s="80" t="e">
        <f>OB200/OB199</f>
        <v>#DIV/0!</v>
      </c>
      <c r="OD199" s="29">
        <f>+IF(OF199&gt;=1,"1",0)</f>
        <v>0</v>
      </c>
      <c r="OE199" s="38">
        <f t="shared" si="341"/>
        <v>1</v>
      </c>
      <c r="OF199" s="35">
        <f>COUNTIF(CL199:EA199,"1")</f>
        <v>0</v>
      </c>
      <c r="OG199" s="80" t="e">
        <f>OF200/OF199</f>
        <v>#DIV/0!</v>
      </c>
      <c r="OH199" s="29">
        <f>+IF(OJ199&gt;=1,"1",0)</f>
        <v>0</v>
      </c>
      <c r="OI199" s="38">
        <f t="shared" si="342"/>
        <v>1</v>
      </c>
      <c r="OJ199" s="35">
        <f>COUNTIF(EB199:FQ199,"1")</f>
        <v>0</v>
      </c>
      <c r="OK199" s="79" t="e">
        <f>OJ200/OJ199</f>
        <v>#DIV/0!</v>
      </c>
      <c r="OL199" s="29">
        <f>+IF(ON199&gt;=1,"1",0)</f>
        <v>0</v>
      </c>
      <c r="OM199" s="38">
        <f t="shared" si="343"/>
        <v>1</v>
      </c>
      <c r="ON199" s="35">
        <f>COUNTIF(FR199:HG199,"1")</f>
        <v>0</v>
      </c>
      <c r="OO199" s="79" t="e">
        <f>ON200/ON199</f>
        <v>#DIV/0!</v>
      </c>
      <c r="OP199" s="29">
        <f>+IF(OR199&gt;=1,"1",0)</f>
        <v>0</v>
      </c>
      <c r="OQ199" s="38">
        <f t="shared" si="344"/>
        <v>1</v>
      </c>
      <c r="OR199" s="35">
        <f>COUNTIF(HH199:IW199,"1")</f>
        <v>0</v>
      </c>
      <c r="OS199" s="79" t="e">
        <f>OR200/OR199</f>
        <v>#DIV/0!</v>
      </c>
      <c r="OT199" s="29">
        <f>+IF(OV199&gt;=1,"1",0)</f>
        <v>0</v>
      </c>
      <c r="OU199" s="38">
        <f t="shared" si="345"/>
        <v>1</v>
      </c>
      <c r="OV199" s="35">
        <f>COUNTIF(IX199:KM199,"1")</f>
        <v>0</v>
      </c>
      <c r="OW199" s="79" t="e">
        <f>OV200/OV199</f>
        <v>#DIV/0!</v>
      </c>
      <c r="OX199" s="29">
        <f>+IF(OZ199&gt;=1,"1",0)</f>
        <v>0</v>
      </c>
      <c r="OY199" s="38">
        <f t="shared" si="346"/>
        <v>1</v>
      </c>
      <c r="OZ199" s="35">
        <f>COUNTIF(KN199:MC199,"1")</f>
        <v>0</v>
      </c>
      <c r="PA199" s="79" t="e">
        <f>OZ200/OZ199</f>
        <v>#DIV/0!</v>
      </c>
      <c r="PB199" s="29">
        <f>+IF(PD199&gt;=1,"1",0)</f>
        <v>0</v>
      </c>
      <c r="PC199" s="38">
        <f t="shared" si="347"/>
        <v>1</v>
      </c>
      <c r="PD199" s="35">
        <f>COUNTIF(MD199:NS199,"1")</f>
        <v>0</v>
      </c>
      <c r="PE199" s="79" t="e">
        <f>PD200/PD199</f>
        <v>#DIV/0!</v>
      </c>
    </row>
    <row r="200" spans="3:421" ht="15.75" customHeight="1" outlineLevel="1" thickBot="1" x14ac:dyDescent="0.3">
      <c r="C200" s="124"/>
      <c r="D200" s="60"/>
      <c r="E200" s="54" t="s">
        <v>9</v>
      </c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70"/>
      <c r="Q200" s="34"/>
      <c r="R200" s="34"/>
      <c r="S200" s="34"/>
      <c r="T200" s="34"/>
      <c r="U200" s="34"/>
      <c r="V200" s="34"/>
      <c r="W200" s="70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  <c r="HB200" s="34"/>
      <c r="HC200" s="34"/>
      <c r="HD200" s="34"/>
      <c r="HE200" s="34"/>
      <c r="HF200" s="34"/>
      <c r="HG200" s="34"/>
      <c r="HH200" s="34"/>
      <c r="HI200" s="34"/>
      <c r="HJ200" s="34"/>
      <c r="HK200" s="34"/>
      <c r="HL200" s="34"/>
      <c r="HM200" s="34"/>
      <c r="HN200" s="34"/>
      <c r="HO200" s="34"/>
      <c r="HP200" s="34"/>
      <c r="HQ200" s="34"/>
      <c r="HR200" s="34"/>
      <c r="HS200" s="34"/>
      <c r="HT200" s="34"/>
      <c r="HU200" s="34"/>
      <c r="HV200" s="34"/>
      <c r="HW200" s="34"/>
      <c r="HX200" s="34"/>
      <c r="HY200" s="34"/>
      <c r="HZ200" s="34"/>
      <c r="IA200" s="34"/>
      <c r="IB200" s="34"/>
      <c r="IC200" s="34"/>
      <c r="ID200" s="34"/>
      <c r="IE200" s="34"/>
      <c r="IF200" s="34"/>
      <c r="IG200" s="34"/>
      <c r="IH200" s="34"/>
      <c r="II200" s="34"/>
      <c r="IJ200" s="34"/>
      <c r="IK200" s="34"/>
      <c r="IL200" s="34"/>
      <c r="IM200" s="34"/>
      <c r="IN200" s="34"/>
      <c r="IO200" s="34"/>
      <c r="IP200" s="34"/>
      <c r="IQ200" s="34"/>
      <c r="IR200" s="34"/>
      <c r="IS200" s="34"/>
      <c r="IT200" s="34"/>
      <c r="IU200" s="34"/>
      <c r="IV200" s="34"/>
      <c r="IW200" s="34"/>
      <c r="IX200" s="34"/>
      <c r="IY200" s="34"/>
      <c r="IZ200" s="34"/>
      <c r="JA200" s="34"/>
      <c r="JB200" s="34"/>
      <c r="JC200" s="34"/>
      <c r="JD200" s="34"/>
      <c r="JE200" s="34"/>
      <c r="JF200" s="34"/>
      <c r="JG200" s="34"/>
      <c r="JH200" s="34"/>
      <c r="JI200" s="34"/>
      <c r="JJ200" s="34"/>
      <c r="JK200" s="34"/>
      <c r="JL200" s="34"/>
      <c r="JM200" s="34"/>
      <c r="JN200" s="34"/>
      <c r="JO200" s="34"/>
      <c r="JP200" s="34"/>
      <c r="JQ200" s="34"/>
      <c r="JR200" s="34"/>
      <c r="JS200" s="34"/>
      <c r="JT200" s="34"/>
      <c r="JU200" s="34"/>
      <c r="JV200" s="34"/>
      <c r="JW200" s="34"/>
      <c r="JX200" s="34"/>
      <c r="JY200" s="34"/>
      <c r="JZ200" s="34"/>
      <c r="KA200" s="34"/>
      <c r="KB200" s="34"/>
      <c r="KC200" s="34"/>
      <c r="KD200" s="34"/>
      <c r="KE200" s="34"/>
      <c r="KF200" s="34"/>
      <c r="KG200" s="34"/>
      <c r="KH200" s="34"/>
      <c r="KI200" s="34"/>
      <c r="KJ200" s="34"/>
      <c r="KK200" s="34"/>
      <c r="KL200" s="34"/>
      <c r="KM200" s="34"/>
      <c r="KN200" s="34"/>
      <c r="KO200" s="34"/>
      <c r="KP200" s="34"/>
      <c r="KQ200" s="34"/>
      <c r="KR200" s="34"/>
      <c r="KS200" s="34"/>
      <c r="KT200" s="34"/>
      <c r="KU200" s="34"/>
      <c r="KV200" s="34"/>
      <c r="KW200" s="34"/>
      <c r="KX200" s="34"/>
      <c r="KY200" s="34"/>
      <c r="KZ200" s="34"/>
      <c r="LA200" s="34"/>
      <c r="LB200" s="34"/>
      <c r="LC200" s="34"/>
      <c r="LD200" s="34"/>
      <c r="LE200" s="34"/>
      <c r="LF200" s="34"/>
      <c r="LG200" s="34"/>
      <c r="LH200" s="34"/>
      <c r="LI200" s="34"/>
      <c r="LJ200" s="34"/>
      <c r="LK200" s="34"/>
      <c r="LL200" s="34"/>
      <c r="LM200" s="34"/>
      <c r="LN200" s="34"/>
      <c r="LO200" s="34"/>
      <c r="LP200" s="34"/>
      <c r="LQ200" s="34"/>
      <c r="LR200" s="34"/>
      <c r="LS200" s="34"/>
      <c r="LT200" s="34"/>
      <c r="LU200" s="34"/>
      <c r="LV200" s="34"/>
      <c r="LW200" s="34"/>
      <c r="LX200" s="34"/>
      <c r="LY200" s="34"/>
      <c r="LZ200" s="34"/>
      <c r="MA200" s="34"/>
      <c r="MB200" s="34"/>
      <c r="MC200" s="34"/>
      <c r="MD200" s="34"/>
      <c r="ME200" s="34"/>
      <c r="MF200" s="34"/>
      <c r="MG200" s="34"/>
      <c r="MH200" s="34"/>
      <c r="MI200" s="34"/>
      <c r="MJ200" s="34"/>
      <c r="MK200" s="34"/>
      <c r="ML200" s="34"/>
      <c r="MM200" s="34"/>
      <c r="MN200" s="34"/>
      <c r="MO200" s="34"/>
      <c r="MP200" s="34"/>
      <c r="MQ200" s="34"/>
      <c r="MR200" s="34"/>
      <c r="MS200" s="34"/>
      <c r="MT200" s="34"/>
      <c r="MU200" s="34"/>
      <c r="MV200" s="34"/>
      <c r="MW200" s="34"/>
      <c r="MX200" s="34"/>
      <c r="MY200" s="34"/>
      <c r="MZ200" s="34"/>
      <c r="NA200" s="34"/>
      <c r="NB200" s="34"/>
      <c r="NC200" s="34"/>
      <c r="ND200" s="34"/>
      <c r="NE200" s="34"/>
      <c r="NF200" s="34"/>
      <c r="NG200" s="34"/>
      <c r="NH200" s="34"/>
      <c r="NI200" s="34"/>
      <c r="NJ200" s="34"/>
      <c r="NK200" s="34"/>
      <c r="NL200" s="34"/>
      <c r="NM200" s="34"/>
      <c r="NN200" s="34"/>
      <c r="NO200" s="34"/>
      <c r="NP200" s="34"/>
      <c r="NQ200" s="34"/>
      <c r="NR200" s="34"/>
      <c r="NS200" s="34"/>
      <c r="NT200" s="7">
        <f>COUNTIF(F200:NS200,"X")</f>
        <v>0</v>
      </c>
      <c r="NU200" s="81"/>
      <c r="NV200" s="32" t="str">
        <f>IF(NX199=0,"0",NX200/NX199)</f>
        <v>0</v>
      </c>
      <c r="NW200" s="37">
        <f t="shared" si="338"/>
        <v>0</v>
      </c>
      <c r="NX200" s="36">
        <f>COUNTIF(F200:AU200,"X")</f>
        <v>0</v>
      </c>
      <c r="NY200" s="81"/>
      <c r="NZ200" s="32" t="str">
        <f>IF(OB199=0,"0",OB200/OB199)</f>
        <v>0</v>
      </c>
      <c r="OA200" s="37">
        <f t="shared" si="340"/>
        <v>0</v>
      </c>
      <c r="OB200" s="36">
        <f>COUNTIF(AV200:CK200,"X")</f>
        <v>0</v>
      </c>
      <c r="OC200" s="81"/>
      <c r="OD200" s="32" t="str">
        <f>IF(OF199=0,"0",OF200/OF199)</f>
        <v>0</v>
      </c>
      <c r="OE200" s="37">
        <f t="shared" si="341"/>
        <v>0</v>
      </c>
      <c r="OF200" s="36">
        <f>COUNTIF(CL200:EA200,"X")</f>
        <v>0</v>
      </c>
      <c r="OG200" s="81"/>
      <c r="OH200" s="32" t="str">
        <f>IF(OJ199=0,"0",OJ200/OJ199)</f>
        <v>0</v>
      </c>
      <c r="OI200" s="37">
        <f t="shared" si="342"/>
        <v>0</v>
      </c>
      <c r="OJ200" s="36">
        <f>COUNTIF(EB200:FQ200,"X")</f>
        <v>0</v>
      </c>
      <c r="OK200" s="74"/>
      <c r="OL200" s="32" t="str">
        <f>IF(ON199=0,"0",ON200/ON199)</f>
        <v>0</v>
      </c>
      <c r="OM200" s="37">
        <f t="shared" si="343"/>
        <v>0</v>
      </c>
      <c r="ON200" s="36">
        <f>COUNTIF(FR200:HG200,"X")</f>
        <v>0</v>
      </c>
      <c r="OO200" s="74"/>
      <c r="OP200" s="32" t="str">
        <f>IF(OR199=0,"0",OR200/OR199)</f>
        <v>0</v>
      </c>
      <c r="OQ200" s="37">
        <f t="shared" si="344"/>
        <v>0</v>
      </c>
      <c r="OR200" s="36">
        <f>COUNTIF(HH200:IW200,"X")</f>
        <v>0</v>
      </c>
      <c r="OS200" s="74"/>
      <c r="OT200" s="32" t="str">
        <f>IF(OV199=0,"0",OV200/OV199)</f>
        <v>0</v>
      </c>
      <c r="OU200" s="37">
        <f t="shared" si="345"/>
        <v>0</v>
      </c>
      <c r="OV200" s="36">
        <f>COUNTIF(IX200:KM200,"X")</f>
        <v>0</v>
      </c>
      <c r="OW200" s="74"/>
      <c r="OX200" s="32" t="str">
        <f>IF(OZ199=0,"0",OZ200/OZ199)</f>
        <v>0</v>
      </c>
      <c r="OY200" s="37">
        <f t="shared" si="346"/>
        <v>0</v>
      </c>
      <c r="OZ200" s="36">
        <f>COUNTIF(KN200:MC200,"X")</f>
        <v>0</v>
      </c>
      <c r="PA200" s="74"/>
      <c r="PB200" s="32" t="str">
        <f>IF(PD199=0,"0",PD200/PD199)</f>
        <v>0</v>
      </c>
      <c r="PC200" s="37">
        <f t="shared" si="347"/>
        <v>0</v>
      </c>
      <c r="PD200" s="36">
        <f>COUNTIF(MD200:NS200,"X")</f>
        <v>0</v>
      </c>
      <c r="PE200" s="74"/>
    </row>
    <row r="201" spans="3:421" ht="15.75" customHeight="1" outlineLevel="1" x14ac:dyDescent="0.25">
      <c r="C201" s="82"/>
      <c r="D201" s="59"/>
      <c r="E201" s="53" t="s">
        <v>8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69"/>
      <c r="Q201" s="33"/>
      <c r="R201" s="33"/>
      <c r="S201" s="33"/>
      <c r="T201" s="33"/>
      <c r="U201" s="33"/>
      <c r="V201" s="33"/>
      <c r="W201" s="69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  <c r="HI201" s="33"/>
      <c r="HJ201" s="33"/>
      <c r="HK201" s="33"/>
      <c r="HL201" s="33"/>
      <c r="HM201" s="33"/>
      <c r="HN201" s="33"/>
      <c r="HO201" s="33"/>
      <c r="HP201" s="33"/>
      <c r="HQ201" s="33"/>
      <c r="HR201" s="33"/>
      <c r="HS201" s="33"/>
      <c r="HT201" s="33"/>
      <c r="HU201" s="33"/>
      <c r="HV201" s="33"/>
      <c r="HW201" s="33"/>
      <c r="HX201" s="33"/>
      <c r="HY201" s="33"/>
      <c r="HZ201" s="33"/>
      <c r="IA201" s="33"/>
      <c r="IB201" s="33"/>
      <c r="IC201" s="33"/>
      <c r="ID201" s="33"/>
      <c r="IE201" s="33"/>
      <c r="IF201" s="33"/>
      <c r="IG201" s="33"/>
      <c r="IH201" s="33"/>
      <c r="II201" s="33"/>
      <c r="IJ201" s="33"/>
      <c r="IK201" s="33"/>
      <c r="IL201" s="33"/>
      <c r="IM201" s="33"/>
      <c r="IN201" s="33"/>
      <c r="IO201" s="33"/>
      <c r="IP201" s="33"/>
      <c r="IQ201" s="33"/>
      <c r="IR201" s="33"/>
      <c r="IS201" s="33"/>
      <c r="IT201" s="33"/>
      <c r="IU201" s="33"/>
      <c r="IV201" s="33"/>
      <c r="IW201" s="33"/>
      <c r="IX201" s="33"/>
      <c r="IY201" s="33"/>
      <c r="IZ201" s="33"/>
      <c r="JA201" s="33"/>
      <c r="JB201" s="33"/>
      <c r="JC201" s="33"/>
      <c r="JD201" s="33"/>
      <c r="JE201" s="33"/>
      <c r="JF201" s="33"/>
      <c r="JG201" s="33"/>
      <c r="JH201" s="33"/>
      <c r="JI201" s="33"/>
      <c r="JJ201" s="33"/>
      <c r="JK201" s="33"/>
      <c r="JL201" s="33"/>
      <c r="JM201" s="33"/>
      <c r="JN201" s="33"/>
      <c r="JO201" s="33"/>
      <c r="JP201" s="33"/>
      <c r="JQ201" s="33"/>
      <c r="JR201" s="33"/>
      <c r="JS201" s="33"/>
      <c r="JT201" s="33"/>
      <c r="JU201" s="33"/>
      <c r="JV201" s="33"/>
      <c r="JW201" s="33"/>
      <c r="JX201" s="33"/>
      <c r="JY201" s="33"/>
      <c r="JZ201" s="33"/>
      <c r="KA201" s="33"/>
      <c r="KB201" s="33"/>
      <c r="KC201" s="33"/>
      <c r="KD201" s="33"/>
      <c r="KE201" s="33"/>
      <c r="KF201" s="33"/>
      <c r="KG201" s="33"/>
      <c r="KH201" s="33"/>
      <c r="KI201" s="33"/>
      <c r="KJ201" s="33"/>
      <c r="KK201" s="33"/>
      <c r="KL201" s="33"/>
      <c r="KM201" s="33"/>
      <c r="KN201" s="33"/>
      <c r="KO201" s="33"/>
      <c r="KP201" s="33"/>
      <c r="KQ201" s="33"/>
      <c r="KR201" s="33"/>
      <c r="KS201" s="33"/>
      <c r="KT201" s="33"/>
      <c r="KU201" s="33"/>
      <c r="KV201" s="33"/>
      <c r="KW201" s="33"/>
      <c r="KX201" s="33"/>
      <c r="KY201" s="33"/>
      <c r="KZ201" s="33"/>
      <c r="LA201" s="33"/>
      <c r="LB201" s="33"/>
      <c r="LC201" s="33"/>
      <c r="LD201" s="33"/>
      <c r="LE201" s="33"/>
      <c r="LF201" s="33"/>
      <c r="LG201" s="33"/>
      <c r="LH201" s="33"/>
      <c r="LI201" s="33"/>
      <c r="LJ201" s="33"/>
      <c r="LK201" s="33"/>
      <c r="LL201" s="33"/>
      <c r="LM201" s="33"/>
      <c r="LN201" s="33"/>
      <c r="LO201" s="33"/>
      <c r="LP201" s="33"/>
      <c r="LQ201" s="33"/>
      <c r="LR201" s="33"/>
      <c r="LS201" s="33"/>
      <c r="LT201" s="33"/>
      <c r="LU201" s="33"/>
      <c r="LV201" s="33"/>
      <c r="LW201" s="33"/>
      <c r="LX201" s="33"/>
      <c r="LY201" s="33"/>
      <c r="LZ201" s="33"/>
      <c r="MA201" s="33"/>
      <c r="MB201" s="33"/>
      <c r="MC201" s="33"/>
      <c r="MD201" s="33"/>
      <c r="ME201" s="33"/>
      <c r="MF201" s="33"/>
      <c r="MG201" s="33"/>
      <c r="MH201" s="33"/>
      <c r="MI201" s="33"/>
      <c r="MJ201" s="33"/>
      <c r="MK201" s="33"/>
      <c r="ML201" s="33"/>
      <c r="MM201" s="33"/>
      <c r="MN201" s="33"/>
      <c r="MO201" s="33"/>
      <c r="MP201" s="33"/>
      <c r="MQ201" s="33"/>
      <c r="MR201" s="33"/>
      <c r="MS201" s="33"/>
      <c r="MT201" s="33"/>
      <c r="MU201" s="33"/>
      <c r="MV201" s="33"/>
      <c r="MW201" s="33"/>
      <c r="MX201" s="33"/>
      <c r="MY201" s="33"/>
      <c r="MZ201" s="33"/>
      <c r="NA201" s="33"/>
      <c r="NB201" s="33"/>
      <c r="NC201" s="33"/>
      <c r="ND201" s="33"/>
      <c r="NE201" s="33"/>
      <c r="NF201" s="33"/>
      <c r="NG201" s="33"/>
      <c r="NH201" s="33"/>
      <c r="NI201" s="33"/>
      <c r="NJ201" s="33"/>
      <c r="NK201" s="33"/>
      <c r="NL201" s="33"/>
      <c r="NM201" s="33"/>
      <c r="NN201" s="33"/>
      <c r="NO201" s="33"/>
      <c r="NP201" s="33"/>
      <c r="NQ201" s="33"/>
      <c r="NR201" s="33"/>
      <c r="NS201" s="33"/>
      <c r="NT201" s="31">
        <f>COUNTIF(F201:NS201,"1")</f>
        <v>0</v>
      </c>
      <c r="NU201" s="80" t="e">
        <f>NT202/NT201</f>
        <v>#DIV/0!</v>
      </c>
      <c r="NV201" s="29">
        <f>+IF(NX201&gt;=1,"1",0)</f>
        <v>0</v>
      </c>
      <c r="NW201" s="38">
        <f t="shared" si="338"/>
        <v>1</v>
      </c>
      <c r="NX201" s="35">
        <f>COUNTIF(F201:AU201,"1")</f>
        <v>0</v>
      </c>
      <c r="NY201" s="80" t="e">
        <f t="shared" ref="NY201" si="359">NX202/NX201</f>
        <v>#DIV/0!</v>
      </c>
      <c r="NZ201" s="29">
        <f>+IF(OB201&gt;=1,"1",0)</f>
        <v>0</v>
      </c>
      <c r="OA201" s="38">
        <f t="shared" si="340"/>
        <v>1</v>
      </c>
      <c r="OB201" s="35">
        <f>COUNTIF(AV201:CK201,"1")</f>
        <v>0</v>
      </c>
      <c r="OC201" s="80" t="e">
        <f>OB202/OB201</f>
        <v>#DIV/0!</v>
      </c>
      <c r="OD201" s="29">
        <f>+IF(OF201&gt;=1,"1",0)</f>
        <v>0</v>
      </c>
      <c r="OE201" s="38">
        <f t="shared" si="341"/>
        <v>1</v>
      </c>
      <c r="OF201" s="35">
        <f>COUNTIF(CL201:EA201,"1")</f>
        <v>0</v>
      </c>
      <c r="OG201" s="80" t="e">
        <f>OF202/OF201</f>
        <v>#DIV/0!</v>
      </c>
      <c r="OH201" s="29">
        <f>+IF(OJ201&gt;=1,"1",0)</f>
        <v>0</v>
      </c>
      <c r="OI201" s="38">
        <f t="shared" si="342"/>
        <v>1</v>
      </c>
      <c r="OJ201" s="35">
        <f>COUNTIF(EB201:FQ201,"1")</f>
        <v>0</v>
      </c>
      <c r="OK201" s="79" t="e">
        <f>OJ202/OJ201</f>
        <v>#DIV/0!</v>
      </c>
      <c r="OL201" s="29">
        <f>+IF(ON201&gt;=1,"1",0)</f>
        <v>0</v>
      </c>
      <c r="OM201" s="38">
        <f t="shared" si="343"/>
        <v>1</v>
      </c>
      <c r="ON201" s="35">
        <f>COUNTIF(FR201:HG201,"1")</f>
        <v>0</v>
      </c>
      <c r="OO201" s="79" t="e">
        <f>ON202/ON201</f>
        <v>#DIV/0!</v>
      </c>
      <c r="OP201" s="29">
        <f>+IF(OR201&gt;=1,"1",0)</f>
        <v>0</v>
      </c>
      <c r="OQ201" s="38">
        <f t="shared" si="344"/>
        <v>1</v>
      </c>
      <c r="OR201" s="35">
        <f>COUNTIF(HH201:IW201,"1")</f>
        <v>0</v>
      </c>
      <c r="OS201" s="79" t="e">
        <f>OR202/OR201</f>
        <v>#DIV/0!</v>
      </c>
      <c r="OT201" s="29">
        <f>+IF(OV201&gt;=1,"1",0)</f>
        <v>0</v>
      </c>
      <c r="OU201" s="38">
        <f t="shared" si="345"/>
        <v>1</v>
      </c>
      <c r="OV201" s="35">
        <f>COUNTIF(IX201:KM201,"1")</f>
        <v>0</v>
      </c>
      <c r="OW201" s="79" t="e">
        <f>OV202/OV201</f>
        <v>#DIV/0!</v>
      </c>
      <c r="OX201" s="29">
        <f>+IF(OZ201&gt;=1,"1",0)</f>
        <v>0</v>
      </c>
      <c r="OY201" s="38">
        <f t="shared" si="346"/>
        <v>1</v>
      </c>
      <c r="OZ201" s="35">
        <f>COUNTIF(KN201:MC201,"1")</f>
        <v>0</v>
      </c>
      <c r="PA201" s="79" t="e">
        <f>OZ202/OZ201</f>
        <v>#DIV/0!</v>
      </c>
      <c r="PB201" s="29">
        <f>+IF(PD201&gt;=1,"1",0)</f>
        <v>0</v>
      </c>
      <c r="PC201" s="38">
        <f t="shared" si="347"/>
        <v>1</v>
      </c>
      <c r="PD201" s="35">
        <f>COUNTIF(MD201:NS201,"1")</f>
        <v>0</v>
      </c>
      <c r="PE201" s="79" t="e">
        <f>PD202/PD201</f>
        <v>#DIV/0!</v>
      </c>
    </row>
    <row r="202" spans="3:421" ht="15.75" customHeight="1" outlineLevel="1" thickBot="1" x14ac:dyDescent="0.3">
      <c r="C202" s="83"/>
      <c r="D202" s="60"/>
      <c r="E202" s="54" t="s">
        <v>9</v>
      </c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70"/>
      <c r="Q202" s="34"/>
      <c r="R202" s="34"/>
      <c r="S202" s="34"/>
      <c r="T202" s="34"/>
      <c r="U202" s="34"/>
      <c r="V202" s="34"/>
      <c r="W202" s="70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  <c r="FS202" s="34"/>
      <c r="FT202" s="34"/>
      <c r="FU202" s="34"/>
      <c r="FV202" s="34"/>
      <c r="FW202" s="34"/>
      <c r="FX202" s="34"/>
      <c r="FY202" s="34"/>
      <c r="FZ202" s="34"/>
      <c r="GA202" s="34"/>
      <c r="GB202" s="34"/>
      <c r="GC202" s="34"/>
      <c r="GD202" s="34"/>
      <c r="GE202" s="34"/>
      <c r="GF202" s="34"/>
      <c r="GG202" s="34"/>
      <c r="GH202" s="34"/>
      <c r="GI202" s="34"/>
      <c r="GJ202" s="34"/>
      <c r="GK202" s="34"/>
      <c r="GL202" s="34"/>
      <c r="GM202" s="34"/>
      <c r="GN202" s="34"/>
      <c r="GO202" s="34"/>
      <c r="GP202" s="34"/>
      <c r="GQ202" s="34"/>
      <c r="GR202" s="34"/>
      <c r="GS202" s="34"/>
      <c r="GT202" s="34"/>
      <c r="GU202" s="34"/>
      <c r="GV202" s="34"/>
      <c r="GW202" s="34"/>
      <c r="GX202" s="34"/>
      <c r="GY202" s="34"/>
      <c r="GZ202" s="34"/>
      <c r="HA202" s="34"/>
      <c r="HB202" s="34"/>
      <c r="HC202" s="34"/>
      <c r="HD202" s="34"/>
      <c r="HE202" s="34"/>
      <c r="HF202" s="34"/>
      <c r="HG202" s="34"/>
      <c r="HH202" s="34"/>
      <c r="HI202" s="34"/>
      <c r="HJ202" s="34"/>
      <c r="HK202" s="34"/>
      <c r="HL202" s="34"/>
      <c r="HM202" s="34"/>
      <c r="HN202" s="34"/>
      <c r="HO202" s="34"/>
      <c r="HP202" s="34"/>
      <c r="HQ202" s="34"/>
      <c r="HR202" s="34"/>
      <c r="HS202" s="34"/>
      <c r="HT202" s="34"/>
      <c r="HU202" s="34"/>
      <c r="HV202" s="34"/>
      <c r="HW202" s="34"/>
      <c r="HX202" s="34"/>
      <c r="HY202" s="34"/>
      <c r="HZ202" s="34"/>
      <c r="IA202" s="34"/>
      <c r="IB202" s="34"/>
      <c r="IC202" s="34"/>
      <c r="ID202" s="34"/>
      <c r="IE202" s="34"/>
      <c r="IF202" s="34"/>
      <c r="IG202" s="34"/>
      <c r="IH202" s="34"/>
      <c r="II202" s="34"/>
      <c r="IJ202" s="34"/>
      <c r="IK202" s="34"/>
      <c r="IL202" s="34"/>
      <c r="IM202" s="34"/>
      <c r="IN202" s="34"/>
      <c r="IO202" s="34"/>
      <c r="IP202" s="34"/>
      <c r="IQ202" s="34"/>
      <c r="IR202" s="34"/>
      <c r="IS202" s="34"/>
      <c r="IT202" s="34"/>
      <c r="IU202" s="34"/>
      <c r="IV202" s="34"/>
      <c r="IW202" s="34"/>
      <c r="IX202" s="34"/>
      <c r="IY202" s="34"/>
      <c r="IZ202" s="34"/>
      <c r="JA202" s="34"/>
      <c r="JB202" s="34"/>
      <c r="JC202" s="34"/>
      <c r="JD202" s="34"/>
      <c r="JE202" s="34"/>
      <c r="JF202" s="34"/>
      <c r="JG202" s="34"/>
      <c r="JH202" s="34"/>
      <c r="JI202" s="34"/>
      <c r="JJ202" s="34"/>
      <c r="JK202" s="34"/>
      <c r="JL202" s="34"/>
      <c r="JM202" s="34"/>
      <c r="JN202" s="34"/>
      <c r="JO202" s="34"/>
      <c r="JP202" s="34"/>
      <c r="JQ202" s="34"/>
      <c r="JR202" s="34"/>
      <c r="JS202" s="34"/>
      <c r="JT202" s="34"/>
      <c r="JU202" s="34"/>
      <c r="JV202" s="34"/>
      <c r="JW202" s="34"/>
      <c r="JX202" s="34"/>
      <c r="JY202" s="34"/>
      <c r="JZ202" s="34"/>
      <c r="KA202" s="34"/>
      <c r="KB202" s="34"/>
      <c r="KC202" s="34"/>
      <c r="KD202" s="34"/>
      <c r="KE202" s="34"/>
      <c r="KF202" s="34"/>
      <c r="KG202" s="34"/>
      <c r="KH202" s="34"/>
      <c r="KI202" s="34"/>
      <c r="KJ202" s="34"/>
      <c r="KK202" s="34"/>
      <c r="KL202" s="34"/>
      <c r="KM202" s="34"/>
      <c r="KN202" s="34"/>
      <c r="KO202" s="34"/>
      <c r="KP202" s="34"/>
      <c r="KQ202" s="34"/>
      <c r="KR202" s="34"/>
      <c r="KS202" s="34"/>
      <c r="KT202" s="34"/>
      <c r="KU202" s="34"/>
      <c r="KV202" s="34"/>
      <c r="KW202" s="34"/>
      <c r="KX202" s="34"/>
      <c r="KY202" s="34"/>
      <c r="KZ202" s="34"/>
      <c r="LA202" s="34"/>
      <c r="LB202" s="34"/>
      <c r="LC202" s="34"/>
      <c r="LD202" s="34"/>
      <c r="LE202" s="34"/>
      <c r="LF202" s="34"/>
      <c r="LG202" s="34"/>
      <c r="LH202" s="34"/>
      <c r="LI202" s="34"/>
      <c r="LJ202" s="34"/>
      <c r="LK202" s="34"/>
      <c r="LL202" s="34"/>
      <c r="LM202" s="34"/>
      <c r="LN202" s="34"/>
      <c r="LO202" s="34"/>
      <c r="LP202" s="34"/>
      <c r="LQ202" s="34"/>
      <c r="LR202" s="34"/>
      <c r="LS202" s="34"/>
      <c r="LT202" s="34"/>
      <c r="LU202" s="34"/>
      <c r="LV202" s="34"/>
      <c r="LW202" s="34"/>
      <c r="LX202" s="34"/>
      <c r="LY202" s="34"/>
      <c r="LZ202" s="34"/>
      <c r="MA202" s="34"/>
      <c r="MB202" s="34"/>
      <c r="MC202" s="34"/>
      <c r="MD202" s="34"/>
      <c r="ME202" s="34"/>
      <c r="MF202" s="34"/>
      <c r="MG202" s="34"/>
      <c r="MH202" s="34"/>
      <c r="MI202" s="34"/>
      <c r="MJ202" s="34"/>
      <c r="MK202" s="34"/>
      <c r="ML202" s="34"/>
      <c r="MM202" s="34"/>
      <c r="MN202" s="34"/>
      <c r="MO202" s="34"/>
      <c r="MP202" s="34"/>
      <c r="MQ202" s="34"/>
      <c r="MR202" s="34"/>
      <c r="MS202" s="34"/>
      <c r="MT202" s="34"/>
      <c r="MU202" s="34"/>
      <c r="MV202" s="34"/>
      <c r="MW202" s="34"/>
      <c r="MX202" s="34"/>
      <c r="MY202" s="34"/>
      <c r="MZ202" s="34"/>
      <c r="NA202" s="34"/>
      <c r="NB202" s="34"/>
      <c r="NC202" s="34"/>
      <c r="ND202" s="34"/>
      <c r="NE202" s="34"/>
      <c r="NF202" s="34"/>
      <c r="NG202" s="34"/>
      <c r="NH202" s="34"/>
      <c r="NI202" s="34"/>
      <c r="NJ202" s="34"/>
      <c r="NK202" s="34"/>
      <c r="NL202" s="34"/>
      <c r="NM202" s="34"/>
      <c r="NN202" s="34"/>
      <c r="NO202" s="34"/>
      <c r="NP202" s="34"/>
      <c r="NQ202" s="34"/>
      <c r="NR202" s="34"/>
      <c r="NS202" s="34"/>
      <c r="NT202" s="7">
        <f>COUNTIF(F202:NS202,"X")</f>
        <v>0</v>
      </c>
      <c r="NU202" s="81"/>
      <c r="NV202" s="32" t="str">
        <f>IF(NX201=0,"0",NX202/NX201)</f>
        <v>0</v>
      </c>
      <c r="NW202" s="37">
        <f t="shared" si="338"/>
        <v>0</v>
      </c>
      <c r="NX202" s="36">
        <f>COUNTIF(F202:AU202,"X")</f>
        <v>0</v>
      </c>
      <c r="NY202" s="81"/>
      <c r="NZ202" s="32" t="str">
        <f>IF(OB201=0,"0",OB202/OB201)</f>
        <v>0</v>
      </c>
      <c r="OA202" s="37">
        <f t="shared" si="340"/>
        <v>0</v>
      </c>
      <c r="OB202" s="36">
        <f>COUNTIF(AV202:CK202,"X")</f>
        <v>0</v>
      </c>
      <c r="OC202" s="81"/>
      <c r="OD202" s="32" t="str">
        <f>IF(OF201=0,"0",OF202/OF201)</f>
        <v>0</v>
      </c>
      <c r="OE202" s="37">
        <f t="shared" si="341"/>
        <v>0</v>
      </c>
      <c r="OF202" s="36">
        <f>COUNTIF(CL202:EA202,"X")</f>
        <v>0</v>
      </c>
      <c r="OG202" s="81"/>
      <c r="OH202" s="32" t="str">
        <f>IF(OJ201=0,"0",OJ202/OJ201)</f>
        <v>0</v>
      </c>
      <c r="OI202" s="37">
        <f t="shared" si="342"/>
        <v>0</v>
      </c>
      <c r="OJ202" s="36">
        <f>COUNTIF(EB202:FQ202,"X")</f>
        <v>0</v>
      </c>
      <c r="OK202" s="74"/>
      <c r="OL202" s="32" t="str">
        <f>IF(ON201=0,"0",ON202/ON201)</f>
        <v>0</v>
      </c>
      <c r="OM202" s="37">
        <f t="shared" si="343"/>
        <v>0</v>
      </c>
      <c r="ON202" s="36">
        <f>COUNTIF(FR202:HG202,"X")</f>
        <v>0</v>
      </c>
      <c r="OO202" s="74"/>
      <c r="OP202" s="32" t="str">
        <f>IF(OR201=0,"0",OR202/OR201)</f>
        <v>0</v>
      </c>
      <c r="OQ202" s="37">
        <f t="shared" si="344"/>
        <v>0</v>
      </c>
      <c r="OR202" s="36">
        <f>COUNTIF(HH202:IW202,"X")</f>
        <v>0</v>
      </c>
      <c r="OS202" s="74"/>
      <c r="OT202" s="32" t="str">
        <f>IF(OV201=0,"0",OV202/OV201)</f>
        <v>0</v>
      </c>
      <c r="OU202" s="37">
        <f t="shared" si="345"/>
        <v>0</v>
      </c>
      <c r="OV202" s="36">
        <f>COUNTIF(IX202:KM202,"X")</f>
        <v>0</v>
      </c>
      <c r="OW202" s="74"/>
      <c r="OX202" s="32" t="str">
        <f>IF(OZ201=0,"0",OZ202/OZ201)</f>
        <v>0</v>
      </c>
      <c r="OY202" s="37">
        <f t="shared" si="346"/>
        <v>0</v>
      </c>
      <c r="OZ202" s="36">
        <f>COUNTIF(KN202:MC202,"X")</f>
        <v>0</v>
      </c>
      <c r="PA202" s="74"/>
      <c r="PB202" s="32" t="str">
        <f>IF(PD201=0,"0",PD202/PD201)</f>
        <v>0</v>
      </c>
      <c r="PC202" s="37">
        <f t="shared" si="347"/>
        <v>0</v>
      </c>
      <c r="PD202" s="36">
        <f>COUNTIF(MD202:NS202,"X")</f>
        <v>0</v>
      </c>
      <c r="PE202" s="74"/>
    </row>
    <row r="270" spans="6:7" x14ac:dyDescent="0.25">
      <c r="F270" s="5">
        <v>1</v>
      </c>
      <c r="G270" s="5" t="s">
        <v>4</v>
      </c>
    </row>
    <row r="271" spans="6:7" x14ac:dyDescent="0.25">
      <c r="F271" s="5">
        <v>2</v>
      </c>
      <c r="G271" s="5" t="s">
        <v>5</v>
      </c>
    </row>
    <row r="272" spans="6:7" x14ac:dyDescent="0.25">
      <c r="F272" s="5">
        <v>3</v>
      </c>
      <c r="G272" s="5" t="s">
        <v>1</v>
      </c>
    </row>
    <row r="273" spans="6:7" x14ac:dyDescent="0.25">
      <c r="F273" s="5">
        <v>4</v>
      </c>
      <c r="G273" s="5" t="s">
        <v>1</v>
      </c>
    </row>
    <row r="274" spans="6:7" x14ac:dyDescent="0.25">
      <c r="F274" s="5">
        <v>5</v>
      </c>
      <c r="G274" s="5" t="s">
        <v>7</v>
      </c>
    </row>
    <row r="275" spans="6:7" x14ac:dyDescent="0.25">
      <c r="F275" s="5">
        <v>6</v>
      </c>
      <c r="G275" s="5" t="s">
        <v>6</v>
      </c>
    </row>
    <row r="276" spans="6:7" x14ac:dyDescent="0.25">
      <c r="F276" s="5">
        <v>7</v>
      </c>
      <c r="G276" s="5" t="s">
        <v>0</v>
      </c>
    </row>
  </sheetData>
  <sortState xmlns:xlrd2="http://schemas.microsoft.com/office/spreadsheetml/2017/richdata2" ref="AS46:AV48">
    <sortCondition ref="AU48"/>
  </sortState>
  <customSheetViews>
    <customSheetView guid="{A7969C9E-BFCD-4BDA-BA17-3C68D228318C}" scale="90" showPageBreaks="1" printArea="1" hiddenColumns="1" topLeftCell="C7">
      <pane xSplit="2" ySplit="2" topLeftCell="E153" activePane="bottomRight" state="frozen"/>
      <selection pane="bottomRight" activeCell="C171" sqref="C171:C172"/>
      <rowBreaks count="1" manualBreakCount="1">
        <brk id="35" min="2" max="461" man="1"/>
      </rowBreaks>
      <pageMargins left="0.23622047244094491" right="0.23622047244094491" top="0.35433070866141736" bottom="0.35433070866141736" header="0.31496062992125984" footer="0.31496062992125984"/>
      <printOptions horizontalCentered="1" verticalCentered="1"/>
      <pageSetup scale="72" fitToHeight="4" orientation="landscape" r:id="rId1"/>
    </customSheetView>
    <customSheetView guid="{E0F6AF37-1169-4971-803D-C4A6A70320D1}" scale="90" showPageBreaks="1" printArea="1" hiddenRows="1" hiddenColumns="1" topLeftCell="C7">
      <pane xSplit="167" ySplit="4" topLeftCell="FQ20" activePane="bottomRight" state="frozen"/>
      <selection pane="bottomRight" activeCell="C37" sqref="C37:C38"/>
      <rowBreaks count="1" manualBreakCount="1">
        <brk id="43" min="2" max="461" man="1"/>
      </rowBreaks>
      <pageMargins left="0.23622047244094491" right="0.23622047244094491" top="0.35433070866141736" bottom="0.35433070866141736" header="0.31496062992125984" footer="0.31496062992125984"/>
      <printOptions horizontalCentered="1" verticalCentered="1"/>
      <pageSetup scale="72" fitToHeight="4" orientation="landscape" r:id="rId2"/>
    </customSheetView>
    <customSheetView guid="{1E8522C1-B56D-4F88-87D4-A6887FF04C37}" scale="90" hiddenColumns="1" topLeftCell="C7">
      <pane xSplit="2" ySplit="2" topLeftCell="E9" activePane="bottomRight" state="frozen"/>
      <selection pane="bottomRight" activeCell="C27" sqref="C27:C28"/>
      <rowBreaks count="1" manualBreakCount="1">
        <brk id="35" min="2" max="461" man="1"/>
      </rowBreaks>
      <pageMargins left="0.23622047244094491" right="0.23622047244094491" top="0.35433070866141736" bottom="0.35433070866141736" header="0.31496062992125984" footer="0.31496062992125984"/>
      <printOptions horizontalCentered="1" verticalCentered="1"/>
      <pageSetup scale="72" fitToHeight="4" orientation="landscape" r:id="rId3"/>
    </customSheetView>
    <customSheetView guid="{17D6317E-36F3-40E4-AE12-272614D3E5FA}" scale="90" hiddenColumns="1" topLeftCell="C7">
      <pane xSplit="2" ySplit="2" topLeftCell="E9" activePane="bottomRight" state="frozen"/>
      <selection pane="bottomRight" activeCell="G18" sqref="G18"/>
      <rowBreaks count="1" manualBreakCount="1">
        <brk id="91" min="2" max="461" man="1"/>
      </rowBreaks>
      <pageMargins left="0.23622047244094491" right="0.23622047244094491" top="0.35433070866141736" bottom="0.35433070866141736" header="0.31496062992125984" footer="0.31496062992125984"/>
      <printOptions horizontalCentered="1" verticalCentered="1"/>
      <pageSetup scale="72" fitToHeight="4" orientation="landscape" r:id="rId4"/>
    </customSheetView>
    <customSheetView guid="{80649295-6DF8-4EC9-BC01-ABACA7C5D248}" scale="90" showPageBreaks="1" printArea="1" hiddenRows="1" hiddenColumns="1" topLeftCell="C7">
      <pane xSplit="167" ySplit="4" topLeftCell="FQ20" activePane="bottomRight" state="frozen"/>
      <selection pane="bottomRight" activeCell="C37" sqref="C37:C38"/>
      <rowBreaks count="1" manualBreakCount="1">
        <brk id="43" min="2" max="461" man="1"/>
      </rowBreaks>
      <pageMargins left="0.23622047244094491" right="0.23622047244094491" top="0.35433070866141736" bottom="0.35433070866141736" header="0.31496062992125984" footer="0.31496062992125984"/>
      <printOptions horizontalCentered="1" verticalCentered="1"/>
      <pageSetup scale="72" fitToHeight="4" orientation="landscape" r:id="rId5"/>
    </customSheetView>
  </customSheetViews>
  <mergeCells count="1160">
    <mergeCell ref="PE65:PE66"/>
    <mergeCell ref="OK65:OK66"/>
    <mergeCell ref="OW67:OW68"/>
    <mergeCell ref="OK63:OK64"/>
    <mergeCell ref="C77:C78"/>
    <mergeCell ref="D77:D78"/>
    <mergeCell ref="NU77:NU78"/>
    <mergeCell ref="NY77:NY78"/>
    <mergeCell ref="OC77:OC78"/>
    <mergeCell ref="OG77:OG78"/>
    <mergeCell ref="OK77:OK78"/>
    <mergeCell ref="OO77:OO78"/>
    <mergeCell ref="OS77:OS78"/>
    <mergeCell ref="OW77:OW78"/>
    <mergeCell ref="PA77:PA78"/>
    <mergeCell ref="PE77:PE78"/>
    <mergeCell ref="C75:C76"/>
    <mergeCell ref="D75:D76"/>
    <mergeCell ref="NU75:NU76"/>
    <mergeCell ref="NY75:NY76"/>
    <mergeCell ref="C57:C58"/>
    <mergeCell ref="D57:D58"/>
    <mergeCell ref="NU57:NU58"/>
    <mergeCell ref="NY57:NY58"/>
    <mergeCell ref="OC57:OC58"/>
    <mergeCell ref="OG57:OG58"/>
    <mergeCell ref="OK57:OK58"/>
    <mergeCell ref="OO57:OO58"/>
    <mergeCell ref="OS57:OS58"/>
    <mergeCell ref="OW57:OW58"/>
    <mergeCell ref="PA57:PA58"/>
    <mergeCell ref="PE57:PE58"/>
    <mergeCell ref="C59:C60"/>
    <mergeCell ref="D59:D60"/>
    <mergeCell ref="NU59:NU60"/>
    <mergeCell ref="NY59:NY60"/>
    <mergeCell ref="OC59:OC60"/>
    <mergeCell ref="OG59:OG60"/>
    <mergeCell ref="OK59:OK60"/>
    <mergeCell ref="OO59:OO60"/>
    <mergeCell ref="OS59:OS60"/>
    <mergeCell ref="OW59:OW60"/>
    <mergeCell ref="PA59:PA60"/>
    <mergeCell ref="PE59:PE60"/>
    <mergeCell ref="C53:C54"/>
    <mergeCell ref="D53:D54"/>
    <mergeCell ref="NU53:NU54"/>
    <mergeCell ref="NY53:NY54"/>
    <mergeCell ref="OC53:OC54"/>
    <mergeCell ref="OG53:OG54"/>
    <mergeCell ref="OK53:OK54"/>
    <mergeCell ref="OO53:OO54"/>
    <mergeCell ref="OS53:OS54"/>
    <mergeCell ref="OW53:OW54"/>
    <mergeCell ref="PA53:PA54"/>
    <mergeCell ref="PE53:PE54"/>
    <mergeCell ref="C55:C56"/>
    <mergeCell ref="D55:D56"/>
    <mergeCell ref="NU55:NU56"/>
    <mergeCell ref="NY55:NY56"/>
    <mergeCell ref="OC55:OC56"/>
    <mergeCell ref="OG55:OG56"/>
    <mergeCell ref="OK55:OK56"/>
    <mergeCell ref="OO55:OO56"/>
    <mergeCell ref="OS55:OS56"/>
    <mergeCell ref="OW55:OW56"/>
    <mergeCell ref="PA55:PA56"/>
    <mergeCell ref="PE55:PE56"/>
    <mergeCell ref="C7:E8"/>
    <mergeCell ref="C149:C150"/>
    <mergeCell ref="NU149:NU150"/>
    <mergeCell ref="OG149:OG150"/>
    <mergeCell ref="OQ149:OQ150"/>
    <mergeCell ref="OS149:OS150"/>
    <mergeCell ref="OW149:OW150"/>
    <mergeCell ref="D151:D152"/>
    <mergeCell ref="NY151:NY152"/>
    <mergeCell ref="OC151:OC152"/>
    <mergeCell ref="OG151:OG152"/>
    <mergeCell ref="OK151:OK152"/>
    <mergeCell ref="OO151:OO152"/>
    <mergeCell ref="PA151:PA152"/>
    <mergeCell ref="PE151:PE152"/>
    <mergeCell ref="NY109:NY110"/>
    <mergeCell ref="OC109:OC110"/>
    <mergeCell ref="OG109:OG110"/>
    <mergeCell ref="OK109:OK110"/>
    <mergeCell ref="OO109:OO110"/>
    <mergeCell ref="OS109:OS110"/>
    <mergeCell ref="OW109:OW110"/>
    <mergeCell ref="PA109:PA110"/>
    <mergeCell ref="PE109:PE110"/>
    <mergeCell ref="C111:C112"/>
    <mergeCell ref="NU111:NU112"/>
    <mergeCell ref="NY111:NY112"/>
    <mergeCell ref="OC111:OC112"/>
    <mergeCell ref="OG111:OG112"/>
    <mergeCell ref="OK111:OK112"/>
    <mergeCell ref="OO111:OO112"/>
    <mergeCell ref="OS111:OS112"/>
    <mergeCell ref="OW111:OW112"/>
    <mergeCell ref="PA111:PA112"/>
    <mergeCell ref="PE111:PE112"/>
    <mergeCell ref="D49:D50"/>
    <mergeCell ref="D51:D52"/>
    <mergeCell ref="D61:D62"/>
    <mergeCell ref="D13:D14"/>
    <mergeCell ref="D31:D32"/>
    <mergeCell ref="D33:D34"/>
    <mergeCell ref="D15:D16"/>
    <mergeCell ref="D17:D18"/>
    <mergeCell ref="D23:D24"/>
    <mergeCell ref="D25:D26"/>
    <mergeCell ref="D27:D28"/>
    <mergeCell ref="D21:D22"/>
    <mergeCell ref="D19:D20"/>
    <mergeCell ref="D43:D44"/>
    <mergeCell ref="D35:D36"/>
    <mergeCell ref="D37:D38"/>
    <mergeCell ref="D39:D40"/>
    <mergeCell ref="D45:D46"/>
    <mergeCell ref="D41:D42"/>
    <mergeCell ref="D47:D48"/>
    <mergeCell ref="PE103:PE104"/>
    <mergeCell ref="C201:C202"/>
    <mergeCell ref="NU201:NU202"/>
    <mergeCell ref="NY201:NY202"/>
    <mergeCell ref="OC201:OC202"/>
    <mergeCell ref="OG201:OG202"/>
    <mergeCell ref="OK201:OK202"/>
    <mergeCell ref="OO201:OO202"/>
    <mergeCell ref="OS201:OS202"/>
    <mergeCell ref="PE201:PE202"/>
    <mergeCell ref="PA199:PA200"/>
    <mergeCell ref="PE199:PE200"/>
    <mergeCell ref="OW201:OW202"/>
    <mergeCell ref="PA201:PA202"/>
    <mergeCell ref="C199:C200"/>
    <mergeCell ref="NU199:NU200"/>
    <mergeCell ref="NY199:NY200"/>
    <mergeCell ref="OC199:OC200"/>
    <mergeCell ref="OG199:OG200"/>
    <mergeCell ref="OK199:OK200"/>
    <mergeCell ref="OO199:OO200"/>
    <mergeCell ref="OS199:OS200"/>
    <mergeCell ref="OW199:OW200"/>
    <mergeCell ref="NY191:NY192"/>
    <mergeCell ref="OC191:OC192"/>
    <mergeCell ref="OK195:OK196"/>
    <mergeCell ref="OS191:OS192"/>
    <mergeCell ref="C197:C198"/>
    <mergeCell ref="NU197:NU198"/>
    <mergeCell ref="C169:C170"/>
    <mergeCell ref="NU171:NU172"/>
    <mergeCell ref="OO185:OO186"/>
    <mergeCell ref="OG193:OG194"/>
    <mergeCell ref="OK193:OK194"/>
    <mergeCell ref="C183:C184"/>
    <mergeCell ref="OK183:OK184"/>
    <mergeCell ref="OG177:OG178"/>
    <mergeCell ref="NU183:NU184"/>
    <mergeCell ref="NY183:NY184"/>
    <mergeCell ref="NY177:NY178"/>
    <mergeCell ref="C177:C178"/>
    <mergeCell ref="C189:C190"/>
    <mergeCell ref="NU189:NU190"/>
    <mergeCell ref="NU175:NU176"/>
    <mergeCell ref="NY187:NY188"/>
    <mergeCell ref="OC187:OC188"/>
    <mergeCell ref="OG187:OG188"/>
    <mergeCell ref="OK187:OK188"/>
    <mergeCell ref="OG181:OG182"/>
    <mergeCell ref="OG191:OG192"/>
    <mergeCell ref="OC177:OC178"/>
    <mergeCell ref="PE177:PE178"/>
    <mergeCell ref="OG171:OG172"/>
    <mergeCell ref="OK173:OK174"/>
    <mergeCell ref="PA175:PA176"/>
    <mergeCell ref="PE195:PE196"/>
    <mergeCell ref="OG185:OG186"/>
    <mergeCell ref="OK185:OK186"/>
    <mergeCell ref="OC183:OC184"/>
    <mergeCell ref="OG183:OG184"/>
    <mergeCell ref="OO183:OO184"/>
    <mergeCell ref="OS183:OS184"/>
    <mergeCell ref="OK197:OK198"/>
    <mergeCell ref="PA193:PA194"/>
    <mergeCell ref="NY189:NY190"/>
    <mergeCell ref="OK191:OK192"/>
    <mergeCell ref="OS181:OS182"/>
    <mergeCell ref="NY171:NY172"/>
    <mergeCell ref="PA195:PA196"/>
    <mergeCell ref="PA177:PA178"/>
    <mergeCell ref="OO171:OO172"/>
    <mergeCell ref="NY175:NY176"/>
    <mergeCell ref="OC175:OC176"/>
    <mergeCell ref="OC169:OC170"/>
    <mergeCell ref="OG169:OG170"/>
    <mergeCell ref="OK169:OK170"/>
    <mergeCell ref="OO169:OO170"/>
    <mergeCell ref="OS169:OS170"/>
    <mergeCell ref="OW169:OW170"/>
    <mergeCell ref="PA169:PA170"/>
    <mergeCell ref="PE169:PE170"/>
    <mergeCell ref="OK175:OK176"/>
    <mergeCell ref="OO175:OO176"/>
    <mergeCell ref="OK177:OK178"/>
    <mergeCell ref="OO177:OO178"/>
    <mergeCell ref="OW177:OW178"/>
    <mergeCell ref="PE173:PE174"/>
    <mergeCell ref="PE183:PE184"/>
    <mergeCell ref="OG175:OG176"/>
    <mergeCell ref="OS175:OS176"/>
    <mergeCell ref="OO179:OO180"/>
    <mergeCell ref="OW175:OW176"/>
    <mergeCell ref="OC165:OC166"/>
    <mergeCell ref="PE167:PE168"/>
    <mergeCell ref="OQ167:OQ168"/>
    <mergeCell ref="PE165:PE166"/>
    <mergeCell ref="OK165:OK166"/>
    <mergeCell ref="OW165:OW166"/>
    <mergeCell ref="OG167:OG168"/>
    <mergeCell ref="OK167:OK168"/>
    <mergeCell ref="PA167:PA168"/>
    <mergeCell ref="PA149:PA150"/>
    <mergeCell ref="OO167:OO168"/>
    <mergeCell ref="OS167:OS168"/>
    <mergeCell ref="OS177:OS178"/>
    <mergeCell ref="NY173:NY174"/>
    <mergeCell ref="OC173:OC174"/>
    <mergeCell ref="OG173:OG174"/>
    <mergeCell ref="OO173:OO174"/>
    <mergeCell ref="PA173:PA174"/>
    <mergeCell ref="PA171:PA172"/>
    <mergeCell ref="OO157:OO158"/>
    <mergeCell ref="PA165:PA166"/>
    <mergeCell ref="PE163:PE164"/>
    <mergeCell ref="OC163:OC164"/>
    <mergeCell ref="OG159:OG160"/>
    <mergeCell ref="OK159:OK160"/>
    <mergeCell ref="OO159:OO160"/>
    <mergeCell ref="OS159:OS160"/>
    <mergeCell ref="OW159:OW160"/>
    <mergeCell ref="PA159:PA160"/>
    <mergeCell ref="NY169:NY170"/>
    <mergeCell ref="NU169:NU170"/>
    <mergeCell ref="OG135:OG136"/>
    <mergeCell ref="NU173:NU174"/>
    <mergeCell ref="OG163:OG164"/>
    <mergeCell ref="OK163:OK164"/>
    <mergeCell ref="OO163:OO164"/>
    <mergeCell ref="OS163:OS164"/>
    <mergeCell ref="OW163:OW164"/>
    <mergeCell ref="PA163:PA164"/>
    <mergeCell ref="OO165:OO166"/>
    <mergeCell ref="OS165:OS166"/>
    <mergeCell ref="OO161:OO162"/>
    <mergeCell ref="OC171:OC172"/>
    <mergeCell ref="OQ173:OQ174"/>
    <mergeCell ref="OS161:OS162"/>
    <mergeCell ref="OG165:OG166"/>
    <mergeCell ref="OW161:OW162"/>
    <mergeCell ref="PA161:PA162"/>
    <mergeCell ref="OW167:OW168"/>
    <mergeCell ref="PA115:PA116"/>
    <mergeCell ref="OW105:OW106"/>
    <mergeCell ref="PA113:PA114"/>
    <mergeCell ref="OK135:OK136"/>
    <mergeCell ref="OW115:OW116"/>
    <mergeCell ref="OG117:OG118"/>
    <mergeCell ref="OS113:OS114"/>
    <mergeCell ref="OW113:OW114"/>
    <mergeCell ref="OK115:OK116"/>
    <mergeCell ref="OG115:OG116"/>
    <mergeCell ref="OG153:OG154"/>
    <mergeCell ref="OK153:OK154"/>
    <mergeCell ref="OO153:OO154"/>
    <mergeCell ref="OS153:OS154"/>
    <mergeCell ref="OW153:OW154"/>
    <mergeCell ref="PA153:PA154"/>
    <mergeCell ref="OG155:OG156"/>
    <mergeCell ref="OK155:OK156"/>
    <mergeCell ref="OO155:OO156"/>
    <mergeCell ref="OS155:OS156"/>
    <mergeCell ref="OW155:OW156"/>
    <mergeCell ref="PA155:PA156"/>
    <mergeCell ref="PA117:PA118"/>
    <mergeCell ref="PE157:PE158"/>
    <mergeCell ref="OS157:OS158"/>
    <mergeCell ref="PE161:PE162"/>
    <mergeCell ref="OW103:OW104"/>
    <mergeCell ref="PA103:PA104"/>
    <mergeCell ref="OW107:OW108"/>
    <mergeCell ref="OS147:OS148"/>
    <mergeCell ref="OW147:OW148"/>
    <mergeCell ref="PA133:PA134"/>
    <mergeCell ref="OO115:OO116"/>
    <mergeCell ref="OS127:OS128"/>
    <mergeCell ref="OW127:OW128"/>
    <mergeCell ref="PE153:PE154"/>
    <mergeCell ref="PE155:PE156"/>
    <mergeCell ref="PA123:PA124"/>
    <mergeCell ref="PE123:PE124"/>
    <mergeCell ref="PE149:PE150"/>
    <mergeCell ref="OO143:OO144"/>
    <mergeCell ref="PE127:PE128"/>
    <mergeCell ref="PE117:PE118"/>
    <mergeCell ref="PA105:PA106"/>
    <mergeCell ref="PE105:PE106"/>
    <mergeCell ref="PE113:PE114"/>
    <mergeCell ref="PA121:PA122"/>
    <mergeCell ref="PE121:PE122"/>
    <mergeCell ref="PA131:PA132"/>
    <mergeCell ref="PE141:PE142"/>
    <mergeCell ref="PE125:PE126"/>
    <mergeCell ref="PE145:PE146"/>
    <mergeCell ref="PE133:PE134"/>
    <mergeCell ref="PE131:PE132"/>
    <mergeCell ref="PA139:PA140"/>
    <mergeCell ref="PE139:PE140"/>
    <mergeCell ref="PA141:PA142"/>
    <mergeCell ref="PA107:PA108"/>
    <mergeCell ref="PE107:PE108"/>
    <mergeCell ref="OS145:OS146"/>
    <mergeCell ref="OW119:OW120"/>
    <mergeCell ref="OW157:OW158"/>
    <mergeCell ref="PA157:PA158"/>
    <mergeCell ref="OO149:OO150"/>
    <mergeCell ref="OS119:OS120"/>
    <mergeCell ref="PE115:PE116"/>
    <mergeCell ref="OS97:OS98"/>
    <mergeCell ref="OO107:OO108"/>
    <mergeCell ref="OS107:OS108"/>
    <mergeCell ref="OS101:OS102"/>
    <mergeCell ref="OQ157:OQ158"/>
    <mergeCell ref="OS117:OS118"/>
    <mergeCell ref="OW117:OW118"/>
    <mergeCell ref="PE119:PE120"/>
    <mergeCell ref="PA119:PA120"/>
    <mergeCell ref="OW143:OW144"/>
    <mergeCell ref="OS105:OS106"/>
    <mergeCell ref="OS115:OS116"/>
    <mergeCell ref="OW97:OW98"/>
    <mergeCell ref="PA99:PA100"/>
    <mergeCell ref="OW123:OW124"/>
    <mergeCell ref="OO129:OO130"/>
    <mergeCell ref="OS129:OS130"/>
    <mergeCell ref="OO119:OO120"/>
    <mergeCell ref="OO97:OO98"/>
    <mergeCell ref="OO103:OO104"/>
    <mergeCell ref="PE97:PE98"/>
    <mergeCell ref="PE85:PE86"/>
    <mergeCell ref="PE81:PE82"/>
    <mergeCell ref="OO85:OO86"/>
    <mergeCell ref="PA101:PA102"/>
    <mergeCell ref="PE101:PE102"/>
    <mergeCell ref="PE99:PE100"/>
    <mergeCell ref="PA97:PA98"/>
    <mergeCell ref="OO99:OO100"/>
    <mergeCell ref="OS99:OS100"/>
    <mergeCell ref="OW99:OW100"/>
    <mergeCell ref="OW83:OW84"/>
    <mergeCell ref="OS85:OS86"/>
    <mergeCell ref="OW85:OW86"/>
    <mergeCell ref="PA85:PA86"/>
    <mergeCell ref="PA67:PA68"/>
    <mergeCell ref="PA65:PA66"/>
    <mergeCell ref="PE71:PE72"/>
    <mergeCell ref="OG69:OG70"/>
    <mergeCell ref="OW63:OW64"/>
    <mergeCell ref="PA63:PA64"/>
    <mergeCell ref="PE67:PE68"/>
    <mergeCell ref="OO67:OO68"/>
    <mergeCell ref="PE63:PE64"/>
    <mergeCell ref="OG71:OG72"/>
    <mergeCell ref="OS93:OS94"/>
    <mergeCell ref="OS91:OS92"/>
    <mergeCell ref="OW79:OW80"/>
    <mergeCell ref="PA81:PA82"/>
    <mergeCell ref="OW91:OW92"/>
    <mergeCell ref="OS79:OS80"/>
    <mergeCell ref="PA93:PA94"/>
    <mergeCell ref="OW93:OW94"/>
    <mergeCell ref="PA91:PA92"/>
    <mergeCell ref="PA89:PA90"/>
    <mergeCell ref="PE73:PE74"/>
    <mergeCell ref="OS69:OS70"/>
    <mergeCell ref="PE69:PE70"/>
    <mergeCell ref="OO79:OO80"/>
    <mergeCell ref="OO63:OO64"/>
    <mergeCell ref="OS63:OS64"/>
    <mergeCell ref="OW87:OW88"/>
    <mergeCell ref="PE93:PE94"/>
    <mergeCell ref="PE89:PE90"/>
    <mergeCell ref="PA83:PA84"/>
    <mergeCell ref="PE79:PE80"/>
    <mergeCell ref="OS75:OS76"/>
    <mergeCell ref="PA71:PA72"/>
    <mergeCell ref="OO95:OO96"/>
    <mergeCell ref="OS95:OS96"/>
    <mergeCell ref="OK95:OK96"/>
    <mergeCell ref="PE95:PE96"/>
    <mergeCell ref="OK89:OK90"/>
    <mergeCell ref="PA73:PA74"/>
    <mergeCell ref="OS89:OS90"/>
    <mergeCell ref="OO93:OO94"/>
    <mergeCell ref="OO81:OO82"/>
    <mergeCell ref="OO71:OO72"/>
    <mergeCell ref="OO91:OO92"/>
    <mergeCell ref="OW89:OW90"/>
    <mergeCell ref="PE91:PE92"/>
    <mergeCell ref="PA95:PA96"/>
    <mergeCell ref="OW75:OW76"/>
    <mergeCell ref="PA75:PA76"/>
    <mergeCell ref="PE75:PE76"/>
    <mergeCell ref="OK75:OK76"/>
    <mergeCell ref="OK79:OK80"/>
    <mergeCell ref="OK73:OK74"/>
    <mergeCell ref="OO73:OO74"/>
    <mergeCell ref="OO65:OO66"/>
    <mergeCell ref="OS73:OS74"/>
    <mergeCell ref="OW73:OW74"/>
    <mergeCell ref="OK67:OK68"/>
    <mergeCell ref="OQ63:OQ64"/>
    <mergeCell ref="OC63:OC64"/>
    <mergeCell ref="OG63:OG64"/>
    <mergeCell ref="OS65:OS66"/>
    <mergeCell ref="OG81:OG82"/>
    <mergeCell ref="OK83:OK84"/>
    <mergeCell ref="OG73:OG74"/>
    <mergeCell ref="OS67:OS68"/>
    <mergeCell ref="OO83:OO84"/>
    <mergeCell ref="OS83:OS84"/>
    <mergeCell ref="OC75:OC76"/>
    <mergeCell ref="OG75:OG76"/>
    <mergeCell ref="OO75:OO76"/>
    <mergeCell ref="OK157:OK158"/>
    <mergeCell ref="NU107:NU108"/>
    <mergeCell ref="NU157:NU158"/>
    <mergeCell ref="NU83:NU84"/>
    <mergeCell ref="NU87:NU88"/>
    <mergeCell ref="NU97:NU98"/>
    <mergeCell ref="NU119:NU120"/>
    <mergeCell ref="OK105:OK106"/>
    <mergeCell ref="OO105:OO106"/>
    <mergeCell ref="OO113:OO114"/>
    <mergeCell ref="NU71:NU72"/>
    <mergeCell ref="NU73:NU74"/>
    <mergeCell ref="OG65:OG66"/>
    <mergeCell ref="OO69:OO70"/>
    <mergeCell ref="OO89:OO90"/>
    <mergeCell ref="OK71:OK72"/>
    <mergeCell ref="OO87:OO88"/>
    <mergeCell ref="OG103:OG104"/>
    <mergeCell ref="OG101:OG102"/>
    <mergeCell ref="OG95:OG96"/>
    <mergeCell ref="OG97:OG98"/>
    <mergeCell ref="OG99:OG100"/>
    <mergeCell ref="OG67:OG68"/>
    <mergeCell ref="OC65:OC66"/>
    <mergeCell ref="OK91:OK92"/>
    <mergeCell ref="NU101:NU102"/>
    <mergeCell ref="OC115:OC116"/>
    <mergeCell ref="NY113:NY114"/>
    <mergeCell ref="NU105:NU106"/>
    <mergeCell ref="NU115:NU116"/>
    <mergeCell ref="NY115:NY116"/>
    <mergeCell ref="NU103:NU104"/>
    <mergeCell ref="NU113:NU114"/>
    <mergeCell ref="OG147:OG148"/>
    <mergeCell ref="OK147:OK148"/>
    <mergeCell ref="OO147:OO148"/>
    <mergeCell ref="OO133:OO134"/>
    <mergeCell ref="NU137:NU138"/>
    <mergeCell ref="NY137:NY138"/>
    <mergeCell ref="NY139:NY140"/>
    <mergeCell ref="NY107:NY108"/>
    <mergeCell ref="OC107:OC108"/>
    <mergeCell ref="OK107:OK108"/>
    <mergeCell ref="OK103:OK104"/>
    <mergeCell ref="OK117:OK118"/>
    <mergeCell ref="OO131:OO132"/>
    <mergeCell ref="NY119:NY120"/>
    <mergeCell ref="NY131:NY132"/>
    <mergeCell ref="OO101:OO102"/>
    <mergeCell ref="OC139:OC140"/>
    <mergeCell ref="OK101:OK102"/>
    <mergeCell ref="OG107:OG108"/>
    <mergeCell ref="OG119:OG120"/>
    <mergeCell ref="OG127:OG128"/>
    <mergeCell ref="C115:C116"/>
    <mergeCell ref="C117:C118"/>
    <mergeCell ref="NU85:NU86"/>
    <mergeCell ref="D87:D88"/>
    <mergeCell ref="D89:D90"/>
    <mergeCell ref="OG105:OG106"/>
    <mergeCell ref="OC105:OC106"/>
    <mergeCell ref="OC97:OC98"/>
    <mergeCell ref="NY87:NY88"/>
    <mergeCell ref="NU95:NU96"/>
    <mergeCell ref="C119:C120"/>
    <mergeCell ref="C109:C110"/>
    <mergeCell ref="C131:C132"/>
    <mergeCell ref="C159:C160"/>
    <mergeCell ref="C163:C164"/>
    <mergeCell ref="NY167:NY168"/>
    <mergeCell ref="NU165:NU166"/>
    <mergeCell ref="NU167:NU168"/>
    <mergeCell ref="OC167:OC168"/>
    <mergeCell ref="OC119:OC120"/>
    <mergeCell ref="NU159:NU160"/>
    <mergeCell ref="NY165:NY166"/>
    <mergeCell ref="NY149:NY150"/>
    <mergeCell ref="OC149:OC150"/>
    <mergeCell ref="C153:C154"/>
    <mergeCell ref="D153:D154"/>
    <mergeCell ref="NU153:NU154"/>
    <mergeCell ref="NY153:NY154"/>
    <mergeCell ref="OC153:OC154"/>
    <mergeCell ref="NY157:NY158"/>
    <mergeCell ref="OC157:OC158"/>
    <mergeCell ref="C157:C158"/>
    <mergeCell ref="NU145:NU146"/>
    <mergeCell ref="NY145:NY146"/>
    <mergeCell ref="NY159:NY160"/>
    <mergeCell ref="OC159:OC160"/>
    <mergeCell ref="OC155:OC156"/>
    <mergeCell ref="D161:D162"/>
    <mergeCell ref="C155:C156"/>
    <mergeCell ref="D155:D156"/>
    <mergeCell ref="NU155:NU156"/>
    <mergeCell ref="NY155:NY156"/>
    <mergeCell ref="D159:D160"/>
    <mergeCell ref="C63:C64"/>
    <mergeCell ref="C91:C92"/>
    <mergeCell ref="NU117:NU118"/>
    <mergeCell ref="NY117:NY118"/>
    <mergeCell ref="OC117:OC118"/>
    <mergeCell ref="NY85:NY86"/>
    <mergeCell ref="D123:D124"/>
    <mergeCell ref="C147:C148"/>
    <mergeCell ref="D147:D148"/>
    <mergeCell ref="NU147:NU148"/>
    <mergeCell ref="NY147:NY148"/>
    <mergeCell ref="OC147:OC148"/>
    <mergeCell ref="NU91:NU92"/>
    <mergeCell ref="C137:C138"/>
    <mergeCell ref="NY95:NY96"/>
    <mergeCell ref="NU109:NU110"/>
    <mergeCell ref="C113:C114"/>
    <mergeCell ref="C73:C74"/>
    <mergeCell ref="C65:C66"/>
    <mergeCell ref="NU99:NU100"/>
    <mergeCell ref="NY99:NY100"/>
    <mergeCell ref="OC99:OC100"/>
    <mergeCell ref="OC93:OC94"/>
    <mergeCell ref="C165:C166"/>
    <mergeCell ref="NU63:NU64"/>
    <mergeCell ref="C99:C100"/>
    <mergeCell ref="C67:C68"/>
    <mergeCell ref="C81:C82"/>
    <mergeCell ref="C101:C102"/>
    <mergeCell ref="C85:C86"/>
    <mergeCell ref="NU89:NU90"/>
    <mergeCell ref="C103:C104"/>
    <mergeCell ref="C107:C108"/>
    <mergeCell ref="C105:C106"/>
    <mergeCell ref="C89:C90"/>
    <mergeCell ref="C87:C88"/>
    <mergeCell ref="NY83:NY84"/>
    <mergeCell ref="OC89:OC90"/>
    <mergeCell ref="NY65:NY66"/>
    <mergeCell ref="NY101:NY102"/>
    <mergeCell ref="OC101:OC102"/>
    <mergeCell ref="C71:C72"/>
    <mergeCell ref="NU65:NU66"/>
    <mergeCell ref="OC95:OC96"/>
    <mergeCell ref="NY63:NY64"/>
    <mergeCell ref="NU67:NU68"/>
    <mergeCell ref="NY67:NY68"/>
    <mergeCell ref="OC67:OC68"/>
    <mergeCell ref="NY105:NY106"/>
    <mergeCell ref="OK69:OK70"/>
    <mergeCell ref="OK87:OK88"/>
    <mergeCell ref="D95:D96"/>
    <mergeCell ref="D91:D92"/>
    <mergeCell ref="D93:D94"/>
    <mergeCell ref="D81:D82"/>
    <mergeCell ref="D83:D84"/>
    <mergeCell ref="D85:D86"/>
    <mergeCell ref="NU79:NU80"/>
    <mergeCell ref="OC69:OC70"/>
    <mergeCell ref="OG83:OG84"/>
    <mergeCell ref="OK93:OK94"/>
    <mergeCell ref="OC71:OC72"/>
    <mergeCell ref="OC79:OC80"/>
    <mergeCell ref="NY79:NY80"/>
    <mergeCell ref="OG79:OG80"/>
    <mergeCell ref="NY93:NY94"/>
    <mergeCell ref="OG89:OG90"/>
    <mergeCell ref="OG91:OG92"/>
    <mergeCell ref="NY97:NY98"/>
    <mergeCell ref="OC103:OC104"/>
    <mergeCell ref="C93:C94"/>
    <mergeCell ref="NY69:NY70"/>
    <mergeCell ref="NY81:NY82"/>
    <mergeCell ref="D65:D66"/>
    <mergeCell ref="NU129:NU130"/>
    <mergeCell ref="C51:C52"/>
    <mergeCell ref="NU51:NU52"/>
    <mergeCell ref="OC87:OC88"/>
    <mergeCell ref="C47:C48"/>
    <mergeCell ref="NU47:NU48"/>
    <mergeCell ref="NY47:NY48"/>
    <mergeCell ref="C83:C84"/>
    <mergeCell ref="C95:C96"/>
    <mergeCell ref="NY91:NY92"/>
    <mergeCell ref="NU81:NU82"/>
    <mergeCell ref="OC91:OC92"/>
    <mergeCell ref="NU69:NU70"/>
    <mergeCell ref="NU93:NU94"/>
    <mergeCell ref="NY89:NY90"/>
    <mergeCell ref="OG93:OG94"/>
    <mergeCell ref="C49:C50"/>
    <mergeCell ref="D139:D140"/>
    <mergeCell ref="NY135:NY136"/>
    <mergeCell ref="OC135:OC136"/>
    <mergeCell ref="C125:C126"/>
    <mergeCell ref="NU125:NU126"/>
    <mergeCell ref="C69:C70"/>
    <mergeCell ref="C97:C98"/>
    <mergeCell ref="C79:C80"/>
    <mergeCell ref="OG37:OG38"/>
    <mergeCell ref="OC43:OC44"/>
    <mergeCell ref="OG43:OG44"/>
    <mergeCell ref="OK51:OK52"/>
    <mergeCell ref="OG45:OG46"/>
    <mergeCell ref="NY39:NY40"/>
    <mergeCell ref="OO39:OO40"/>
    <mergeCell ref="OO45:OO46"/>
    <mergeCell ref="OS45:OS46"/>
    <mergeCell ref="OW45:OW46"/>
    <mergeCell ref="OG51:OG52"/>
    <mergeCell ref="OK125:OK126"/>
    <mergeCell ref="NY125:NY126"/>
    <mergeCell ref="OW121:OW122"/>
    <mergeCell ref="OO117:OO118"/>
    <mergeCell ref="OK119:OK120"/>
    <mergeCell ref="OC113:OC114"/>
    <mergeCell ref="OG113:OG114"/>
    <mergeCell ref="OK113:OK114"/>
    <mergeCell ref="NY73:NY74"/>
    <mergeCell ref="OG85:OG86"/>
    <mergeCell ref="OQ99:OQ100"/>
    <mergeCell ref="OK97:OK98"/>
    <mergeCell ref="OK99:OK100"/>
    <mergeCell ref="OC85:OC86"/>
    <mergeCell ref="OS81:OS82"/>
    <mergeCell ref="OK85:OK86"/>
    <mergeCell ref="OC81:OC82"/>
    <mergeCell ref="OC83:OC84"/>
    <mergeCell ref="OW81:OW82"/>
    <mergeCell ref="OS87:OS88"/>
    <mergeCell ref="OO47:OO48"/>
    <mergeCell ref="OS47:OS48"/>
    <mergeCell ref="OW47:OW48"/>
    <mergeCell ref="PA47:PA48"/>
    <mergeCell ref="PE47:PE48"/>
    <mergeCell ref="PA35:PA36"/>
    <mergeCell ref="OO37:OO38"/>
    <mergeCell ref="OS37:OS38"/>
    <mergeCell ref="OW37:OW38"/>
    <mergeCell ref="PA49:PA50"/>
    <mergeCell ref="OS49:OS50"/>
    <mergeCell ref="OW49:OW50"/>
    <mergeCell ref="OW41:OW42"/>
    <mergeCell ref="OO41:OO42"/>
    <mergeCell ref="PE37:PE38"/>
    <mergeCell ref="OK35:OK36"/>
    <mergeCell ref="PE35:PE36"/>
    <mergeCell ref="OW43:OW44"/>
    <mergeCell ref="PA37:PA38"/>
    <mergeCell ref="PA39:PA40"/>
    <mergeCell ref="PE39:PE40"/>
    <mergeCell ref="OK47:OK48"/>
    <mergeCell ref="NT8:NU8"/>
    <mergeCell ref="NT7:NU7"/>
    <mergeCell ref="OS11:OS12"/>
    <mergeCell ref="OW11:OW12"/>
    <mergeCell ref="OC9:OC10"/>
    <mergeCell ref="OG9:OG10"/>
    <mergeCell ref="PE11:PE12"/>
    <mergeCell ref="NU11:NU12"/>
    <mergeCell ref="NY11:NY12"/>
    <mergeCell ref="OC11:OC12"/>
    <mergeCell ref="OG11:OG12"/>
    <mergeCell ref="OK11:OK12"/>
    <mergeCell ref="OO11:OO12"/>
    <mergeCell ref="OM9:OM10"/>
    <mergeCell ref="NV7:NY7"/>
    <mergeCell ref="PB7:PE7"/>
    <mergeCell ref="C9:C10"/>
    <mergeCell ref="NU9:NU10"/>
    <mergeCell ref="NY9:NY10"/>
    <mergeCell ref="OK9:OK10"/>
    <mergeCell ref="PA9:PA10"/>
    <mergeCell ref="PE9:PE10"/>
    <mergeCell ref="PA11:PA12"/>
    <mergeCell ref="NZ7:OC7"/>
    <mergeCell ref="OD7:OG7"/>
    <mergeCell ref="OH7:OK7"/>
    <mergeCell ref="OL7:OO7"/>
    <mergeCell ref="OP7:OS7"/>
    <mergeCell ref="OT7:OW7"/>
    <mergeCell ref="OX7:PA7"/>
    <mergeCell ref="OI9:OI10"/>
    <mergeCell ref="OQ9:OQ10"/>
    <mergeCell ref="OS13:OS14"/>
    <mergeCell ref="OW13:OW14"/>
    <mergeCell ref="PA13:PA14"/>
    <mergeCell ref="PE13:PE14"/>
    <mergeCell ref="C31:C32"/>
    <mergeCell ref="NU31:NU32"/>
    <mergeCell ref="NY31:NY32"/>
    <mergeCell ref="OC31:OC32"/>
    <mergeCell ref="OG31:OG32"/>
    <mergeCell ref="OO23:OO24"/>
    <mergeCell ref="OK17:OK18"/>
    <mergeCell ref="OO15:OO16"/>
    <mergeCell ref="NY33:NY34"/>
    <mergeCell ref="C33:C34"/>
    <mergeCell ref="NU33:NU34"/>
    <mergeCell ref="C17:C18"/>
    <mergeCell ref="OC33:OC34"/>
    <mergeCell ref="OG33:OG34"/>
    <mergeCell ref="OK15:OK16"/>
    <mergeCell ref="OK33:OK34"/>
    <mergeCell ref="PE23:PE24"/>
    <mergeCell ref="OS17:OS18"/>
    <mergeCell ref="OK31:OK32"/>
    <mergeCell ref="OO31:OO32"/>
    <mergeCell ref="NY15:NY16"/>
    <mergeCell ref="OC15:OC16"/>
    <mergeCell ref="OG15:OG16"/>
    <mergeCell ref="NU17:NU18"/>
    <mergeCell ref="NY17:NY18"/>
    <mergeCell ref="OC17:OC18"/>
    <mergeCell ref="OG17:OG18"/>
    <mergeCell ref="C15:C16"/>
    <mergeCell ref="OQ11:OQ12"/>
    <mergeCell ref="D9:D10"/>
    <mergeCell ref="OO9:OO10"/>
    <mergeCell ref="OS9:OS10"/>
    <mergeCell ref="OW9:OW10"/>
    <mergeCell ref="C11:C12"/>
    <mergeCell ref="C27:C28"/>
    <mergeCell ref="C43:C44"/>
    <mergeCell ref="OK43:OK44"/>
    <mergeCell ref="OK27:OK28"/>
    <mergeCell ref="C19:C20"/>
    <mergeCell ref="NU19:NU20"/>
    <mergeCell ref="NY19:NY20"/>
    <mergeCell ref="OC19:OC20"/>
    <mergeCell ref="OG19:OG20"/>
    <mergeCell ref="NU43:NU44"/>
    <mergeCell ref="NY43:NY44"/>
    <mergeCell ref="C13:C14"/>
    <mergeCell ref="NU13:NU14"/>
    <mergeCell ref="NY13:NY14"/>
    <mergeCell ref="OC13:OC14"/>
    <mergeCell ref="OG13:OG14"/>
    <mergeCell ref="OK13:OK14"/>
    <mergeCell ref="OO13:OO14"/>
    <mergeCell ref="NU15:NU16"/>
    <mergeCell ref="OW21:OW22"/>
    <mergeCell ref="OK19:OK20"/>
    <mergeCell ref="OO19:OO20"/>
    <mergeCell ref="OS19:OS20"/>
    <mergeCell ref="OW19:OW20"/>
    <mergeCell ref="OC21:OC22"/>
    <mergeCell ref="OS23:OS24"/>
    <mergeCell ref="NY179:NY180"/>
    <mergeCell ref="OC179:OC180"/>
    <mergeCell ref="OG179:OG180"/>
    <mergeCell ref="OK179:OK180"/>
    <mergeCell ref="NU187:NU188"/>
    <mergeCell ref="NY181:NY182"/>
    <mergeCell ref="OW179:OW180"/>
    <mergeCell ref="OS179:OS180"/>
    <mergeCell ref="OC181:OC182"/>
    <mergeCell ref="OW195:OW196"/>
    <mergeCell ref="C179:C180"/>
    <mergeCell ref="NU179:NU180"/>
    <mergeCell ref="OS171:OS172"/>
    <mergeCell ref="OW171:OW172"/>
    <mergeCell ref="C195:C196"/>
    <mergeCell ref="OO197:OO198"/>
    <mergeCell ref="OS197:OS198"/>
    <mergeCell ref="PA191:PA192"/>
    <mergeCell ref="OC189:OC190"/>
    <mergeCell ref="OG189:OG190"/>
    <mergeCell ref="OS173:OS174"/>
    <mergeCell ref="OW173:OW174"/>
    <mergeCell ref="C185:C186"/>
    <mergeCell ref="NU185:NU186"/>
    <mergeCell ref="OW191:OW192"/>
    <mergeCell ref="PA181:PA182"/>
    <mergeCell ref="OC195:OC196"/>
    <mergeCell ref="OG195:OG196"/>
    <mergeCell ref="OK189:OK190"/>
    <mergeCell ref="OO189:OO190"/>
    <mergeCell ref="OS189:OS190"/>
    <mergeCell ref="OW189:OW190"/>
    <mergeCell ref="PA189:PA190"/>
    <mergeCell ref="C187:C188"/>
    <mergeCell ref="NY197:NY198"/>
    <mergeCell ref="OW185:OW186"/>
    <mergeCell ref="PA185:PA186"/>
    <mergeCell ref="NU191:NU192"/>
    <mergeCell ref="OS193:OS194"/>
    <mergeCell ref="OW193:OW194"/>
    <mergeCell ref="C193:C194"/>
    <mergeCell ref="C181:C182"/>
    <mergeCell ref="C191:C192"/>
    <mergeCell ref="PE171:PE172"/>
    <mergeCell ref="PE193:PE194"/>
    <mergeCell ref="NY185:NY186"/>
    <mergeCell ref="OC185:OC186"/>
    <mergeCell ref="OO193:OO194"/>
    <mergeCell ref="PE175:PE176"/>
    <mergeCell ref="C173:C174"/>
    <mergeCell ref="OK41:OK42"/>
    <mergeCell ref="OG41:OG42"/>
    <mergeCell ref="OG39:OG40"/>
    <mergeCell ref="C35:C36"/>
    <mergeCell ref="NU35:NU36"/>
    <mergeCell ref="OK61:OK62"/>
    <mergeCell ref="NU49:NU50"/>
    <mergeCell ref="NU61:NU62"/>
    <mergeCell ref="OC51:OC52"/>
    <mergeCell ref="OK171:OK172"/>
    <mergeCell ref="OW181:OW182"/>
    <mergeCell ref="NU181:NU182"/>
    <mergeCell ref="OW187:OW188"/>
    <mergeCell ref="OK45:OK46"/>
    <mergeCell ref="OC39:OC40"/>
    <mergeCell ref="OC41:OC42"/>
    <mergeCell ref="NY49:NY50"/>
    <mergeCell ref="OC49:OC50"/>
    <mergeCell ref="OS61:OS62"/>
    <mergeCell ref="NY45:NY46"/>
    <mergeCell ref="NY61:NY62"/>
    <mergeCell ref="OC61:OC62"/>
    <mergeCell ref="OG47:OG48"/>
    <mergeCell ref="OK129:OK130"/>
    <mergeCell ref="OK81:OK82"/>
    <mergeCell ref="OG87:OG88"/>
    <mergeCell ref="NY71:NY72"/>
    <mergeCell ref="OS71:OS72"/>
    <mergeCell ref="OC73:OC74"/>
    <mergeCell ref="OK127:OK128"/>
    <mergeCell ref="NY103:NY104"/>
    <mergeCell ref="OG35:OG36"/>
    <mergeCell ref="PE185:PE186"/>
    <mergeCell ref="PE189:PE190"/>
    <mergeCell ref="C23:C24"/>
    <mergeCell ref="NU23:NU24"/>
    <mergeCell ref="NY23:NY24"/>
    <mergeCell ref="NU21:NU22"/>
    <mergeCell ref="NY21:NY22"/>
    <mergeCell ref="OK37:OK38"/>
    <mergeCell ref="D73:D74"/>
    <mergeCell ref="C37:C38"/>
    <mergeCell ref="C21:C22"/>
    <mergeCell ref="OK23:OK24"/>
    <mergeCell ref="OK49:OK50"/>
    <mergeCell ref="OG21:OG22"/>
    <mergeCell ref="OG49:OG50"/>
    <mergeCell ref="OC45:OC46"/>
    <mergeCell ref="C39:C40"/>
    <mergeCell ref="C61:C62"/>
    <mergeCell ref="C45:C46"/>
    <mergeCell ref="D67:D68"/>
    <mergeCell ref="D69:D70"/>
    <mergeCell ref="NU37:NU38"/>
    <mergeCell ref="NY37:NY38"/>
    <mergeCell ref="OC37:OC38"/>
    <mergeCell ref="PE41:PE42"/>
    <mergeCell ref="PA41:PA42"/>
    <mergeCell ref="OW51:OW52"/>
    <mergeCell ref="PA51:PA52"/>
    <mergeCell ref="PE181:PE182"/>
    <mergeCell ref="NU39:NU40"/>
    <mergeCell ref="OS195:OS196"/>
    <mergeCell ref="PE51:PE52"/>
    <mergeCell ref="OO43:OO44"/>
    <mergeCell ref="NY35:NY36"/>
    <mergeCell ref="OC35:OC36"/>
    <mergeCell ref="C25:C26"/>
    <mergeCell ref="NU25:NU26"/>
    <mergeCell ref="NY25:NY26"/>
    <mergeCell ref="OC25:OC26"/>
    <mergeCell ref="OG25:OG26"/>
    <mergeCell ref="OK25:OK26"/>
    <mergeCell ref="D127:D128"/>
    <mergeCell ref="NU27:NU28"/>
    <mergeCell ref="NY27:NY28"/>
    <mergeCell ref="D97:D98"/>
    <mergeCell ref="NU143:NU144"/>
    <mergeCell ref="NY143:NY144"/>
    <mergeCell ref="OC143:OC144"/>
    <mergeCell ref="OG143:OG144"/>
    <mergeCell ref="OK143:OK144"/>
    <mergeCell ref="NU45:NU46"/>
    <mergeCell ref="OK39:OK40"/>
    <mergeCell ref="D71:D72"/>
    <mergeCell ref="D79:D80"/>
    <mergeCell ref="OG61:OG62"/>
    <mergeCell ref="NY51:NY52"/>
    <mergeCell ref="OC47:OC48"/>
    <mergeCell ref="OG27:OG28"/>
    <mergeCell ref="OS31:OS32"/>
    <mergeCell ref="OW31:OW32"/>
    <mergeCell ref="PA31:PA32"/>
    <mergeCell ref="PA25:PA26"/>
    <mergeCell ref="PA43:PA44"/>
    <mergeCell ref="PE43:PE44"/>
    <mergeCell ref="OW23:OW24"/>
    <mergeCell ref="PA23:PA24"/>
    <mergeCell ref="OW25:OW26"/>
    <mergeCell ref="PE31:PE32"/>
    <mergeCell ref="PE15:PE16"/>
    <mergeCell ref="OO33:OO34"/>
    <mergeCell ref="OS33:OS34"/>
    <mergeCell ref="OW33:OW34"/>
    <mergeCell ref="PA33:PA34"/>
    <mergeCell ref="PA61:PA62"/>
    <mergeCell ref="OS39:OS40"/>
    <mergeCell ref="PA183:PA184"/>
    <mergeCell ref="PA179:PA180"/>
    <mergeCell ref="PE179:PE180"/>
    <mergeCell ref="OW183:OW184"/>
    <mergeCell ref="PE129:PE130"/>
    <mergeCell ref="PA45:PA46"/>
    <mergeCell ref="PE45:PE46"/>
    <mergeCell ref="OO61:OO62"/>
    <mergeCell ref="OS103:OS104"/>
    <mergeCell ref="OW71:OW72"/>
    <mergeCell ref="OW95:OW96"/>
    <mergeCell ref="PA69:PA70"/>
    <mergeCell ref="OW65:OW66"/>
    <mergeCell ref="PA87:PA88"/>
    <mergeCell ref="PA79:PA80"/>
    <mergeCell ref="OW101:OW102"/>
    <mergeCell ref="OW69:OW70"/>
    <mergeCell ref="PE49:PE50"/>
    <mergeCell ref="OW15:OW16"/>
    <mergeCell ref="OW27:OW28"/>
    <mergeCell ref="PA27:PA28"/>
    <mergeCell ref="PE27:PE28"/>
    <mergeCell ref="OO17:OO18"/>
    <mergeCell ref="OC23:OC24"/>
    <mergeCell ref="OG23:OG24"/>
    <mergeCell ref="OO29:OO30"/>
    <mergeCell ref="OS29:OS30"/>
    <mergeCell ref="OW29:OW30"/>
    <mergeCell ref="PA29:PA30"/>
    <mergeCell ref="PE29:PE30"/>
    <mergeCell ref="PE21:PE22"/>
    <mergeCell ref="OS15:OS16"/>
    <mergeCell ref="PA19:PA20"/>
    <mergeCell ref="PA17:PA18"/>
    <mergeCell ref="OO21:OO22"/>
    <mergeCell ref="OS21:OS22"/>
    <mergeCell ref="PA15:PA16"/>
    <mergeCell ref="OW17:OW18"/>
    <mergeCell ref="PE25:PE26"/>
    <mergeCell ref="OO25:OO26"/>
    <mergeCell ref="OS25:OS26"/>
    <mergeCell ref="OS27:OS28"/>
    <mergeCell ref="PA21:PA22"/>
    <mergeCell ref="PE19:PE20"/>
    <mergeCell ref="OO27:OO28"/>
    <mergeCell ref="PE17:PE18"/>
    <mergeCell ref="OC27:OC28"/>
    <mergeCell ref="OK21:OK22"/>
    <mergeCell ref="PE33:PE34"/>
    <mergeCell ref="OW61:OW62"/>
    <mergeCell ref="OO49:OO50"/>
    <mergeCell ref="OW39:OW40"/>
    <mergeCell ref="OS43:OS44"/>
    <mergeCell ref="OS41:OS42"/>
    <mergeCell ref="PE61:PE62"/>
    <mergeCell ref="OO51:OO52"/>
    <mergeCell ref="OS51:OS52"/>
    <mergeCell ref="OS35:OS36"/>
    <mergeCell ref="OW35:OW36"/>
    <mergeCell ref="OO35:OO36"/>
    <mergeCell ref="OO195:OO196"/>
    <mergeCell ref="PE83:PE84"/>
    <mergeCell ref="PE87:PE88"/>
    <mergeCell ref="OO191:OO192"/>
    <mergeCell ref="PA187:PA188"/>
    <mergeCell ref="OW197:OW198"/>
    <mergeCell ref="PA197:PA198"/>
    <mergeCell ref="PE197:PE198"/>
    <mergeCell ref="OO187:OO188"/>
    <mergeCell ref="OS187:OS188"/>
    <mergeCell ref="NU193:NU194"/>
    <mergeCell ref="NY193:NY194"/>
    <mergeCell ref="OC193:OC194"/>
    <mergeCell ref="PE191:PE192"/>
    <mergeCell ref="PE187:PE188"/>
    <mergeCell ref="OC197:OC198"/>
    <mergeCell ref="NU195:NU196"/>
    <mergeCell ref="NY195:NY196"/>
    <mergeCell ref="OG197:OG198"/>
    <mergeCell ref="C175:C176"/>
    <mergeCell ref="OG157:OG158"/>
    <mergeCell ref="OK181:OK182"/>
    <mergeCell ref="C167:C168"/>
    <mergeCell ref="OS185:OS186"/>
    <mergeCell ref="NU177:NU178"/>
    <mergeCell ref="OO181:OO182"/>
    <mergeCell ref="C171:C172"/>
    <mergeCell ref="C161:C162"/>
    <mergeCell ref="NU161:NU162"/>
    <mergeCell ref="NY161:NY162"/>
    <mergeCell ref="OC161:OC162"/>
    <mergeCell ref="OG161:OG162"/>
    <mergeCell ref="OK161:OK162"/>
    <mergeCell ref="NU163:NU164"/>
    <mergeCell ref="NY163:NY164"/>
    <mergeCell ref="OC127:OC128"/>
    <mergeCell ref="OG129:OG130"/>
    <mergeCell ref="NU131:NU132"/>
    <mergeCell ref="OW139:OW140"/>
    <mergeCell ref="OS143:OS144"/>
    <mergeCell ref="OO135:OO136"/>
    <mergeCell ref="OS135:OS136"/>
    <mergeCell ref="OW135:OW136"/>
    <mergeCell ref="OW131:OW132"/>
    <mergeCell ref="OS133:OS134"/>
    <mergeCell ref="OS151:OS152"/>
    <mergeCell ref="OW151:OW152"/>
    <mergeCell ref="PA135:PA136"/>
    <mergeCell ref="PE135:PE136"/>
    <mergeCell ref="PA143:PA144"/>
    <mergeCell ref="PE143:PE144"/>
    <mergeCell ref="OK131:OK132"/>
    <mergeCell ref="OG133:OG134"/>
    <mergeCell ref="C129:C130"/>
    <mergeCell ref="NY129:NY130"/>
    <mergeCell ref="OC129:OC130"/>
    <mergeCell ref="OS137:OS138"/>
    <mergeCell ref="OW137:OW138"/>
    <mergeCell ref="C139:C140"/>
    <mergeCell ref="NU135:NU136"/>
    <mergeCell ref="D133:D134"/>
    <mergeCell ref="C133:C134"/>
    <mergeCell ref="OW129:OW130"/>
    <mergeCell ref="PA129:PA130"/>
    <mergeCell ref="C127:C128"/>
    <mergeCell ref="PA125:PA126"/>
    <mergeCell ref="PA145:PA146"/>
    <mergeCell ref="PA147:PA148"/>
    <mergeCell ref="OW133:OW134"/>
    <mergeCell ref="OG139:OG140"/>
    <mergeCell ref="OK139:OK140"/>
    <mergeCell ref="OO139:OO140"/>
    <mergeCell ref="OS139:OS140"/>
    <mergeCell ref="PA137:PA138"/>
    <mergeCell ref="NU133:NU134"/>
    <mergeCell ref="PA127:PA128"/>
    <mergeCell ref="OK133:OK134"/>
    <mergeCell ref="OW125:OW126"/>
    <mergeCell ref="OC125:OC126"/>
    <mergeCell ref="OG125:OG126"/>
    <mergeCell ref="OS131:OS132"/>
    <mergeCell ref="D129:D130"/>
    <mergeCell ref="D131:D132"/>
    <mergeCell ref="OC131:OC132"/>
    <mergeCell ref="OG131:OG132"/>
    <mergeCell ref="C135:C136"/>
    <mergeCell ref="C123:C124"/>
    <mergeCell ref="NU123:NU124"/>
    <mergeCell ref="NY123:NY124"/>
    <mergeCell ref="OC123:OC124"/>
    <mergeCell ref="OG123:OG124"/>
    <mergeCell ref="OK123:OK124"/>
    <mergeCell ref="OO123:OO124"/>
    <mergeCell ref="OS123:OS124"/>
    <mergeCell ref="NY133:NY134"/>
    <mergeCell ref="OC133:OC134"/>
    <mergeCell ref="C41:C42"/>
    <mergeCell ref="C29:C30"/>
    <mergeCell ref="D29:D30"/>
    <mergeCell ref="NU29:NU30"/>
    <mergeCell ref="NY29:NY30"/>
    <mergeCell ref="OC29:OC30"/>
    <mergeCell ref="OG29:OG30"/>
    <mergeCell ref="OK29:OK30"/>
    <mergeCell ref="C121:C122"/>
    <mergeCell ref="NU121:NU122"/>
    <mergeCell ref="NY121:NY122"/>
    <mergeCell ref="OC121:OC122"/>
    <mergeCell ref="OG121:OG122"/>
    <mergeCell ref="OK121:OK122"/>
    <mergeCell ref="OO121:OO122"/>
    <mergeCell ref="OQ121:OQ122"/>
    <mergeCell ref="OS121:OS122"/>
    <mergeCell ref="NU127:NU128"/>
    <mergeCell ref="NY127:NY128"/>
    <mergeCell ref="OS125:OS126"/>
    <mergeCell ref="OO127:OO128"/>
    <mergeCell ref="OO125:OO126"/>
    <mergeCell ref="C151:C152"/>
    <mergeCell ref="NU151:NU152"/>
    <mergeCell ref="C145:C146"/>
    <mergeCell ref="D145:D146"/>
    <mergeCell ref="OK149:OK150"/>
    <mergeCell ref="C141:C142"/>
    <mergeCell ref="D141:D142"/>
    <mergeCell ref="NU141:NU142"/>
    <mergeCell ref="NY141:NY142"/>
    <mergeCell ref="OC141:OC142"/>
    <mergeCell ref="OG141:OG142"/>
    <mergeCell ref="OK141:OK142"/>
    <mergeCell ref="OC145:OC146"/>
    <mergeCell ref="OG145:OG146"/>
    <mergeCell ref="OK145:OK146"/>
    <mergeCell ref="C143:C144"/>
    <mergeCell ref="D143:D144"/>
    <mergeCell ref="D175:D176"/>
    <mergeCell ref="D177:D178"/>
    <mergeCell ref="D179:D180"/>
    <mergeCell ref="D181:D182"/>
    <mergeCell ref="D101:D102"/>
    <mergeCell ref="D103:D104"/>
    <mergeCell ref="D105:D106"/>
    <mergeCell ref="NY41:NY42"/>
    <mergeCell ref="NU41:NU42"/>
    <mergeCell ref="OU9:OU10"/>
    <mergeCell ref="OU11:OU12"/>
    <mergeCell ref="PE159:PE160"/>
    <mergeCell ref="PE147:PE148"/>
    <mergeCell ref="OO141:OO142"/>
    <mergeCell ref="OS141:OS142"/>
    <mergeCell ref="OW141:OW142"/>
    <mergeCell ref="PE137:PE138"/>
    <mergeCell ref="OW145:OW146"/>
    <mergeCell ref="D125:D126"/>
    <mergeCell ref="D135:D136"/>
    <mergeCell ref="D137:D138"/>
    <mergeCell ref="NU139:NU140"/>
    <mergeCell ref="OC137:OC138"/>
    <mergeCell ref="OG137:OG138"/>
    <mergeCell ref="OK137:OK138"/>
    <mergeCell ref="OO137:OO138"/>
    <mergeCell ref="OO145:OO146"/>
  </mergeCells>
  <conditionalFormatting sqref="C41:C42">
    <cfRule type="duplicateValues" dxfId="133" priority="914"/>
  </conditionalFormatting>
  <conditionalFormatting sqref="C53:C54">
    <cfRule type="duplicateValues" dxfId="132" priority="908"/>
  </conditionalFormatting>
  <conditionalFormatting sqref="C55:C56">
    <cfRule type="duplicateValues" dxfId="131" priority="50"/>
  </conditionalFormatting>
  <conditionalFormatting sqref="C57:C58">
    <cfRule type="duplicateValues" dxfId="130" priority="48"/>
  </conditionalFormatting>
  <conditionalFormatting sqref="C59:C60">
    <cfRule type="duplicateValues" dxfId="129" priority="49"/>
  </conditionalFormatting>
  <conditionalFormatting sqref="C85:C86">
    <cfRule type="duplicateValues" dxfId="128" priority="938"/>
  </conditionalFormatting>
  <conditionalFormatting sqref="C87:C88">
    <cfRule type="duplicateValues" dxfId="127" priority="897"/>
  </conditionalFormatting>
  <conditionalFormatting sqref="C89:C90">
    <cfRule type="duplicateValues" dxfId="126" priority="896"/>
  </conditionalFormatting>
  <conditionalFormatting sqref="C91:C92">
    <cfRule type="duplicateValues" dxfId="125" priority="936"/>
  </conditionalFormatting>
  <conditionalFormatting sqref="C93:C94">
    <cfRule type="duplicateValues" dxfId="124" priority="935"/>
  </conditionalFormatting>
  <conditionalFormatting sqref="C107:C110">
    <cfRule type="duplicateValues" dxfId="123" priority="895"/>
  </conditionalFormatting>
  <conditionalFormatting sqref="C111:C112">
    <cfRule type="duplicateValues" dxfId="122" priority="894"/>
  </conditionalFormatting>
  <conditionalFormatting sqref="C113:C116">
    <cfRule type="duplicateValues" dxfId="121" priority="893"/>
  </conditionalFormatting>
  <conditionalFormatting sqref="C131:C132">
    <cfRule type="duplicateValues" dxfId="120" priority="2147"/>
  </conditionalFormatting>
  <conditionalFormatting sqref="C133:C134">
    <cfRule type="duplicateValues" dxfId="119" priority="1654"/>
  </conditionalFormatting>
  <conditionalFormatting sqref="C155:C156">
    <cfRule type="duplicateValues" dxfId="118" priority="1032"/>
  </conditionalFormatting>
  <conditionalFormatting sqref="C159:C162">
    <cfRule type="duplicateValues" dxfId="117" priority="892"/>
  </conditionalFormatting>
  <conditionalFormatting sqref="C163:C164">
    <cfRule type="duplicateValues" dxfId="116" priority="891"/>
  </conditionalFormatting>
  <conditionalFormatting sqref="C169:C170">
    <cfRule type="duplicateValues" dxfId="115" priority="2183"/>
  </conditionalFormatting>
  <conditionalFormatting sqref="C195:C196">
    <cfRule type="duplicateValues" dxfId="114" priority="26"/>
  </conditionalFormatting>
  <conditionalFormatting sqref="F7:F11 F167:NS172 F199:F202 F145:NS156 F79:NS122">
    <cfRule type="expression" dxfId="113" priority="2439">
      <formula>F$8="S"</formula>
    </cfRule>
    <cfRule type="expression" dxfId="112" priority="2440">
      <formula>F$8="D"</formula>
    </cfRule>
  </conditionalFormatting>
  <conditionalFormatting sqref="F11">
    <cfRule type="expression" dxfId="111" priority="2435">
      <formula>F$8="S"</formula>
    </cfRule>
    <cfRule type="expression" dxfId="110" priority="2436">
      <formula>F$8="D"</formula>
    </cfRule>
    <cfRule type="cellIs" dxfId="109" priority="2438" operator="equal">
      <formula>1</formula>
    </cfRule>
  </conditionalFormatting>
  <conditionalFormatting sqref="F12">
    <cfRule type="expression" dxfId="108" priority="2443">
      <formula>F$8="S"</formula>
    </cfRule>
    <cfRule type="expression" dxfId="107" priority="2444">
      <formula>F$8="D"</formula>
    </cfRule>
    <cfRule type="cellIs" dxfId="106" priority="2446" operator="equal">
      <formula>"x"</formula>
    </cfRule>
    <cfRule type="cellIs" dxfId="105" priority="2447" operator="equal">
      <formula>1</formula>
    </cfRule>
    <cfRule type="expression" dxfId="104" priority="2448">
      <formula>F$8="S"</formula>
    </cfRule>
    <cfRule type="expression" dxfId="103" priority="2449">
      <formula>F$8="D"</formula>
    </cfRule>
    <cfRule type="cellIs" dxfId="102" priority="2451" operator="equal">
      <formula>"x"</formula>
    </cfRule>
  </conditionalFormatting>
  <conditionalFormatting sqref="F35:F41">
    <cfRule type="cellIs" dxfId="101" priority="925" operator="equal">
      <formula>1</formula>
    </cfRule>
    <cfRule type="expression" dxfId="100" priority="928">
      <formula>F$3=1</formula>
    </cfRule>
  </conditionalFormatting>
  <conditionalFormatting sqref="F165:NS202 F124:F164 G124:NS160 F42:NS123">
    <cfRule type="expression" dxfId="99" priority="1024">
      <formula>F$3=1</formula>
    </cfRule>
  </conditionalFormatting>
  <conditionalFormatting sqref="F145:NS148 F167:NS170 F199:NS1048576 F153:F164 G153:NS160 F95:NS124">
    <cfRule type="cellIs" dxfId="98" priority="1037" operator="equal">
      <formula>"x"</formula>
    </cfRule>
  </conditionalFormatting>
  <conditionalFormatting sqref="F157:F164">
    <cfRule type="expression" dxfId="97" priority="1506">
      <formula>F$8="S"</formula>
    </cfRule>
    <cfRule type="expression" dxfId="96" priority="1507">
      <formula>F$8="D"</formula>
    </cfRule>
  </conditionalFormatting>
  <conditionalFormatting sqref="F173:F198">
    <cfRule type="expression" dxfId="95" priority="2230">
      <formula>F$8="S"</formula>
    </cfRule>
    <cfRule type="expression" dxfId="94" priority="2231">
      <formula>F$8="D"</formula>
    </cfRule>
  </conditionalFormatting>
  <conditionalFormatting sqref="F123:AV123">
    <cfRule type="expression" dxfId="93" priority="921">
      <formula>F$8="S"</formula>
    </cfRule>
    <cfRule type="expression" dxfId="92" priority="922">
      <formula>F$8="D"</formula>
    </cfRule>
  </conditionalFormatting>
  <conditionalFormatting sqref="F41:AX41">
    <cfRule type="expression" dxfId="91" priority="926">
      <formula>F$8="S"</formula>
    </cfRule>
    <cfRule type="expression" dxfId="90" priority="927">
      <formula>F$8="D"</formula>
    </cfRule>
    <cfRule type="cellIs" dxfId="89" priority="929" operator="equal">
      <formula>"x"</formula>
    </cfRule>
  </conditionalFormatting>
  <conditionalFormatting sqref="F23:BE27 F28:AJ28 AL28:BE28 F35:F40 F182:F198 F61:NS62 F65:NS74 F79:NS94 F165:K166 N165:NS166">
    <cfRule type="cellIs" dxfId="88" priority="2465" operator="equal">
      <formula>"x"</formula>
    </cfRule>
  </conditionalFormatting>
  <conditionalFormatting sqref="F23:BE27 F28:AJ28 AM28:BE28 F35:F40">
    <cfRule type="expression" dxfId="87" priority="2462">
      <formula>F$8="S"</formula>
    </cfRule>
    <cfRule type="expression" dxfId="86" priority="2463">
      <formula>F$8="D"</formula>
    </cfRule>
  </conditionalFormatting>
  <conditionalFormatting sqref="F23:BE27 F28:AJ28 AM28:BE28">
    <cfRule type="expression" dxfId="85" priority="2464">
      <formula>F$3=1</formula>
    </cfRule>
  </conditionalFormatting>
  <conditionalFormatting sqref="F29:BE34">
    <cfRule type="cellIs" dxfId="84" priority="915" operator="equal">
      <formula>1</formula>
    </cfRule>
    <cfRule type="expression" dxfId="83" priority="916">
      <formula>F$8="S"</formula>
    </cfRule>
    <cfRule type="expression" dxfId="82" priority="917">
      <formula>F$8="D"</formula>
    </cfRule>
    <cfRule type="expression" dxfId="81" priority="918">
      <formula>F$3=1</formula>
    </cfRule>
    <cfRule type="cellIs" dxfId="80" priority="919" operator="equal">
      <formula>"x"</formula>
    </cfRule>
  </conditionalFormatting>
  <conditionalFormatting sqref="F13:CZ22">
    <cfRule type="cellIs" dxfId="79" priority="851" operator="equal">
      <formula>1</formula>
    </cfRule>
    <cfRule type="expression" dxfId="78" priority="852">
      <formula>F$8="S"</formula>
    </cfRule>
    <cfRule type="expression" dxfId="77" priority="853">
      <formula>F$8="D"</formula>
    </cfRule>
    <cfRule type="expression" dxfId="76" priority="854">
      <formula>F$3=1</formula>
    </cfRule>
    <cfRule type="cellIs" dxfId="75" priority="855" operator="equal">
      <formula>"x"</formula>
    </cfRule>
  </conditionalFormatting>
  <conditionalFormatting sqref="F7:NS12">
    <cfRule type="expression" dxfId="74" priority="1204">
      <formula>F$3=1</formula>
    </cfRule>
  </conditionalFormatting>
  <conditionalFormatting sqref="F9:NS10">
    <cfRule type="cellIs" dxfId="73" priority="1219" operator="equal">
      <formula>"S"</formula>
    </cfRule>
  </conditionalFormatting>
  <conditionalFormatting sqref="F11:NS11 F42:NS202">
    <cfRule type="cellIs" dxfId="72" priority="1205" operator="equal">
      <formula>1</formula>
    </cfRule>
  </conditionalFormatting>
  <conditionalFormatting sqref="F12:NS12 F23:BE27 F28:AJ28 AL28:BE28">
    <cfRule type="cellIs" dxfId="71" priority="2442" operator="equal">
      <formula>1</formula>
    </cfRule>
  </conditionalFormatting>
  <conditionalFormatting sqref="F42:NS54 F55:AG60 AP55:NS60">
    <cfRule type="cellIs" dxfId="70" priority="913" operator="equal">
      <formula>"x"</formula>
    </cfRule>
  </conditionalFormatting>
  <conditionalFormatting sqref="F42:NS60">
    <cfRule type="expression" dxfId="69" priority="30">
      <formula>F$8="S"</formula>
    </cfRule>
    <cfRule type="expression" dxfId="68" priority="31">
      <formula>F$8="D"</formula>
    </cfRule>
  </conditionalFormatting>
  <conditionalFormatting sqref="F61:NS74">
    <cfRule type="expression" dxfId="67" priority="1198">
      <formula>F$8="S"</formula>
    </cfRule>
    <cfRule type="expression" dxfId="66" priority="1199">
      <formula>F$8="D"</formula>
    </cfRule>
  </conditionalFormatting>
  <conditionalFormatting sqref="F63:NS64">
    <cfRule type="cellIs" dxfId="65" priority="1196" operator="equal">
      <formula>"x"</formula>
    </cfRule>
  </conditionalFormatting>
  <conditionalFormatting sqref="F75:NS78">
    <cfRule type="expression" dxfId="64" priority="899">
      <formula>F$8="S"</formula>
    </cfRule>
    <cfRule type="expression" dxfId="63" priority="900">
      <formula>F$8="D"</formula>
    </cfRule>
    <cfRule type="cellIs" dxfId="62" priority="902" operator="equal">
      <formula>"x"</formula>
    </cfRule>
  </conditionalFormatting>
  <conditionalFormatting sqref="F124:NS144">
    <cfRule type="expression" dxfId="61" priority="1082">
      <formula>F$8="S"</formula>
    </cfRule>
    <cfRule type="expression" dxfId="60" priority="1083">
      <formula>F$8="D"</formula>
    </cfRule>
  </conditionalFormatting>
  <conditionalFormatting sqref="F141:NS144">
    <cfRule type="cellIs" dxfId="59" priority="1080" operator="equal">
      <formula>"x"</formula>
    </cfRule>
  </conditionalFormatting>
  <conditionalFormatting sqref="F149:NS152">
    <cfRule type="cellIs" dxfId="58" priority="973" operator="equal">
      <formula>"x"</formula>
    </cfRule>
  </conditionalFormatting>
  <conditionalFormatting sqref="F165:NS166">
    <cfRule type="expression" dxfId="57" priority="888">
      <formula>F$8="S"</formula>
    </cfRule>
    <cfRule type="expression" dxfId="56" priority="889">
      <formula>F$8="D"</formula>
    </cfRule>
  </conditionalFormatting>
  <conditionalFormatting sqref="F171:NS181">
    <cfRule type="cellIs" dxfId="55" priority="1156" operator="equal">
      <formula>"x"</formula>
    </cfRule>
  </conditionalFormatting>
  <conditionalFormatting sqref="G35:BE36 G37:NS40 G182:NS194 F125:NS140 G195:AJ198 AP195:NS198">
    <cfRule type="cellIs" dxfId="54" priority="1232" operator="equal">
      <formula>"x"</formula>
    </cfRule>
  </conditionalFormatting>
  <conditionalFormatting sqref="G35:BE36 G37:NS40">
    <cfRule type="expression" dxfId="53" priority="1229">
      <formula>G$8="S"</formula>
    </cfRule>
    <cfRule type="expression" dxfId="52" priority="1230">
      <formula>G$8="D"</formula>
    </cfRule>
  </conditionalFormatting>
  <conditionalFormatting sqref="G35:BE36">
    <cfRule type="cellIs" dxfId="51" priority="1209" operator="equal">
      <formula>1</formula>
    </cfRule>
    <cfRule type="expression" dxfId="50" priority="1231">
      <formula>G$3=1</formula>
    </cfRule>
  </conditionalFormatting>
  <conditionalFormatting sqref="G161:BO161 G162:NS164">
    <cfRule type="expression" dxfId="49" priority="1077">
      <formula>G$3=1</formula>
    </cfRule>
  </conditionalFormatting>
  <conditionalFormatting sqref="G7:NS12">
    <cfRule type="expression" dxfId="48" priority="1206">
      <formula>G$8="S"</formula>
    </cfRule>
    <cfRule type="expression" dxfId="47" priority="1207">
      <formula>G$8="D"</formula>
    </cfRule>
  </conditionalFormatting>
  <conditionalFormatting sqref="G11:NS11">
    <cfRule type="cellIs" dxfId="46" priority="1201" operator="equal">
      <formula>1</formula>
    </cfRule>
    <cfRule type="expression" dxfId="45" priority="1202">
      <formula>G$8="S"</formula>
    </cfRule>
    <cfRule type="expression" dxfId="44" priority="1203">
      <formula>G$8="D"</formula>
    </cfRule>
  </conditionalFormatting>
  <conditionalFormatting sqref="G12:NS12">
    <cfRule type="cellIs" dxfId="43" priority="1213" operator="equal">
      <formula>"x"</formula>
    </cfRule>
    <cfRule type="cellIs" dxfId="42" priority="1214" operator="equal">
      <formula>1</formula>
    </cfRule>
    <cfRule type="expression" dxfId="41" priority="1215">
      <formula>G$8="S"</formula>
    </cfRule>
    <cfRule type="expression" dxfId="40" priority="1216">
      <formula>G$8="D"</formula>
    </cfRule>
    <cfRule type="cellIs" dxfId="39" priority="1218" operator="equal">
      <formula>"x"</formula>
    </cfRule>
  </conditionalFormatting>
  <conditionalFormatting sqref="G37:NS41">
    <cfRule type="cellIs" dxfId="38" priority="51" operator="equal">
      <formula>1</formula>
    </cfRule>
    <cfRule type="expression" dxfId="37" priority="54">
      <formula>G$3=1</formula>
    </cfRule>
  </conditionalFormatting>
  <conditionalFormatting sqref="G157:NS160 G161:BO161 G162:NS164">
    <cfRule type="expression" dxfId="36" priority="1075">
      <formula>G$8="S"</formula>
    </cfRule>
    <cfRule type="expression" dxfId="35" priority="1076">
      <formula>G$8="D"</formula>
    </cfRule>
  </conditionalFormatting>
  <conditionalFormatting sqref="G161:NS164">
    <cfRule type="cellIs" dxfId="34" priority="5" operator="equal">
      <formula>"x"</formula>
    </cfRule>
  </conditionalFormatting>
  <conditionalFormatting sqref="G173:NS194">
    <cfRule type="expression" dxfId="33" priority="1158">
      <formula>G$8="S"</formula>
    </cfRule>
    <cfRule type="expression" dxfId="32" priority="1159">
      <formula>G$8="D"</formula>
    </cfRule>
  </conditionalFormatting>
  <conditionalFormatting sqref="G195:NS198">
    <cfRule type="expression" dxfId="31" priority="13">
      <formula>G$8="S"</formula>
    </cfRule>
    <cfRule type="expression" dxfId="30" priority="14">
      <formula>G$8="D"</formula>
    </cfRule>
  </conditionalFormatting>
  <conditionalFormatting sqref="G199:NS202">
    <cfRule type="expression" dxfId="29" priority="1045">
      <formula>G$8="S"</formula>
    </cfRule>
    <cfRule type="expression" dxfId="28" priority="1046">
      <formula>G$8="D"</formula>
    </cfRule>
  </conditionalFormatting>
  <conditionalFormatting sqref="L165:M166">
    <cfRule type="cellIs" dxfId="27" priority="886" operator="equal">
      <formula>"x"</formula>
    </cfRule>
  </conditionalFormatting>
  <conditionalFormatting sqref="AH55:AO60">
    <cfRule type="cellIs" dxfId="26" priority="28" operator="equal">
      <formula>"x"</formula>
    </cfRule>
  </conditionalFormatting>
  <conditionalFormatting sqref="AK195:AO197">
    <cfRule type="cellIs" dxfId="25" priority="11" operator="equal">
      <formula>"x"</formula>
    </cfRule>
  </conditionalFormatting>
  <conditionalFormatting sqref="AK198:AO198">
    <cfRule type="cellIs" dxfId="24" priority="20" operator="equal">
      <formula>"x"</formula>
    </cfRule>
  </conditionalFormatting>
  <conditionalFormatting sqref="AL28">
    <cfRule type="expression" dxfId="23" priority="2473">
      <formula>AK$8="S"</formula>
    </cfRule>
    <cfRule type="expression" dxfId="22" priority="2474">
      <formula>AK$8="D"</formula>
    </cfRule>
    <cfRule type="expression" dxfId="21" priority="2475">
      <formula>AK$3=1</formula>
    </cfRule>
  </conditionalFormatting>
  <conditionalFormatting sqref="AW123:NS123">
    <cfRule type="expression" dxfId="20" priority="1117">
      <formula>AW$8="S"</formula>
    </cfRule>
    <cfRule type="expression" dxfId="19" priority="1118">
      <formula>AW$8="D"</formula>
    </cfRule>
  </conditionalFormatting>
  <conditionalFormatting sqref="AY41:NS41">
    <cfRule type="expression" dxfId="18" priority="52">
      <formula>AY$8="S"</formula>
    </cfRule>
    <cfRule type="expression" dxfId="17" priority="53">
      <formula>AY$8="D"</formula>
    </cfRule>
    <cfRule type="cellIs" dxfId="16" priority="55" operator="equal">
      <formula>"x"</formula>
    </cfRule>
  </conditionalFormatting>
  <conditionalFormatting sqref="BF23:CZ36">
    <cfRule type="cellIs" dxfId="15" priority="811" operator="equal">
      <formula>1</formula>
    </cfRule>
    <cfRule type="expression" dxfId="14" priority="812">
      <formula>BF$8="S"</formula>
    </cfRule>
    <cfRule type="expression" dxfId="13" priority="813">
      <formula>BF$8="D"</formula>
    </cfRule>
    <cfRule type="expression" dxfId="12" priority="814">
      <formula>BF$3=1</formula>
    </cfRule>
    <cfRule type="cellIs" dxfId="11" priority="815" operator="equal">
      <formula>"x"</formula>
    </cfRule>
  </conditionalFormatting>
  <conditionalFormatting sqref="BP161">
    <cfRule type="expression" dxfId="10" priority="2479">
      <formula>BT$8="S"</formula>
    </cfRule>
    <cfRule type="expression" dxfId="9" priority="2480">
      <formula>BT$8="D"</formula>
    </cfRule>
    <cfRule type="expression" dxfId="8" priority="2481">
      <formula>BT$3=1</formula>
    </cfRule>
  </conditionalFormatting>
  <conditionalFormatting sqref="BQ161:NS161">
    <cfRule type="expression" dxfId="7" priority="2">
      <formula>BQ$8="S"</formula>
    </cfRule>
    <cfRule type="expression" dxfId="6" priority="3">
      <formula>BQ$8="D"</formula>
    </cfRule>
    <cfRule type="expression" dxfId="5" priority="4">
      <formula>BQ$3=1</formula>
    </cfRule>
  </conditionalFormatting>
  <conditionalFormatting sqref="DA13:NS36">
    <cfRule type="cellIs" dxfId="4" priority="326" operator="equal">
      <formula>1</formula>
    </cfRule>
    <cfRule type="expression" dxfId="3" priority="327">
      <formula>DA$8="S"</formula>
    </cfRule>
    <cfRule type="expression" dxfId="2" priority="328">
      <formula>DA$8="D"</formula>
    </cfRule>
    <cfRule type="expression" dxfId="1" priority="329">
      <formula>DA$3=1</formula>
    </cfRule>
    <cfRule type="cellIs" dxfId="0" priority="330" operator="equal">
      <formula>"x"</formula>
    </cfRule>
  </conditionalFormatting>
  <printOptions horizontalCentered="1" verticalCentered="1"/>
  <pageMargins left="0.23622047244094491" right="0.23622047244094491" top="0.35433070866141736" bottom="0.35433070866141736" header="0.31496062992125984" footer="0.31496062992125984"/>
  <pageSetup scale="72" fitToHeight="4" orientation="landscape" r:id="rId6"/>
  <rowBreaks count="1" manualBreakCount="1">
    <brk id="43" min="2" max="461" man="1"/>
  </rowBreaks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DEPARTAMENTO</vt:lpstr>
      <vt:lpstr>DEPARTAMENTO!Área_de_impresión</vt:lpstr>
      <vt:lpstr>DEPARTAMENTO!Títulos_a_imprimir</vt:lpstr>
    </vt:vector>
  </TitlesOfParts>
  <Company>NCOC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NC42000361</dc:creator>
  <cp:lastModifiedBy>Victor Miletić</cp:lastModifiedBy>
  <cp:lastPrinted>2017-04-30T18:46:18Z</cp:lastPrinted>
  <dcterms:created xsi:type="dcterms:W3CDTF">2014-05-11T12:08:49Z</dcterms:created>
  <dcterms:modified xsi:type="dcterms:W3CDTF">2025-02-13T01:39:30Z</dcterms:modified>
</cp:coreProperties>
</file>