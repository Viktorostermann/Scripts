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vikto\Desktop\"/>
    </mc:Choice>
  </mc:AlternateContent>
  <xr:revisionPtr revIDLastSave="0" documentId="13_ncr:1_{E2430787-BA69-4625-8022-9063292A81B7}" xr6:coauthVersionLast="47" xr6:coauthVersionMax="47" xr10:uidLastSave="{00000000-0000-0000-0000-000000000000}"/>
  <bookViews>
    <workbookView xWindow="-120" yWindow="-120" windowWidth="20730" windowHeight="11040" tabRatio="901" activeTab="5" xr2:uid="{00000000-000D-0000-FFFF-FFFF00000000}"/>
  </bookViews>
  <sheets>
    <sheet name="Formato Reporte Mensual" sheetId="5" r:id="rId1"/>
    <sheet name="% Avance Objetivos" sheetId="1" r:id="rId2"/>
    <sheet name="Curva de Avance Plan" sheetId="8" r:id="rId3"/>
    <sheet name="Curva de Avance Obj" sheetId="2" r:id="rId4"/>
    <sheet name="Avance Objetivos" sheetId="3" r:id="rId5"/>
    <sheet name="Gráfico Tiempo Perdido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4" l="1"/>
  <c r="E5" i="4"/>
  <c r="F5" i="4"/>
  <c r="G5" i="4"/>
  <c r="G6" i="4"/>
  <c r="D10" i="4"/>
  <c r="E10" i="4"/>
  <c r="BC13" i="4" l="1"/>
  <c r="BC7" i="4"/>
  <c r="BC8" i="4"/>
  <c r="BC9" i="4"/>
  <c r="BC11" i="4"/>
  <c r="BC12" i="4"/>
  <c r="B78" i="5"/>
  <c r="B79" i="5"/>
  <c r="BC10" i="4"/>
  <c r="D5" i="2" l="1"/>
  <c r="D5" i="8"/>
  <c r="C16" i="8" l="1"/>
  <c r="C15" i="8"/>
  <c r="C14" i="8"/>
  <c r="C13" i="8"/>
  <c r="C12" i="8"/>
  <c r="C11" i="8"/>
  <c r="C10" i="8"/>
  <c r="C9" i="8"/>
  <c r="C8" i="8"/>
  <c r="C7" i="8"/>
  <c r="C6" i="8"/>
  <c r="C5" i="8"/>
  <c r="C16" i="2"/>
  <c r="C15" i="2"/>
  <c r="C14" i="2"/>
  <c r="C13" i="2"/>
  <c r="C12" i="2"/>
  <c r="C11" i="2"/>
  <c r="C10" i="2"/>
  <c r="C9" i="2"/>
  <c r="C8" i="2"/>
  <c r="C7" i="2"/>
  <c r="C6" i="2"/>
  <c r="C5" i="2"/>
  <c r="F77" i="5" l="1"/>
  <c r="F78" i="5"/>
  <c r="F79" i="5"/>
  <c r="E77" i="5"/>
  <c r="B77" i="5"/>
  <c r="BC6" i="4" l="1"/>
  <c r="E79" i="5" s="1"/>
  <c r="BC5" i="4" l="1"/>
  <c r="E78" i="5" l="1"/>
  <c r="BC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yp00475</author>
  </authors>
  <commentList>
    <comment ref="D4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yp00475:</t>
        </r>
        <r>
          <rPr>
            <sz val="8"/>
            <color indexed="81"/>
            <rFont val="Tahoma"/>
            <family val="2"/>
          </rPr>
          <t xml:space="preserve">
Elaboración de Procedimiento, preservación de materiales se ejecuta en objetivo 3.
</t>
        </r>
      </text>
    </comment>
    <comment ref="D48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yp00475:</t>
        </r>
        <r>
          <rPr>
            <sz val="8"/>
            <color indexed="81"/>
            <rFont val="Tahoma"/>
            <family val="2"/>
          </rPr>
          <t xml:space="preserve">
Personal Contratado para dicha actividad: Unificación de materiales en 02 almacenes, unificación de materiales repetidos, mejoras de descripciones,…
</t>
        </r>
      </text>
    </comment>
    <comment ref="D50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yp00475:</t>
        </r>
        <r>
          <rPr>
            <sz val="8"/>
            <color indexed="81"/>
            <rFont val="Tahoma"/>
            <family val="2"/>
          </rPr>
          <t xml:space="preserve">
De Acuerdo al punto de Mantenimiento a equipos: Esta actividad se debe acodar la disposicion de mantenimiento (Ramon Sanchez y Supervisores de Mantenimiento y Producción) para algunos casos (Equipos Mayores, Valvulas, Instrumentos)
La preservación se ejecuta en paralelo al objetivo 3</t>
        </r>
      </text>
    </comment>
    <comment ref="D5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yp00475:</t>
        </r>
        <r>
          <rPr>
            <sz val="8"/>
            <color indexed="81"/>
            <rFont val="Tahoma"/>
            <family val="2"/>
          </rPr>
          <t xml:space="preserve">
En BAO se encuentra establecida el area para colocar los desechos y elementos que se tienen definidos como chatarra y material no recuperable (Falta la decisión por parte de la gerencia indicar que acción se ejecutara)</t>
        </r>
      </text>
    </comment>
    <comment ref="D56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yp00475:</t>
        </r>
        <r>
          <rPr>
            <sz val="8"/>
            <color indexed="81"/>
            <rFont val="Tahoma"/>
            <family val="2"/>
          </rPr>
          <t xml:space="preserve">
Elaboración de Procedimiento, preservación de materiales se ejecuta en objetivo 3.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yp00475</author>
  </authors>
  <commentList>
    <comment ref="D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Elaboración de Procedimiento, preservación de materiales se ejecuta en objetivo 3.
</t>
        </r>
      </text>
    </comment>
    <comment ref="D1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Personal Contratado para dicha actividad: Unificación de materiales en 02 almacenes, unificación de materiales repetidos, mejoras de descripciones,…
</t>
        </r>
      </text>
    </comment>
    <comment ref="D1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De Acuerdo al punto de Mantenimiento a equipos: Esta actividad se debe acodar la disposicion de mantenimiento (Ramon Sanchez y Supervisores de Mantenimiento y Producción) para algunos casos (Equipos Mayores, Valvulas, Instrumentos)
La preservación se ejecuta en paralelo al objetivo 3</t>
        </r>
      </text>
    </comment>
    <comment ref="D1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En BAO se encuentra establecida el area para colocar los desechos y elementos que se tienen definidos como chatarra y material no recuperable (Falta la decisión por parte de la gerencia indicar que acción se ejecutara)</t>
        </r>
      </text>
    </comment>
    <comment ref="D2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yp00475:</t>
        </r>
        <r>
          <rPr>
            <sz val="9"/>
            <color indexed="81"/>
            <rFont val="Tahoma"/>
            <family val="2"/>
          </rPr>
          <t xml:space="preserve">
Elaboración de Procedimiento, preservación de materiales se ejecuta en objetivo 3.
</t>
        </r>
      </text>
    </comment>
  </commentList>
</comments>
</file>

<file path=xl/sharedStrings.xml><?xml version="1.0" encoding="utf-8"?>
<sst xmlns="http://schemas.openxmlformats.org/spreadsheetml/2006/main" count="166" uniqueCount="83">
  <si>
    <t>% E</t>
  </si>
  <si>
    <t>% R</t>
  </si>
  <si>
    <t>Mejoras en Preservacion y Proteccion de Materiales Almacén</t>
  </si>
  <si>
    <t>Asegurar el soporte para la ejecución de las Auditorias Aleatorias</t>
  </si>
  <si>
    <t>Cerrar las tarjetas de Anomalias y Opersafe pendientes</t>
  </si>
  <si>
    <t>Desarrollar un plan para el mantenimiento / Preservacion de Equipos en BAO</t>
  </si>
  <si>
    <t>Identificar riesgos y debilidades en almacenaje, custodia y manejo de materiales en BAO</t>
  </si>
  <si>
    <t>Asegurar el soporte para la ejecución de los Inventarios 100% en almacenes de la empresa.</t>
  </si>
  <si>
    <t>Coordinar proceso para la disposicion de los materiales / Elementos dañados en BAO</t>
  </si>
  <si>
    <t>Desarrollar e implementar KPI's para BAA y los almacenes</t>
  </si>
  <si>
    <t>Asegurar el soporte para la ejecución del mantenimiento / preservacion de Equipos en BAO</t>
  </si>
  <si>
    <t>Proponer mitigaciones: elaboración de informe y preservación de materiales</t>
  </si>
  <si>
    <t>Asegurar el soporte para la ejecución de las Auditorias (Finanzas).</t>
  </si>
  <si>
    <t>Asegurar el soporte para el proceso disposicion final de materiales / elementos dañados en BAO</t>
  </si>
  <si>
    <t>Coordinar plan de actualizacion, depuracion del registro Maestro de Materiales en el Sistema SAP</t>
  </si>
  <si>
    <t>Garantizar mantenimiento y soporte del sistema SAP-MM.</t>
  </si>
  <si>
    <t>KPI OBJETIVOS LOGÍSTICA &amp; ALMACÉN 2018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</si>
  <si>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</si>
  <si>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</si>
  <si>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</si>
  <si>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</si>
  <si>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</si>
  <si>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</si>
  <si>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</si>
  <si>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</si>
  <si>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</si>
  <si>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</si>
  <si>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</si>
  <si>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</si>
  <si>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</si>
  <si>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ACT.</t>
  </si>
  <si>
    <t>OBJ.</t>
  </si>
  <si>
    <t>Auditoria de Socios</t>
  </si>
  <si>
    <t>Elaboracion y Actualizacion de Procedimientos (Maestro)</t>
  </si>
  <si>
    <t>MES</t>
  </si>
  <si>
    <t>Adicional</t>
  </si>
  <si>
    <t>CURVA ESTIMADA</t>
  </si>
  <si>
    <t>CURVA REAL</t>
  </si>
  <si>
    <t>Motivo</t>
  </si>
  <si>
    <t>Observaciones</t>
  </si>
  <si>
    <t>AVANCE DE OBJETIVOS</t>
  </si>
  <si>
    <t>GRÁFICO TIEMPO PERDIDO</t>
  </si>
  <si>
    <t xml:space="preserve">Total </t>
  </si>
  <si>
    <t xml:space="preserve">Auditorias Mensuales </t>
  </si>
  <si>
    <t>Post Inventario 100% Octubre-2017</t>
  </si>
  <si>
    <t xml:space="preserve">Inventario 100% </t>
  </si>
  <si>
    <t>Depuración del Maestro de Materiales</t>
  </si>
  <si>
    <t>PLAN REMEDIACIÓN</t>
  </si>
  <si>
    <t>TOTAL GENERAL</t>
  </si>
  <si>
    <t>CURVAS DE AVANCE</t>
  </si>
  <si>
    <t>AVANCE DE OBJETIVOS Y ACTIVIDADES</t>
  </si>
  <si>
    <t>CURVA DE AVANCE OBJETIVOS</t>
  </si>
  <si>
    <t>CURVA DE AVANCE PLAN DE REMEDIACIÓN</t>
  </si>
  <si>
    <t>GRÁFICOS DE TIEMPO PERDIDO</t>
  </si>
  <si>
    <t>PLAN 
REMEDIACIÓN</t>
  </si>
  <si>
    <t>DESCRIPCIÓN</t>
  </si>
  <si>
    <t xml:space="preserve">DESCRIPCIÓN </t>
  </si>
  <si>
    <t xml:space="preserve">REPORTE GESTIÓN LOGÍSTICA &amp; ALMACÉN </t>
  </si>
  <si>
    <t>ENERO - 2018</t>
  </si>
  <si>
    <t>Descripción de las Actividades</t>
  </si>
  <si>
    <t>Desarrollar e implementar KPI's para BAA y los almacenes.</t>
  </si>
  <si>
    <t>OBSERVACIONES</t>
  </si>
  <si>
    <t>% AVANCE</t>
  </si>
  <si>
    <t>Fecha: 07/02/2018</t>
  </si>
  <si>
    <t>Vacaciones</t>
  </si>
  <si>
    <t>Falla Energia Electrica</t>
  </si>
  <si>
    <t>Camión y Brazo Articulado</t>
  </si>
  <si>
    <t>Feriados / No laborables</t>
  </si>
  <si>
    <t>Ausencia Personal (Varios Motivos)</t>
  </si>
  <si>
    <t>Enfermedad</t>
  </si>
  <si>
    <t>Compensatorios y Pasivos</t>
  </si>
  <si>
    <t>Fallas Mecanicas</t>
  </si>
  <si>
    <t>Asegurar el soporte para ejecución de las Auditorias (FI).</t>
  </si>
  <si>
    <t>Desarrollar plan mantenimiento / Preservacion Equipos BAO</t>
  </si>
  <si>
    <t>Proponer mitigaciones (elaboración de informe / preservación de materiales)</t>
  </si>
  <si>
    <t>Corte Energia</t>
  </si>
  <si>
    <t>Carnavales</t>
  </si>
  <si>
    <t>Falla de Energia</t>
  </si>
  <si>
    <t>Ausencia Personal</t>
  </si>
  <si>
    <t>Falla de Plataforma Comunicación</t>
  </si>
  <si>
    <t>Permisos No Remunerado</t>
  </si>
  <si>
    <t>Vacaciones Personal</t>
  </si>
  <si>
    <t>Falla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</si>
</sst>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FF2F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/>
      <bottom style="thin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/>
      <bottom style="thin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/>
      <bottom style="thin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/>
      <bottom style="medium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/>
      <bottom style="medium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/>
      <bottom style="medium">
        <color theme="3" tint="-0.249977111117893"/>
      </bottom>
      <diagonal/>
    </border>
    <border>
      <left style="thin">
        <color theme="3" tint="-0.249977111117893"/>
      </left>
      <right/>
      <top style="medium">
        <color theme="3" tint="-0.249977111117893"/>
      </top>
      <bottom style="medium">
        <color theme="3" tint="-0.249977111117893"/>
      </bottom>
      <diagonal/>
    </border>
    <border>
      <left style="thin">
        <color theme="3" tint="-0.249977111117893"/>
      </left>
      <right/>
      <top style="medium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/>
      <top style="thin">
        <color theme="3" tint="-0.249977111117893"/>
      </top>
      <bottom style="medium">
        <color theme="3" tint="-0.249977111117893"/>
      </bottom>
      <diagonal/>
    </border>
    <border>
      <left style="thin">
        <color theme="3" tint="-0.249977111117893"/>
      </left>
      <right/>
      <top/>
      <bottom style="thin">
        <color theme="3" tint="-0.249977111117893"/>
      </bottom>
      <diagonal/>
    </border>
    <border>
      <left style="thin">
        <color theme="3" tint="-0.249977111117893"/>
      </left>
      <right/>
      <top/>
      <bottom style="medium">
        <color theme="3" tint="-0.249977111117893"/>
      </bottom>
      <diagonal/>
    </border>
    <border>
      <left/>
      <right style="thin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/>
      <right style="thin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/>
      <right style="thin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/>
      <right style="thin">
        <color theme="3" tint="-0.249977111117893"/>
      </right>
      <top/>
      <bottom style="thin">
        <color theme="3" tint="-0.249977111117893"/>
      </bottom>
      <diagonal/>
    </border>
    <border>
      <left/>
      <right style="thin">
        <color theme="3" tint="-0.249977111117893"/>
      </right>
      <top/>
      <bottom style="medium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 style="medium">
        <color theme="3" tint="-0.249977111117893"/>
      </top>
      <bottom/>
      <diagonal/>
    </border>
    <border>
      <left style="thin">
        <color theme="3" tint="-0.249977111117893"/>
      </left>
      <right style="medium">
        <color theme="3" tint="-0.249977111117893"/>
      </right>
      <top style="medium">
        <color theme="3" tint="-0.249977111117893"/>
      </top>
      <bottom/>
      <diagonal/>
    </border>
    <border>
      <left/>
      <right style="thin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 style="thin">
        <color theme="3" tint="-0.249977111117893"/>
      </left>
      <right/>
      <top/>
      <bottom/>
      <diagonal/>
    </border>
    <border>
      <left/>
      <right style="thin">
        <color theme="3" tint="-0.249977111117893"/>
      </right>
      <top/>
      <bottom/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medium">
        <color theme="3" tint="-0.249977111117893"/>
      </bottom>
      <diagonal/>
    </border>
    <border>
      <left style="medium">
        <color theme="3" tint="-0.499984740745262"/>
      </left>
      <right style="medium">
        <color theme="3" tint="-0.499984740745262"/>
      </right>
      <top/>
      <bottom style="medium">
        <color theme="3" tint="-0.499984740745262"/>
      </bottom>
      <diagonal/>
    </border>
    <border>
      <left style="medium">
        <color theme="3" tint="-0.499984740745262"/>
      </left>
      <right style="thin">
        <color theme="3" tint="-0.249977111117893"/>
      </right>
      <top style="medium">
        <color theme="3" tint="-0.499984740745262"/>
      </top>
      <bottom/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499984740745262"/>
      </top>
      <bottom style="medium">
        <color theme="3" tint="-0.249977111117893"/>
      </bottom>
      <diagonal/>
    </border>
    <border>
      <left style="medium">
        <color theme="3" tint="-0.499984740745262"/>
      </left>
      <right style="thin">
        <color theme="3" tint="-0.249977111117893"/>
      </right>
      <top/>
      <bottom/>
      <diagonal/>
    </border>
    <border>
      <left style="medium">
        <color theme="3" tint="-0.499984740745262"/>
      </left>
      <right style="thin">
        <color theme="3" tint="-0.249977111117893"/>
      </right>
      <top/>
      <bottom style="medium">
        <color theme="3" tint="-0.499984740745262"/>
      </bottom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 style="medium">
        <color theme="3" tint="-0.499984740745262"/>
      </bottom>
      <diagonal/>
    </border>
    <border>
      <left style="thin">
        <color theme="3" tint="-0.249977111117893"/>
      </left>
      <right style="thin">
        <color theme="3" tint="-0.249977111117893"/>
      </right>
      <top/>
      <bottom/>
      <diagonal/>
    </border>
    <border>
      <left style="medium">
        <color theme="3" tint="-0.249977111117893"/>
      </left>
      <right style="thin">
        <color theme="3" tint="-0.249977111117893"/>
      </right>
      <top/>
      <bottom/>
      <diagonal/>
    </border>
    <border>
      <left style="medium">
        <color theme="3" tint="-0.499984740745262"/>
      </left>
      <right/>
      <top style="medium">
        <color theme="3" tint="-0.499984740745262"/>
      </top>
      <bottom/>
      <diagonal/>
    </border>
    <border>
      <left style="thin">
        <color theme="3" tint="-0.249977111117893"/>
      </left>
      <right style="medium">
        <color theme="3" tint="-0.499984740745262"/>
      </right>
      <top style="medium">
        <color theme="3" tint="-0.499984740745262"/>
      </top>
      <bottom style="medium">
        <color theme="3" tint="-0.249977111117893"/>
      </bottom>
      <diagonal/>
    </border>
    <border>
      <left style="medium">
        <color theme="3" tint="-0.499984740745262"/>
      </left>
      <right/>
      <top/>
      <bottom/>
      <diagonal/>
    </border>
    <border>
      <left style="thin">
        <color theme="3" tint="-0.249977111117893"/>
      </left>
      <right style="medium">
        <color theme="3" tint="-0.499984740745262"/>
      </right>
      <top/>
      <bottom style="medium">
        <color theme="3" tint="-0.249977111117893"/>
      </bottom>
      <diagonal/>
    </border>
    <border>
      <left style="medium">
        <color theme="3" tint="-0.499984740745262"/>
      </left>
      <right/>
      <top/>
      <bottom style="medium">
        <color theme="3" tint="-0.499984740745262"/>
      </bottom>
      <diagonal/>
    </border>
    <border>
      <left style="thin">
        <color theme="3" tint="-0.249977111117893"/>
      </left>
      <right style="medium">
        <color theme="3" tint="-0.499984740745262"/>
      </right>
      <top style="medium">
        <color theme="3" tint="-0.249977111117893"/>
      </top>
      <bottom style="medium">
        <color theme="3" tint="-0.499984740745262"/>
      </bottom>
      <diagonal/>
    </border>
    <border>
      <left/>
      <right style="thin">
        <color theme="3" tint="-0.249977111117893"/>
      </right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theme="3" tint="-0.249977111117893"/>
      </left>
      <right style="medium">
        <color theme="3" tint="-0.249977111117893"/>
      </right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theme="3" tint="-0.249977111117893"/>
      </left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theme="3" tint="-0.249977111117893"/>
      </left>
      <right style="medium">
        <color theme="3" tint="-0.249977111117893"/>
      </right>
      <top/>
      <bottom/>
      <diagonal/>
    </border>
    <border>
      <left style="medium">
        <color theme="3" tint="-0.499984740745262"/>
      </left>
      <right/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/>
      <right/>
      <top style="medium">
        <color theme="3" tint="-0.499984740745262"/>
      </top>
      <bottom/>
      <diagonal/>
    </border>
    <border>
      <left/>
      <right style="medium">
        <color theme="3" tint="-0.499984740745262"/>
      </right>
      <top style="medium">
        <color theme="3" tint="-0.499984740745262"/>
      </top>
      <bottom/>
      <diagonal/>
    </border>
    <border>
      <left/>
      <right style="medium">
        <color theme="3" tint="-0.499984740745262"/>
      </right>
      <top/>
      <bottom/>
      <diagonal/>
    </border>
    <border>
      <left/>
      <right style="medium">
        <color theme="3" tint="-0.499984740745262"/>
      </right>
      <top/>
      <bottom style="medium">
        <color theme="3" tint="-0.499984740745262"/>
      </bottom>
      <diagonal/>
    </border>
    <border>
      <left/>
      <right/>
      <top style="medium">
        <color theme="3" tint="-0.499984740745262"/>
      </top>
      <bottom style="medium">
        <color theme="3" tint="-0.499984740745262"/>
      </bottom>
      <diagonal/>
    </border>
    <border>
      <left/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medium">
        <color theme="3" tint="-0.499984740745262"/>
      </left>
      <right style="medium">
        <color theme="3" tint="-0.499984740745262"/>
      </right>
      <top/>
      <bottom/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3" fillId="0" borderId="0" xfId="0" applyFont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top" wrapText="1"/>
    </xf>
    <xf numFmtId="0" fontId="10" fillId="3" borderId="11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vertical="center" wrapText="1"/>
    </xf>
    <xf numFmtId="0" fontId="6" fillId="0" borderId="14" xfId="0" applyFont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vertical="center" wrapText="1"/>
    </xf>
    <xf numFmtId="0" fontId="6" fillId="0" borderId="16" xfId="0" applyFont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8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" fillId="0" borderId="3" xfId="0" applyFont="1" applyBorder="1" applyAlignment="1">
      <alignment horizontal="left"/>
    </xf>
    <xf numFmtId="2" fontId="10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" fillId="7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12" fillId="3" borderId="38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vertical="center" wrapText="1"/>
    </xf>
    <xf numFmtId="0" fontId="12" fillId="3" borderId="41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vertical="center" wrapText="1"/>
    </xf>
    <xf numFmtId="0" fontId="12" fillId="3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vertical="center" wrapText="1"/>
    </xf>
    <xf numFmtId="0" fontId="6" fillId="5" borderId="45" xfId="0" applyFont="1" applyFill="1" applyBorder="1" applyAlignment="1">
      <alignment vertical="center" wrapText="1"/>
    </xf>
    <xf numFmtId="0" fontId="6" fillId="5" borderId="47" xfId="0" applyFont="1" applyFill="1" applyBorder="1" applyAlignment="1">
      <alignment vertical="center" wrapText="1"/>
    </xf>
    <xf numFmtId="0" fontId="6" fillId="5" borderId="49" xfId="0" applyFont="1" applyFill="1" applyBorder="1" applyAlignment="1">
      <alignment vertical="center" wrapText="1"/>
    </xf>
    <xf numFmtId="0" fontId="12" fillId="3" borderId="50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vertical="center" wrapText="1"/>
    </xf>
    <xf numFmtId="0" fontId="6" fillId="0" borderId="34" xfId="0" applyFont="1" applyBorder="1" applyAlignment="1">
      <alignment horizontal="center" vertical="center"/>
    </xf>
    <xf numFmtId="0" fontId="12" fillId="6" borderId="5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vertical="center" wrapText="1"/>
    </xf>
    <xf numFmtId="0" fontId="6" fillId="0" borderId="46" xfId="0" applyFont="1" applyBorder="1"/>
    <xf numFmtId="0" fontId="6" fillId="0" borderId="48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3" fillId="0" borderId="46" xfId="0" applyFont="1" applyBorder="1"/>
    <xf numFmtId="1" fontId="8" fillId="3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5" fillId="0" borderId="58" xfId="0" applyFont="1" applyBorder="1" applyAlignment="1">
      <alignment horizontal="left" vertical="center"/>
    </xf>
    <xf numFmtId="0" fontId="6" fillId="5" borderId="63" xfId="0" applyFont="1" applyFill="1" applyBorder="1" applyAlignment="1">
      <alignment vertical="center" wrapText="1"/>
    </xf>
    <xf numFmtId="0" fontId="6" fillId="0" borderId="31" xfId="0" applyFont="1" applyBorder="1" applyAlignment="1">
      <alignment horizontal="center" vertical="center"/>
    </xf>
    <xf numFmtId="0" fontId="12" fillId="6" borderId="30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5" borderId="62" xfId="0" applyFont="1" applyFill="1" applyBorder="1" applyAlignment="1">
      <alignment vertical="center" wrapText="1"/>
    </xf>
    <xf numFmtId="0" fontId="6" fillId="0" borderId="50" xfId="0" applyFont="1" applyBorder="1" applyAlignment="1">
      <alignment horizontal="center" vertical="center"/>
    </xf>
    <xf numFmtId="0" fontId="12" fillId="6" borderId="51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16" fillId="0" borderId="0" xfId="0" applyFont="1" applyAlignment="1">
      <alignment horizontal="right" vertical="top"/>
    </xf>
    <xf numFmtId="0" fontId="16" fillId="0" borderId="58" xfId="0" applyFont="1" applyBorder="1" applyAlignment="1">
      <alignment horizontal="right" vertical="top"/>
    </xf>
    <xf numFmtId="0" fontId="6" fillId="0" borderId="58" xfId="0" applyFont="1" applyBorder="1"/>
    <xf numFmtId="0" fontId="12" fillId="0" borderId="58" xfId="0" applyFont="1" applyBorder="1" applyAlignment="1">
      <alignment horizontal="center" vertical="center" wrapText="1"/>
    </xf>
    <xf numFmtId="0" fontId="6" fillId="0" borderId="58" xfId="0" applyFont="1" applyBorder="1" applyAlignment="1">
      <alignment vertical="center" wrapText="1"/>
    </xf>
    <xf numFmtId="0" fontId="6" fillId="0" borderId="59" xfId="0" applyFont="1" applyBorder="1"/>
    <xf numFmtId="0" fontId="0" fillId="0" borderId="0" xfId="0" applyAlignment="1">
      <alignment horizontal="left" vertical="center" indent="2"/>
    </xf>
    <xf numFmtId="1" fontId="8" fillId="3" borderId="4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/>
    </xf>
    <xf numFmtId="0" fontId="7" fillId="0" borderId="0" xfId="0" applyFont="1"/>
    <xf numFmtId="0" fontId="6" fillId="5" borderId="2" xfId="0" applyFont="1" applyFill="1" applyBorder="1" applyAlignment="1">
      <alignment vertical="center" wrapText="1"/>
    </xf>
    <xf numFmtId="0" fontId="6" fillId="9" borderId="2" xfId="0" applyFont="1" applyFill="1" applyBorder="1" applyAlignment="1">
      <alignment vertical="center" wrapText="1"/>
    </xf>
    <xf numFmtId="0" fontId="2" fillId="0" borderId="54" xfId="0" applyFont="1" applyBorder="1" applyAlignment="1">
      <alignment horizontal="left" vertical="center" wrapText="1" indent="1"/>
    </xf>
    <xf numFmtId="0" fontId="2" fillId="0" borderId="60" xfId="0" applyFont="1" applyBorder="1" applyAlignment="1">
      <alignment horizontal="left" vertical="center" wrapText="1" indent="1"/>
    </xf>
    <xf numFmtId="0" fontId="2" fillId="0" borderId="61" xfId="0" applyFont="1" applyBorder="1" applyAlignment="1">
      <alignment horizontal="left" vertical="center" wrapText="1" indent="1"/>
    </xf>
    <xf numFmtId="49" fontId="7" fillId="0" borderId="48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59" xfId="0" applyNumberFormat="1" applyFont="1" applyBorder="1" applyAlignment="1">
      <alignment horizontal="center" vertical="center"/>
    </xf>
    <xf numFmtId="0" fontId="13" fillId="0" borderId="44" xfId="0" applyFont="1" applyBorder="1" applyAlignment="1">
      <alignment horizontal="center"/>
    </xf>
    <xf numFmtId="0" fontId="13" fillId="0" borderId="56" xfId="0" applyFont="1" applyBorder="1" applyAlignment="1">
      <alignment horizontal="center"/>
    </xf>
    <xf numFmtId="0" fontId="13" fillId="0" borderId="57" xfId="0" applyFont="1" applyBorder="1" applyAlignment="1">
      <alignment horizontal="center"/>
    </xf>
    <xf numFmtId="0" fontId="6" fillId="5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6" fillId="9" borderId="2" xfId="0" applyFont="1" applyFill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left" vertical="center"/>
    </xf>
    <xf numFmtId="1" fontId="1" fillId="7" borderId="65" xfId="0" applyNumberFormat="1" applyFont="1" applyFill="1" applyBorder="1" applyAlignment="1">
      <alignment horizontal="center" vertical="center"/>
    </xf>
    <xf numFmtId="1" fontId="1" fillId="7" borderId="0" xfId="0" applyNumberFormat="1" applyFont="1" applyFill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/>
    </xf>
    <xf numFmtId="1" fontId="3" fillId="0" borderId="64" xfId="0" applyNumberFormat="1" applyFont="1" applyBorder="1" applyAlignment="1">
      <alignment horizontal="left" vertical="center"/>
    </xf>
    <xf numFmtId="1" fontId="3" fillId="0" borderId="69" xfId="0" applyNumberFormat="1" applyFont="1" applyBorder="1" applyAlignment="1">
      <alignment horizontal="left" vertical="center"/>
    </xf>
    <xf numFmtId="1" fontId="3" fillId="0" borderId="70" xfId="0" applyNumberFormat="1" applyFont="1" applyBorder="1" applyAlignment="1">
      <alignment horizontal="left" vertical="center"/>
    </xf>
    <xf numFmtId="1" fontId="3" fillId="0" borderId="64" xfId="0" applyNumberFormat="1" applyFont="1" applyBorder="1" applyAlignment="1">
      <alignment horizontal="left"/>
    </xf>
    <xf numFmtId="1" fontId="3" fillId="0" borderId="69" xfId="0" applyNumberFormat="1" applyFont="1" applyBorder="1" applyAlignment="1">
      <alignment horizontal="left"/>
    </xf>
    <xf numFmtId="1" fontId="3" fillId="0" borderId="70" xfId="0" applyNumberFormat="1" applyFont="1" applyBorder="1" applyAlignment="1">
      <alignment horizontal="left"/>
    </xf>
    <xf numFmtId="0" fontId="11" fillId="4" borderId="31" xfId="0" applyFont="1" applyFill="1" applyBorder="1" applyAlignment="1">
      <alignment horizontal="center"/>
    </xf>
    <xf numFmtId="0" fontId="11" fillId="4" borderId="30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 textRotation="90"/>
    </xf>
    <xf numFmtId="0" fontId="6" fillId="3" borderId="46" xfId="0" applyFont="1" applyFill="1" applyBorder="1" applyAlignment="1">
      <alignment horizontal="center" vertical="center" textRotation="90"/>
    </xf>
    <xf numFmtId="0" fontId="6" fillId="3" borderId="48" xfId="0" applyFont="1" applyFill="1" applyBorder="1" applyAlignment="1">
      <alignment horizontal="center" vertical="center" textRotation="90"/>
    </xf>
    <xf numFmtId="0" fontId="6" fillId="3" borderId="37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12" fillId="3" borderId="5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/>
    </xf>
    <xf numFmtId="2" fontId="6" fillId="0" borderId="66" xfId="0" applyNumberFormat="1" applyFont="1" applyBorder="1" applyAlignment="1">
      <alignment horizontal="center" vertical="center"/>
    </xf>
    <xf numFmtId="2" fontId="6" fillId="0" borderId="67" xfId="0" applyNumberFormat="1" applyFont="1" applyBorder="1" applyAlignment="1">
      <alignment horizontal="center" vertical="center"/>
    </xf>
    <xf numFmtId="2" fontId="6" fillId="0" borderId="6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F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Tiempo Perdido</a:t>
            </a:r>
          </a:p>
        </c:rich>
      </c:tx>
      <c:layout>
        <c:manualLayout>
          <c:xMode val="edge"/>
          <c:yMode val="edge"/>
          <c:x val="0.37339399450249455"/>
          <c:y val="1.7450919860429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6.5593686533968187E-2"/>
          <c:y val="0.10177252703997119"/>
          <c:w val="0.88571196500625282"/>
          <c:h val="0.62469209039548035"/>
        </c:manualLayout>
      </c:layout>
      <c:lineChart>
        <c:grouping val="standard"/>
        <c:varyColors val="0"/>
        <c:ser>
          <c:idx val="0"/>
          <c:order val="0"/>
          <c:tx>
            <c:strRef>
              <c:f>'Gráfico Tiempo Perdido'!$B$5</c:f>
              <c:strCache>
                <c:ptCount val="1"/>
                <c:pt idx="0">
                  <c:v>Falla de Plataforma Comunicación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'Gráfico Tiempo Perdido'!$C$5:$O$5</c:f>
              <c:numCache>
                <c:formatCode>0</c:formatCode>
                <c:ptCount val="13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6-47EC-8B01-59CE84C97B15}"/>
            </c:ext>
          </c:extLst>
        </c:ser>
        <c:ser>
          <c:idx val="1"/>
          <c:order val="1"/>
          <c:tx>
            <c:strRef>
              <c:f>'Gráfico Tiempo Perdido'!$B$6</c:f>
              <c:strCache>
                <c:ptCount val="1"/>
                <c:pt idx="0">
                  <c:v>Falla de Energia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'Gráfico Tiempo Perdido'!$C$6:$O$6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D6-47EC-8B01-59CE84C97B15}"/>
            </c:ext>
          </c:extLst>
        </c:ser>
        <c:ser>
          <c:idx val="2"/>
          <c:order val="2"/>
          <c:tx>
            <c:strRef>
              <c:f>'Gráfico Tiempo Perdido'!$B$7</c:f>
              <c:strCache>
                <c:ptCount val="1"/>
                <c:pt idx="0">
                  <c:v>Ausencia Personal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'Gráfico Tiempo Perdido'!$C$7:$O$7</c:f>
              <c:numCache>
                <c:formatCode>0</c:formatCode>
                <c:ptCount val="13"/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DD-4D24-90F6-14EBEBA7B6C2}"/>
            </c:ext>
          </c:extLst>
        </c:ser>
        <c:ser>
          <c:idx val="3"/>
          <c:order val="3"/>
          <c:tx>
            <c:strRef>
              <c:f>'Gráfico Tiempo Perdido'!$B$8</c:f>
              <c:strCache>
                <c:ptCount val="1"/>
                <c:pt idx="0">
                  <c:v>Vacaciones Personal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'Gráfico Tiempo Perdido'!$C$8:$O$8</c:f>
              <c:numCache>
                <c:formatCode>0</c:formatCode>
                <c:ptCount val="13"/>
                <c:pt idx="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DD-4D24-90F6-14EBEBA7B6C2}"/>
            </c:ext>
          </c:extLst>
        </c:ser>
        <c:ser>
          <c:idx val="4"/>
          <c:order val="4"/>
          <c:tx>
            <c:strRef>
              <c:f>'Gráfico Tiempo Perdido'!$B$9</c:f>
              <c:strCache>
                <c:ptCount val="1"/>
                <c:pt idx="0">
                  <c:v>Falla Sistema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'Gráfico Tiempo Perdido'!$C$9:$O$9</c:f>
              <c:numCache>
                <c:formatCode>0</c:formatCode>
                <c:ptCount val="13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DD-4D24-90F6-14EBEBA7B6C2}"/>
            </c:ext>
          </c:extLst>
        </c:ser>
        <c:ser>
          <c:idx val="5"/>
          <c:order val="5"/>
          <c:tx>
            <c:strRef>
              <c:f>'Gráfico Tiempo Perdido'!$B$10</c:f>
              <c:strCache>
                <c:ptCount val="1"/>
                <c:pt idx="0">
                  <c:v>Permisos No Remunerado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'Gráfico Tiempo Perdido'!$C$10:$O$10</c:f>
              <c:numCache>
                <c:formatCode>0</c:formatCode>
                <c:ptCount val="13"/>
                <c:pt idx="0">
                  <c:v>0</c:v>
                </c:pt>
                <c:pt idx="1">
                  <c:v>40</c:v>
                </c:pt>
                <c:pt idx="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1DD-4D24-90F6-14EBEBA7B6C2}"/>
            </c:ext>
          </c:extLst>
        </c:ser>
        <c:ser>
          <c:idx val="6"/>
          <c:order val="6"/>
          <c:tx>
            <c:strRef>
              <c:f>'Gráfico Tiempo Perdido'!$B$11</c:f>
              <c:strCache>
                <c:ptCount val="1"/>
                <c:pt idx="0">
                  <c:v>Feriados / No laborables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'Gráfico Tiempo Perdido'!$C$11:$O$11</c:f>
              <c:numCache>
                <c:formatCode>0</c:formatCode>
                <c:ptCount val="13"/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1DD-4D24-90F6-14EBEBA7B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22888"/>
        <c:axId val="208057280"/>
      </c:lineChart>
      <c:catAx>
        <c:axId val="2083228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crossAx val="208057280"/>
        <c:crosses val="autoZero"/>
        <c:auto val="1"/>
        <c:lblAlgn val="ctr"/>
        <c:lblOffset val="100"/>
        <c:noMultiLvlLbl val="0"/>
      </c:catAx>
      <c:valAx>
        <c:axId val="20805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322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5397814116832909E-2"/>
          <c:y val="0.77571943800805354"/>
          <c:w val="0.94565874830058005"/>
          <c:h val="0.196703746267449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bg1"/>
        </a:gs>
        <a:gs pos="34000">
          <a:schemeClr val="bg1">
            <a:lumMod val="95000"/>
          </a:schemeClr>
        </a:gs>
        <a:gs pos="72000">
          <a:schemeClr val="bg1">
            <a:lumMod val="85000"/>
          </a:schemeClr>
        </a:gs>
        <a:gs pos="100000">
          <a:schemeClr val="bg1">
            <a:lumMod val="75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>
              <a:lumMod val="75000"/>
              <a:lumOff val="25000"/>
            </a:schemeClr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203602637380302E-2"/>
          <c:y val="0.10791329945610875"/>
          <c:w val="0.95400177566504374"/>
          <c:h val="0.57553589743589739"/>
        </c:manualLayout>
      </c:layout>
      <c:lineChart>
        <c:grouping val="standard"/>
        <c:varyColors val="0"/>
        <c:ser>
          <c:idx val="0"/>
          <c:order val="0"/>
          <c:tx>
            <c:strRef>
              <c:f>'Curva de Avance Plan'!$C$4</c:f>
              <c:strCache>
                <c:ptCount val="1"/>
                <c:pt idx="0">
                  <c:v>CURVA ESTIMADA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glow>
                <a:schemeClr val="accent1">
                  <a:lumMod val="50000"/>
                  <a:alpha val="40000"/>
                </a:schemeClr>
              </a:glow>
              <a:outerShdw blurRad="50800" dist="50800" dir="1200000" algn="ctr" rotWithShape="0">
                <a:schemeClr val="accent1">
                  <a:lumMod val="5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lumMod val="50000"/>
                    <a:alpha val="40000"/>
                  </a:schemeClr>
                </a:glow>
                <a:outerShdw blurRad="50800" dist="50800" dir="1200000" algn="ctr" rotWithShape="0">
                  <a:schemeClr val="accent1">
                    <a:lumMod val="50000"/>
                  </a:schemeClr>
                </a:outerShdw>
              </a:effectLst>
              <a:scene3d>
                <a:camera prst="orthographicFront"/>
                <a:lightRig rig="freezing" dir="t"/>
              </a:scene3d>
              <a:sp3d>
                <a:bevelT prst="angle"/>
                <a:bevelB prst="angle"/>
              </a:sp3d>
            </c:spPr>
          </c:marker>
          <c:cat>
            <c:strRef>
              <c:f>'Curva de Avance Plan'!$B$5:$B$16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'Curva de Avance Plan'!$C$5:$C$16</c:f>
              <c:numCache>
                <c:formatCode>General</c:formatCode>
                <c:ptCount val="12"/>
                <c:pt idx="0">
                  <c:v>12</c:v>
                </c:pt>
                <c:pt idx="1">
                  <c:v>15</c:v>
                </c:pt>
                <c:pt idx="2">
                  <c:v>22</c:v>
                </c:pt>
                <c:pt idx="3">
                  <c:v>30</c:v>
                </c:pt>
                <c:pt idx="4">
                  <c:v>40</c:v>
                </c:pt>
                <c:pt idx="5">
                  <c:v>49</c:v>
                </c:pt>
                <c:pt idx="6">
                  <c:v>57</c:v>
                </c:pt>
                <c:pt idx="7">
                  <c:v>67</c:v>
                </c:pt>
                <c:pt idx="8">
                  <c:v>74</c:v>
                </c:pt>
                <c:pt idx="9">
                  <c:v>87</c:v>
                </c:pt>
                <c:pt idx="10">
                  <c:v>93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1-4A63-8322-5E34271722D0}"/>
            </c:ext>
          </c:extLst>
        </c:ser>
        <c:ser>
          <c:idx val="1"/>
          <c:order val="1"/>
          <c:tx>
            <c:strRef>
              <c:f>'Curva de Avance Plan'!$D$4</c:f>
              <c:strCache>
                <c:ptCount val="1"/>
                <c:pt idx="0">
                  <c:v>CURVA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'Curva de Avance Plan'!$B$5:$B$16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'Curva de Avance Plan'!$D$5:$D$16</c:f>
              <c:numCache>
                <c:formatCode>General</c:formatCode>
                <c:ptCount val="12"/>
                <c:pt idx="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B1-4A63-8322-5E3427172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43392"/>
        <c:axId val="208858224"/>
      </c:lineChart>
      <c:catAx>
        <c:axId val="835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858224"/>
        <c:crosses val="autoZero"/>
        <c:auto val="1"/>
        <c:lblAlgn val="ctr"/>
        <c:lblOffset val="100"/>
        <c:noMultiLvlLbl val="0"/>
      </c:catAx>
      <c:valAx>
        <c:axId val="20885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3543392"/>
        <c:crosses val="autoZero"/>
        <c:crossBetween val="between"/>
      </c:valAx>
      <c:spPr>
        <a:gradFill flip="none" rotWithShape="1">
          <a:gsLst>
            <a:gs pos="0">
              <a:schemeClr val="tx1">
                <a:lumMod val="65000"/>
                <a:lumOff val="35000"/>
              </a:schemeClr>
            </a:gs>
            <a:gs pos="10000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5694783197831989E-2"/>
          <c:y val="0.93250604216249366"/>
          <c:w val="0.96569410569105696"/>
          <c:h val="5.221435003816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>
      <a:gsLst>
        <a:gs pos="0">
          <a:schemeClr val="tx1">
            <a:lumMod val="65000"/>
            <a:lumOff val="35000"/>
          </a:schemeClr>
        </a:gs>
        <a:gs pos="100000">
          <a:schemeClr val="tx1">
            <a:lumMod val="85000"/>
            <a:lumOff val="15000"/>
          </a:schemeClr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 sz="800" b="1"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Objetivos</a:t>
            </a:r>
          </a:p>
        </c:rich>
      </c:tx>
      <c:layout>
        <c:manualLayout>
          <c:xMode val="edge"/>
          <c:yMode val="edge"/>
          <c:x val="0.43246815578343656"/>
          <c:y val="1.8973536647311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4384040404040405"/>
          <c:y val="0.13791614255765197"/>
          <c:w val="0.82088181818181816"/>
          <c:h val="0.527958825931496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'% Avance Objetivos'!$E$3:$F$3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cat>
            <c:multiLvlStrRef>
              <c:f>'% Avance Objetivos'!$B$5:$C$20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3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Adicional</c:v>
                  </c:pt>
                </c:lvl>
              </c:multiLvlStrCache>
            </c:multiLvlStrRef>
          </c:cat>
          <c:val>
            <c:numRef>
              <c:f>'% Avance Objetivos'!$F$5:$F$20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  <c:pt idx="4">
                  <c:v>37</c:v>
                </c:pt>
                <c:pt idx="5">
                  <c:v>12</c:v>
                </c:pt>
                <c:pt idx="6">
                  <c:v>0</c:v>
                </c:pt>
                <c:pt idx="7">
                  <c:v>30</c:v>
                </c:pt>
                <c:pt idx="8">
                  <c:v>9</c:v>
                </c:pt>
                <c:pt idx="9">
                  <c:v>100</c:v>
                </c:pt>
                <c:pt idx="10">
                  <c:v>0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B-478C-908A-F4495C498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406216"/>
        <c:axId val="209427192"/>
      </c:barChart>
      <c:catAx>
        <c:axId val="209406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OBJETIVOS / ACTIVIDAD</a:t>
                </a:r>
              </a:p>
            </c:rich>
          </c:tx>
          <c:layout>
            <c:manualLayout>
              <c:xMode val="edge"/>
              <c:yMode val="edge"/>
              <c:x val="0.41636549726638611"/>
              <c:y val="0.88206876288557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427192"/>
        <c:crosses val="autoZero"/>
        <c:auto val="1"/>
        <c:lblAlgn val="ctr"/>
        <c:lblOffset val="100"/>
        <c:noMultiLvlLbl val="0"/>
      </c:catAx>
      <c:valAx>
        <c:axId val="20942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CUMPLIMIENTO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406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 de Remediación</a:t>
            </a:r>
          </a:p>
        </c:rich>
      </c:tx>
      <c:layout>
        <c:manualLayout>
          <c:xMode val="edge"/>
          <c:yMode val="edge"/>
          <c:x val="0.12682734979209331"/>
          <c:y val="1.264902443154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37399436258690683"/>
          <c:y val="0.13104389311076359"/>
          <c:w val="0.53428113134332078"/>
          <c:h val="0.52775813471709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'% Avance Objetivos'!$E$3:$F$3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cat>
            <c:multiLvlStrRef>
              <c:f>'% Avance Objetivos'!$B$22:$C$25</c:f>
              <c:multiLvlStrCache>
                <c:ptCount val="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  <c:lvl>
                  <c:pt idx="0">
                    <c:v>PLAN REMEDIACIÓN</c:v>
                  </c:pt>
                </c:lvl>
              </c:multiLvlStrCache>
            </c:multiLvlStrRef>
          </c:cat>
          <c:val>
            <c:numRef>
              <c:f>'% Avance Objetivos'!$F$22:$F$25</c:f>
              <c:numCache>
                <c:formatCode>General</c:formatCode>
                <c:ptCount val="4"/>
                <c:pt idx="0">
                  <c:v>60</c:v>
                </c:pt>
                <c:pt idx="1">
                  <c:v>0</c:v>
                </c:pt>
                <c:pt idx="2">
                  <c:v>34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7-4F65-8BB0-7731FD3BF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145512"/>
        <c:axId val="207278544"/>
      </c:barChart>
      <c:catAx>
        <c:axId val="20914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7278544"/>
        <c:crosses val="autoZero"/>
        <c:auto val="1"/>
        <c:lblAlgn val="ctr"/>
        <c:lblOffset val="100"/>
        <c:noMultiLvlLbl val="0"/>
      </c:catAx>
      <c:valAx>
        <c:axId val="20727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CUMPLIMIENTO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145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203602637380302E-2"/>
          <c:y val="0.10791329945610875"/>
          <c:w val="0.95400177566504374"/>
          <c:h val="0.57591523678133472"/>
        </c:manualLayout>
      </c:layout>
      <c:lineChart>
        <c:grouping val="standard"/>
        <c:varyColors val="0"/>
        <c:ser>
          <c:idx val="0"/>
          <c:order val="0"/>
          <c:tx>
            <c:strRef>
              <c:f>'Curva de Avance Obj'!$C$4</c:f>
              <c:strCache>
                <c:ptCount val="1"/>
                <c:pt idx="0">
                  <c:v>CURVA ESTIMADA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glow>
                <a:schemeClr val="accent1">
                  <a:lumMod val="50000"/>
                  <a:alpha val="40000"/>
                </a:schemeClr>
              </a:glow>
              <a:outerShdw blurRad="50800" dist="50800" dir="1200000" algn="ctr" rotWithShape="0">
                <a:schemeClr val="accent1">
                  <a:lumMod val="5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lumMod val="50000"/>
                    <a:alpha val="40000"/>
                  </a:schemeClr>
                </a:glow>
                <a:outerShdw blurRad="50800" dist="50800" dir="1200000" algn="ctr" rotWithShape="0">
                  <a:schemeClr val="accent1">
                    <a:lumMod val="50000"/>
                  </a:schemeClr>
                </a:outerShdw>
              </a:effectLst>
              <a:scene3d>
                <a:camera prst="orthographicFront"/>
                <a:lightRig rig="freezing" dir="t"/>
              </a:scene3d>
              <a:sp3d>
                <a:bevelT prst="angle"/>
                <a:bevelB prst="angle"/>
              </a:sp3d>
            </c:spPr>
          </c:marker>
          <c:cat>
            <c:strRef>
              <c:f>'Curva de Avance Obj'!$B$5:$B$16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'Curva de Avance Obj'!$C$5:$C$16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28</c:v>
                </c:pt>
                <c:pt idx="3">
                  <c:v>38</c:v>
                </c:pt>
                <c:pt idx="4">
                  <c:v>49</c:v>
                </c:pt>
                <c:pt idx="5">
                  <c:v>59</c:v>
                </c:pt>
                <c:pt idx="6">
                  <c:v>67</c:v>
                </c:pt>
                <c:pt idx="7">
                  <c:v>77</c:v>
                </c:pt>
                <c:pt idx="8">
                  <c:v>82</c:v>
                </c:pt>
                <c:pt idx="9">
                  <c:v>90</c:v>
                </c:pt>
                <c:pt idx="10">
                  <c:v>94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B-41BC-866F-FCD7A0D0128D}"/>
            </c:ext>
          </c:extLst>
        </c:ser>
        <c:ser>
          <c:idx val="1"/>
          <c:order val="1"/>
          <c:tx>
            <c:strRef>
              <c:f>'Curva de Avance Obj'!$D$4</c:f>
              <c:strCache>
                <c:ptCount val="1"/>
                <c:pt idx="0">
                  <c:v>CURVA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'Curva de Avance Obj'!$B$5:$B$16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'Curva de Avance Obj'!$D$5:$D$16</c:f>
              <c:numCache>
                <c:formatCode>General</c:formatCode>
                <c:ptCount val="12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B-41BC-866F-FCD7A0D01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55024"/>
        <c:axId val="209255416"/>
      </c:lineChart>
      <c:catAx>
        <c:axId val="20925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55416"/>
        <c:crosses val="autoZero"/>
        <c:auto val="1"/>
        <c:lblAlgn val="ctr"/>
        <c:lblOffset val="100"/>
        <c:noMultiLvlLbl val="0"/>
      </c:catAx>
      <c:valAx>
        <c:axId val="20925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55024"/>
        <c:crosses val="autoZero"/>
        <c:crossBetween val="between"/>
      </c:valAx>
      <c:spPr>
        <a:gradFill flip="none" rotWithShape="1">
          <a:gsLst>
            <a:gs pos="0">
              <a:schemeClr val="tx1">
                <a:lumMod val="65000"/>
                <a:lumOff val="35000"/>
              </a:schemeClr>
            </a:gs>
            <a:gs pos="10000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472244017725643E-2"/>
          <c:y val="0.93250604216249366"/>
          <c:w val="0.95524724210850709"/>
          <c:h val="5.221435003816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>
      <a:gsLst>
        <a:gs pos="0">
          <a:schemeClr val="tx1">
            <a:lumMod val="65000"/>
            <a:lumOff val="35000"/>
          </a:schemeClr>
        </a:gs>
        <a:gs pos="100000">
          <a:schemeClr val="tx1">
            <a:lumMod val="85000"/>
            <a:lumOff val="15000"/>
          </a:schemeClr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 sz="800" b="1"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200"/>
              <a:t>TIEMPO PERDIDO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1799147410108299E-3"/>
          <c:y val="0.2428002364161897"/>
          <c:w val="0.84777110527766786"/>
          <c:h val="0.5591174296586800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EB2-4C7F-A1D1-42B7C29A9B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B51-40B2-9689-7649B81365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FB51-40B2-9689-7649B81365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B51-40B2-9689-7649B81365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EB2-4C7F-A1D1-42B7C29A9B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FB51-40B2-9689-7649B81365C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6EB2-4C7F-A1D1-42B7C29A9B08}"/>
              </c:ext>
            </c:extLst>
          </c:dPt>
          <c:dLbls>
            <c:dLbl>
              <c:idx val="1"/>
              <c:layout>
                <c:manualLayout>
                  <c:x val="3.3799221647674189E-2"/>
                  <c:y val="-5.771261553337643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51-40B2-9689-7649B81365C5}"/>
                </c:ext>
              </c:extLst>
            </c:dLbl>
            <c:dLbl>
              <c:idx val="2"/>
              <c:layout>
                <c:manualLayout>
                  <c:x val="0.2043223395112313"/>
                  <c:y val="-0.2167869374272042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B51-40B2-9689-7649B81365C5}"/>
                </c:ext>
              </c:extLst>
            </c:dLbl>
            <c:dLbl>
              <c:idx val="3"/>
              <c:layout>
                <c:manualLayout>
                  <c:x val="7.0244155933151906E-2"/>
                  <c:y val="-9.047892784564005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B51-40B2-9689-7649B81365C5}"/>
                </c:ext>
              </c:extLst>
            </c:dLbl>
            <c:dLbl>
              <c:idx val="5"/>
              <c:layout>
                <c:manualLayout>
                  <c:x val="0.10513010133427747"/>
                  <c:y val="4.154170189584039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B51-40B2-9689-7649B81365C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'Formato Reporte Mensual'!$E$78:$E$84</c:f>
              <c:numCache>
                <c:formatCode>General</c:formatCode>
                <c:ptCount val="7"/>
                <c:pt idx="0">
                  <c:v>160</c:v>
                </c:pt>
                <c:pt idx="1">
                  <c:v>15</c:v>
                </c:pt>
                <c:pt idx="2">
                  <c:v>4</c:v>
                </c:pt>
                <c:pt idx="3">
                  <c:v>48</c:v>
                </c:pt>
                <c:pt idx="4">
                  <c:v>1</c:v>
                </c:pt>
                <c:pt idx="5">
                  <c:v>80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1-40B2-9689-7649B81365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203602637380302E-2"/>
          <c:y val="0.10791329945610875"/>
          <c:w val="0.95400177566504374"/>
          <c:h val="0.57553589743589739"/>
        </c:manualLayout>
      </c:layout>
      <c:lineChart>
        <c:grouping val="standard"/>
        <c:varyColors val="0"/>
        <c:ser>
          <c:idx val="0"/>
          <c:order val="0"/>
          <c:tx>
            <c:strRef>
              <c:f>'Curva de Avance Plan'!$C$4</c:f>
              <c:strCache>
                <c:ptCount val="1"/>
                <c:pt idx="0">
                  <c:v>CURVA ESTIMADA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glow>
                <a:schemeClr val="accent1">
                  <a:lumMod val="50000"/>
                  <a:alpha val="40000"/>
                </a:schemeClr>
              </a:glow>
              <a:outerShdw blurRad="50800" dist="50800" dir="1200000" algn="ctr" rotWithShape="0">
                <a:schemeClr val="accent1">
                  <a:lumMod val="5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lumMod val="50000"/>
                    <a:alpha val="40000"/>
                  </a:schemeClr>
                </a:glow>
                <a:outerShdw blurRad="50800" dist="50800" dir="1200000" algn="ctr" rotWithShape="0">
                  <a:schemeClr val="accent1">
                    <a:lumMod val="50000"/>
                  </a:schemeClr>
                </a:outerShdw>
              </a:effectLst>
              <a:scene3d>
                <a:camera prst="orthographicFront"/>
                <a:lightRig rig="freezing" dir="t"/>
              </a:scene3d>
              <a:sp3d>
                <a:bevelT prst="angle"/>
                <a:bevelB prst="angle"/>
              </a:sp3d>
            </c:spPr>
          </c:marker>
          <c:cat>
            <c:strRef>
              <c:f>'Curva de Avance Plan'!$B$5:$B$16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'Curva de Avance Plan'!$C$5:$C$16</c:f>
              <c:numCache>
                <c:formatCode>General</c:formatCode>
                <c:ptCount val="12"/>
                <c:pt idx="0">
                  <c:v>12</c:v>
                </c:pt>
                <c:pt idx="1">
                  <c:v>15</c:v>
                </c:pt>
                <c:pt idx="2">
                  <c:v>22</c:v>
                </c:pt>
                <c:pt idx="3">
                  <c:v>30</c:v>
                </c:pt>
                <c:pt idx="4">
                  <c:v>40</c:v>
                </c:pt>
                <c:pt idx="5">
                  <c:v>49</c:v>
                </c:pt>
                <c:pt idx="6">
                  <c:v>57</c:v>
                </c:pt>
                <c:pt idx="7">
                  <c:v>67</c:v>
                </c:pt>
                <c:pt idx="8">
                  <c:v>74</c:v>
                </c:pt>
                <c:pt idx="9">
                  <c:v>87</c:v>
                </c:pt>
                <c:pt idx="10">
                  <c:v>93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A-4DE4-8D99-2480BDC691B5}"/>
            </c:ext>
          </c:extLst>
        </c:ser>
        <c:ser>
          <c:idx val="1"/>
          <c:order val="1"/>
          <c:tx>
            <c:strRef>
              <c:f>'Curva de Avance Plan'!$D$4</c:f>
              <c:strCache>
                <c:ptCount val="1"/>
                <c:pt idx="0">
                  <c:v>CURVA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'Curva de Avance Plan'!$B$5:$B$16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'Curva de Avance Plan'!$D$5:$D$16</c:f>
              <c:numCache>
                <c:formatCode>General</c:formatCode>
                <c:ptCount val="12"/>
                <c:pt idx="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4A-4DE4-8D99-2480BDC69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54632"/>
        <c:axId val="209254240"/>
      </c:lineChart>
      <c:catAx>
        <c:axId val="20925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54240"/>
        <c:crosses val="autoZero"/>
        <c:auto val="1"/>
        <c:lblAlgn val="ctr"/>
        <c:lblOffset val="100"/>
        <c:noMultiLvlLbl val="0"/>
      </c:catAx>
      <c:valAx>
        <c:axId val="2092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54632"/>
        <c:crosses val="autoZero"/>
        <c:crossBetween val="between"/>
      </c:valAx>
      <c:spPr>
        <a:gradFill flip="none" rotWithShape="1">
          <a:gsLst>
            <a:gs pos="0">
              <a:schemeClr val="tx1">
                <a:lumMod val="65000"/>
                <a:lumOff val="35000"/>
              </a:schemeClr>
            </a:gs>
            <a:gs pos="10000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5694783197831989E-2"/>
          <c:y val="0.93250604216249366"/>
          <c:w val="0.96569410569105696"/>
          <c:h val="5.221435003816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>
      <a:gsLst>
        <a:gs pos="0">
          <a:schemeClr val="tx1">
            <a:lumMod val="65000"/>
            <a:lumOff val="35000"/>
          </a:schemeClr>
        </a:gs>
        <a:gs pos="100000">
          <a:schemeClr val="tx1">
            <a:lumMod val="85000"/>
            <a:lumOff val="15000"/>
          </a:schemeClr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 sz="800" b="1"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203602637380302E-2"/>
          <c:y val="0.10791329945610875"/>
          <c:w val="0.95400177566504374"/>
          <c:h val="0.57591523678133472"/>
        </c:manualLayout>
      </c:layout>
      <c:lineChart>
        <c:grouping val="standard"/>
        <c:varyColors val="0"/>
        <c:ser>
          <c:idx val="0"/>
          <c:order val="0"/>
          <c:tx>
            <c:strRef>
              <c:f>'Curva de Avance Obj'!$C$4</c:f>
              <c:strCache>
                <c:ptCount val="1"/>
                <c:pt idx="0">
                  <c:v>CURVA ESTIMADA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glow>
                <a:schemeClr val="accent1">
                  <a:lumMod val="50000"/>
                  <a:alpha val="40000"/>
                </a:schemeClr>
              </a:glow>
              <a:outerShdw blurRad="50800" dist="50800" dir="1200000" algn="ctr" rotWithShape="0">
                <a:schemeClr val="accent1">
                  <a:lumMod val="5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lumMod val="50000"/>
                    <a:alpha val="40000"/>
                  </a:schemeClr>
                </a:glow>
                <a:outerShdw blurRad="50800" dist="50800" dir="1200000" algn="ctr" rotWithShape="0">
                  <a:schemeClr val="accent1">
                    <a:lumMod val="50000"/>
                  </a:schemeClr>
                </a:outerShdw>
              </a:effectLst>
              <a:scene3d>
                <a:camera prst="orthographicFront"/>
                <a:lightRig rig="freezing" dir="t"/>
              </a:scene3d>
              <a:sp3d>
                <a:bevelT prst="angle"/>
                <a:bevelB prst="angle"/>
              </a:sp3d>
            </c:spPr>
          </c:marker>
          <c:cat>
            <c:strRef>
              <c:f>'Curva de Avance Obj'!$B$5:$B$16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'Curva de Avance Obj'!$C$5:$C$16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28</c:v>
                </c:pt>
                <c:pt idx="3">
                  <c:v>38</c:v>
                </c:pt>
                <c:pt idx="4">
                  <c:v>49</c:v>
                </c:pt>
                <c:pt idx="5">
                  <c:v>59</c:v>
                </c:pt>
                <c:pt idx="6">
                  <c:v>67</c:v>
                </c:pt>
                <c:pt idx="7">
                  <c:v>77</c:v>
                </c:pt>
                <c:pt idx="8">
                  <c:v>82</c:v>
                </c:pt>
                <c:pt idx="9">
                  <c:v>90</c:v>
                </c:pt>
                <c:pt idx="10">
                  <c:v>94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8-43F3-9580-74BDD5EF6F18}"/>
            </c:ext>
          </c:extLst>
        </c:ser>
        <c:ser>
          <c:idx val="1"/>
          <c:order val="1"/>
          <c:tx>
            <c:strRef>
              <c:f>'Curva de Avance Obj'!$D$4</c:f>
              <c:strCache>
                <c:ptCount val="1"/>
                <c:pt idx="0">
                  <c:v>CURVA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'Curva de Avance Obj'!$B$5:$B$16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'Curva de Avance Obj'!$D$5:$D$16</c:f>
              <c:numCache>
                <c:formatCode>General</c:formatCode>
                <c:ptCount val="12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F8-43F3-9580-74BDD5EF6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57376"/>
        <c:axId val="209257768"/>
      </c:lineChart>
      <c:catAx>
        <c:axId val="20925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57768"/>
        <c:crosses val="autoZero"/>
        <c:auto val="1"/>
        <c:lblAlgn val="ctr"/>
        <c:lblOffset val="100"/>
        <c:noMultiLvlLbl val="0"/>
      </c:catAx>
      <c:valAx>
        <c:axId val="20925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57376"/>
        <c:crosses val="autoZero"/>
        <c:crossBetween val="between"/>
      </c:valAx>
      <c:spPr>
        <a:gradFill flip="none" rotWithShape="1">
          <a:gsLst>
            <a:gs pos="0">
              <a:schemeClr val="tx1">
                <a:lumMod val="65000"/>
                <a:lumOff val="35000"/>
              </a:schemeClr>
            </a:gs>
            <a:gs pos="10000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472244017725643E-2"/>
          <c:y val="0.93250604216249366"/>
          <c:w val="0.95524724210850709"/>
          <c:h val="5.221435003816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>
      <a:gsLst>
        <a:gs pos="0">
          <a:schemeClr val="tx1">
            <a:lumMod val="65000"/>
            <a:lumOff val="35000"/>
          </a:schemeClr>
        </a:gs>
        <a:gs pos="100000">
          <a:schemeClr val="tx1">
            <a:lumMod val="85000"/>
            <a:lumOff val="15000"/>
          </a:schemeClr>
        </a:gs>
      </a:gsLst>
      <a:lin ang="16200000" scaled="1"/>
    </a:gradFill>
    <a:ln w="9525" cap="flat" cmpd="sng" algn="ctr">
      <a:noFill/>
      <a:round/>
    </a:ln>
    <a:effectLst/>
  </c:spPr>
  <c:txPr>
    <a:bodyPr/>
    <a:lstStyle/>
    <a:p>
      <a:pPr>
        <a:defRPr sz="800" b="1"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Objetivos</a:t>
            </a:r>
          </a:p>
        </c:rich>
      </c:tx>
      <c:layout>
        <c:manualLayout>
          <c:xMode val="edge"/>
          <c:yMode val="edge"/>
          <c:x val="0.43246815578343656"/>
          <c:y val="1.8973536647311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4384040404040405"/>
          <c:y val="0.13791614255765197"/>
          <c:w val="0.82088181818181816"/>
          <c:h val="0.527958825931496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'% Avance Objetivos'!$E$3:$F$3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cat>
            <c:multiLvlStrRef>
              <c:f>'% Avance Objetivos'!$B$5:$C$20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3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Adicional</c:v>
                  </c:pt>
                </c:lvl>
              </c:multiLvlStrCache>
            </c:multiLvlStrRef>
          </c:cat>
          <c:val>
            <c:numRef>
              <c:f>'% Avance Objetivos'!$F$5:$F$20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  <c:pt idx="4">
                  <c:v>37</c:v>
                </c:pt>
                <c:pt idx="5">
                  <c:v>12</c:v>
                </c:pt>
                <c:pt idx="6">
                  <c:v>0</c:v>
                </c:pt>
                <c:pt idx="7">
                  <c:v>30</c:v>
                </c:pt>
                <c:pt idx="8">
                  <c:v>9</c:v>
                </c:pt>
                <c:pt idx="9">
                  <c:v>100</c:v>
                </c:pt>
                <c:pt idx="10">
                  <c:v>0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1-4FA7-87B9-F0DA1AEA7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600136"/>
        <c:axId val="209600528"/>
      </c:barChart>
      <c:catAx>
        <c:axId val="209600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OBJETIVOS / ACTIVIDAD</a:t>
                </a:r>
              </a:p>
            </c:rich>
          </c:tx>
          <c:layout>
            <c:manualLayout>
              <c:xMode val="edge"/>
              <c:yMode val="edge"/>
              <c:x val="0.41636549726638611"/>
              <c:y val="0.88206876288557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600528"/>
        <c:crosses val="autoZero"/>
        <c:auto val="1"/>
        <c:lblAlgn val="ctr"/>
        <c:lblOffset val="100"/>
        <c:noMultiLvlLbl val="0"/>
      </c:catAx>
      <c:valAx>
        <c:axId val="20960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CUMPLIMIENTO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600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 de Remediación</a:t>
            </a:r>
          </a:p>
        </c:rich>
      </c:tx>
      <c:layout>
        <c:manualLayout>
          <c:xMode val="edge"/>
          <c:yMode val="edge"/>
          <c:x val="0.12682734979209331"/>
          <c:y val="1.264902443154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37399436258690683"/>
          <c:y val="0.13104389311076359"/>
          <c:w val="0.53428113134332078"/>
          <c:h val="0.52775813471709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'% Avance Objetivos'!$E$3:$F$3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cat>
            <c:multiLvlStrRef>
              <c:f>'% Avance Objetivos'!$B$22:$C$25</c:f>
              <c:multiLvlStrCache>
                <c:ptCount val="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  <c:lvl>
                  <c:pt idx="0">
                    <c:v>PLAN REMEDIACIÓN</c:v>
                  </c:pt>
                </c:lvl>
              </c:multiLvlStrCache>
            </c:multiLvlStrRef>
          </c:cat>
          <c:val>
            <c:numRef>
              <c:f>'% Avance Objetivos'!$F$22:$F$25</c:f>
              <c:numCache>
                <c:formatCode>General</c:formatCode>
                <c:ptCount val="4"/>
                <c:pt idx="0">
                  <c:v>60</c:v>
                </c:pt>
                <c:pt idx="1">
                  <c:v>0</c:v>
                </c:pt>
                <c:pt idx="2">
                  <c:v>34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D-4D92-8DD8-CF0A01D3D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600920"/>
        <c:axId val="209601312"/>
      </c:barChart>
      <c:catAx>
        <c:axId val="20960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601312"/>
        <c:crosses val="autoZero"/>
        <c:auto val="1"/>
        <c:lblAlgn val="ctr"/>
        <c:lblOffset val="100"/>
        <c:noMultiLvlLbl val="0"/>
      </c:catAx>
      <c:valAx>
        <c:axId val="2096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CUMPLIMIENTO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600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1">
            <a:shade val="30000"/>
            <a:satMod val="115000"/>
          </a:schemeClr>
        </a:gs>
        <a:gs pos="50000">
          <a:schemeClr val="accent1">
            <a:shade val="67500"/>
            <a:satMod val="115000"/>
          </a:schemeClr>
        </a:gs>
        <a:gs pos="100000">
          <a:schemeClr val="accent1">
            <a:shade val="100000"/>
            <a:satMod val="115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Tiempo Perdido</a:t>
            </a:r>
          </a:p>
        </c:rich>
      </c:tx>
      <c:layout>
        <c:manualLayout>
          <c:xMode val="edge"/>
          <c:yMode val="edge"/>
          <c:x val="0.37339399450249455"/>
          <c:y val="1.7450919860429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6.5593686533968187E-2"/>
          <c:y val="0.10177252703997119"/>
          <c:w val="0.90235816457044615"/>
          <c:h val="0.62469209039548035"/>
        </c:manualLayout>
      </c:layout>
      <c:lineChart>
        <c:grouping val="standard"/>
        <c:varyColors val="0"/>
        <c:ser>
          <c:idx val="0"/>
          <c:order val="0"/>
          <c:tx>
            <c:strRef>
              <c:f>'Gráfico Tiempo Perdido'!$B$5</c:f>
              <c:strCache>
                <c:ptCount val="1"/>
                <c:pt idx="0">
                  <c:v>Falla de Plataforma Comunicación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'Gráfico Tiempo Perdido'!$C$5:$BB$5</c:f>
              <c:numCache>
                <c:formatCode>0</c:formatCode>
                <c:ptCount val="52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BE-4C8A-BE44-F8B02C48CB8F}"/>
            </c:ext>
          </c:extLst>
        </c:ser>
        <c:ser>
          <c:idx val="1"/>
          <c:order val="1"/>
          <c:tx>
            <c:strRef>
              <c:f>'Gráfico Tiempo Perdido'!$B$6</c:f>
              <c:strCache>
                <c:ptCount val="1"/>
                <c:pt idx="0">
                  <c:v>Falla de Energia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'Gráfico Tiempo Perdido'!$C$6:$BB$6</c:f>
              <c:numCache>
                <c:formatCode>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BE-4C8A-BE44-F8B02C48CB8F}"/>
            </c:ext>
          </c:extLst>
        </c:ser>
        <c:ser>
          <c:idx val="2"/>
          <c:order val="2"/>
          <c:tx>
            <c:strRef>
              <c:f>'Gráfico Tiempo Perdido'!$B$7</c:f>
              <c:strCache>
                <c:ptCount val="1"/>
                <c:pt idx="0">
                  <c:v>Ausencia Personal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'Gráfico Tiempo Perdido'!$C$7:$BB$7</c:f>
              <c:numCache>
                <c:formatCode>0</c:formatCode>
                <c:ptCount val="52"/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B-4CD1-B0E4-F1CCF1703E54}"/>
            </c:ext>
          </c:extLst>
        </c:ser>
        <c:ser>
          <c:idx val="3"/>
          <c:order val="3"/>
          <c:tx>
            <c:strRef>
              <c:f>'Gráfico Tiempo Perdido'!$B$8</c:f>
              <c:strCache>
                <c:ptCount val="1"/>
                <c:pt idx="0">
                  <c:v>Vacaciones Personal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'Gráfico Tiempo Perdido'!$C$8:$BB$8</c:f>
              <c:numCache>
                <c:formatCode>0</c:formatCode>
                <c:ptCount val="52"/>
                <c:pt idx="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2B-4CD1-B0E4-F1CCF1703E54}"/>
            </c:ext>
          </c:extLst>
        </c:ser>
        <c:ser>
          <c:idx val="4"/>
          <c:order val="4"/>
          <c:tx>
            <c:strRef>
              <c:f>'Gráfico Tiempo Perdido'!$B$9</c:f>
              <c:strCache>
                <c:ptCount val="1"/>
                <c:pt idx="0">
                  <c:v>Falla Sistema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'Gráfico Tiempo Perdido'!$C$9:$BB$9</c:f>
              <c:numCache>
                <c:formatCode>0</c:formatCode>
                <c:ptCount val="52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2B-4CD1-B0E4-F1CCF1703E54}"/>
            </c:ext>
          </c:extLst>
        </c:ser>
        <c:ser>
          <c:idx val="5"/>
          <c:order val="5"/>
          <c:tx>
            <c:strRef>
              <c:f>'Gráfico Tiempo Perdido'!$B$10</c:f>
              <c:strCache>
                <c:ptCount val="1"/>
                <c:pt idx="0">
                  <c:v>Permisos No Remunerado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'Gráfico Tiempo Perdido'!$C$10:$BB$10</c:f>
              <c:numCache>
                <c:formatCode>0</c:formatCode>
                <c:ptCount val="52"/>
                <c:pt idx="0">
                  <c:v>0</c:v>
                </c:pt>
                <c:pt idx="1">
                  <c:v>40</c:v>
                </c:pt>
                <c:pt idx="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2B-4CD1-B0E4-F1CCF1703E54}"/>
            </c:ext>
          </c:extLst>
        </c:ser>
        <c:ser>
          <c:idx val="6"/>
          <c:order val="6"/>
          <c:tx>
            <c:strRef>
              <c:f>'Gráfico Tiempo Perdido'!$B$11</c:f>
              <c:strCache>
                <c:ptCount val="1"/>
                <c:pt idx="0">
                  <c:v>Feriados / No laborables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'Gráfico Tiempo Perdido'!$C$11:$BB$11</c:f>
              <c:numCache>
                <c:formatCode>0</c:formatCode>
                <c:ptCount val="52"/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2B-4CD1-B0E4-F1CCF1703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02096"/>
        <c:axId val="209602488"/>
      </c:lineChart>
      <c:catAx>
        <c:axId val="209602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602488"/>
        <c:crosses val="autoZero"/>
        <c:auto val="1"/>
        <c:lblAlgn val="ctr"/>
        <c:lblOffset val="100"/>
        <c:noMultiLvlLbl val="0"/>
      </c:catAx>
      <c:valAx>
        <c:axId val="20960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60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317209344784897E-2"/>
          <c:y val="0.83159285562089369"/>
          <c:w val="0.87127125765720526"/>
          <c:h val="0.149372088068025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bg1"/>
        </a:gs>
        <a:gs pos="34000">
          <a:schemeClr val="bg1">
            <a:lumMod val="95000"/>
          </a:schemeClr>
        </a:gs>
        <a:gs pos="72000">
          <a:schemeClr val="bg1">
            <a:lumMod val="85000"/>
          </a:schemeClr>
        </a:gs>
        <a:gs pos="100000">
          <a:schemeClr val="bg1">
            <a:lumMod val="75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>
              <a:lumMod val="75000"/>
              <a:lumOff val="25000"/>
            </a:schemeClr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'Gráfico Tiempo Perdido'!$B$4</c:f>
              <c:strCache>
                <c:ptCount val="1"/>
                <c:pt idx="0">
                  <c:v>Motivo</c:v>
                </c:pt>
              </c:strCache>
            </c:strRef>
          </c:tx>
          <c:spPr>
            <a:scene3d>
              <a:camera prst="orthographicFront"/>
              <a:lightRig rig="glow" dir="t">
                <a:rot lat="0" lon="0" rev="4800000"/>
              </a:lightRig>
            </a:scene3d>
            <a:sp3d prstMaterial="matte">
              <a:bevelT w="127000" h="63500"/>
            </a:sp3d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glow" dir="t">
                  <a:rot lat="0" lon="0" rev="4800000"/>
                </a:lightRig>
              </a:scene3d>
              <a:sp3d prstMaterial="matte">
                <a:bevelT w="127000" h="63500"/>
              </a:sp3d>
            </c:spPr>
            <c:extLst>
              <c:ext xmlns:c16="http://schemas.microsoft.com/office/drawing/2014/chart" uri="{C3380CC4-5D6E-409C-BE32-E72D297353CC}">
                <c16:uniqueId val="{00000001-463B-496E-9632-7239C2AD858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glow" dir="t">
                  <a:rot lat="0" lon="0" rev="4800000"/>
                </a:lightRig>
              </a:scene3d>
              <a:sp3d prstMaterial="matte">
                <a:bevelT w="127000" h="63500"/>
              </a:sp3d>
            </c:spPr>
            <c:extLst>
              <c:ext xmlns:c16="http://schemas.microsoft.com/office/drawing/2014/chart" uri="{C3380CC4-5D6E-409C-BE32-E72D297353CC}">
                <c16:uniqueId val="{00000003-463B-496E-9632-7239C2AD858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glow" dir="t">
                  <a:rot lat="0" lon="0" rev="4800000"/>
                </a:lightRig>
              </a:scene3d>
              <a:sp3d prstMaterial="matte">
                <a:bevelT w="127000" h="63500"/>
              </a:sp3d>
            </c:spPr>
            <c:extLst>
              <c:ext xmlns:c16="http://schemas.microsoft.com/office/drawing/2014/chart" uri="{C3380CC4-5D6E-409C-BE32-E72D297353CC}">
                <c16:uniqueId val="{00000005-87B3-4129-82B0-DF00C6E2578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glow" dir="t">
                  <a:rot lat="0" lon="0" rev="4800000"/>
                </a:lightRig>
              </a:scene3d>
              <a:sp3d prstMaterial="matte">
                <a:bevelT w="127000" h="63500"/>
              </a:sp3d>
            </c:spPr>
            <c:extLst>
              <c:ext xmlns:c16="http://schemas.microsoft.com/office/drawing/2014/chart" uri="{C3380CC4-5D6E-409C-BE32-E72D297353CC}">
                <c16:uniqueId val="{00000007-87B3-4129-82B0-DF00C6E2578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glow" dir="t">
                  <a:rot lat="0" lon="0" rev="4800000"/>
                </a:lightRig>
              </a:scene3d>
              <a:sp3d prstMaterial="matte">
                <a:bevelT w="127000" h="63500"/>
              </a:sp3d>
            </c:spPr>
            <c:extLst>
              <c:ext xmlns:c16="http://schemas.microsoft.com/office/drawing/2014/chart" uri="{C3380CC4-5D6E-409C-BE32-E72D297353CC}">
                <c16:uniqueId val="{00000009-87B3-4129-82B0-DF00C6E2578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glow" dir="t">
                  <a:rot lat="0" lon="0" rev="4800000"/>
                </a:lightRig>
              </a:scene3d>
              <a:sp3d prstMaterial="matte">
                <a:bevelT w="127000" h="63500"/>
              </a:sp3d>
            </c:spPr>
            <c:extLst>
              <c:ext xmlns:c16="http://schemas.microsoft.com/office/drawing/2014/chart" uri="{C3380CC4-5D6E-409C-BE32-E72D297353CC}">
                <c16:uniqueId val="{0000000B-87B3-4129-82B0-DF00C6E2578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glow" dir="t">
                  <a:rot lat="0" lon="0" rev="4800000"/>
                </a:lightRig>
              </a:scene3d>
              <a:sp3d prstMaterial="matte">
                <a:bevelT w="127000" h="63500"/>
              </a:sp3d>
            </c:spPr>
            <c:extLst>
              <c:ext xmlns:c16="http://schemas.microsoft.com/office/drawing/2014/chart" uri="{C3380CC4-5D6E-409C-BE32-E72D297353CC}">
                <c16:uniqueId val="{0000000D-87B3-4129-82B0-DF00C6E257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Tiempo Perdido'!$B$5:$B$11</c:f>
              <c:strCache>
                <c:ptCount val="7"/>
                <c:pt idx="0">
                  <c:v>Falla de Plataforma Comunicación</c:v>
                </c:pt>
                <c:pt idx="1">
                  <c:v>Falla de Energia</c:v>
                </c:pt>
                <c:pt idx="2">
                  <c:v>Ausencia Personal</c:v>
                </c:pt>
                <c:pt idx="3">
                  <c:v>Vacaciones Personal</c:v>
                </c:pt>
                <c:pt idx="4">
                  <c:v>Falla Sistema</c:v>
                </c:pt>
                <c:pt idx="5">
                  <c:v>Permisos No Remunerado</c:v>
                </c:pt>
                <c:pt idx="6">
                  <c:v>Feriados / No laborables</c:v>
                </c:pt>
              </c:strCache>
            </c:strRef>
          </c:cat>
          <c:val>
            <c:numRef>
              <c:f>'Gráfico Tiempo Perdido'!$BC$5:$BC$11</c:f>
              <c:numCache>
                <c:formatCode>0</c:formatCode>
                <c:ptCount val="7"/>
                <c:pt idx="0">
                  <c:v>160</c:v>
                </c:pt>
                <c:pt idx="1">
                  <c:v>15</c:v>
                </c:pt>
                <c:pt idx="2">
                  <c:v>8</c:v>
                </c:pt>
                <c:pt idx="3">
                  <c:v>48</c:v>
                </c:pt>
                <c:pt idx="4">
                  <c:v>1</c:v>
                </c:pt>
                <c:pt idx="5">
                  <c:v>80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52F-9F03-BE6923BFC68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803710325111103E-2"/>
          <c:y val="0.81839090343214871"/>
          <c:w val="0.97441379122312977"/>
          <c:h val="0.153121571075815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</c:spPr>
  <c:txPr>
    <a:bodyPr/>
    <a:lstStyle/>
    <a:p>
      <a:pPr>
        <a:defRPr sz="900">
          <a:solidFill>
            <a:sysClr val="windowText" lastClr="000000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36635</xdr:colOff>
      <xdr:row>60</xdr:row>
      <xdr:rowOff>36635</xdr:rowOff>
    </xdr:from>
    <xdr:to>
      <xdr:col>8</xdr:col>
      <xdr:colOff>3727</xdr:colOff>
      <xdr:row>75</xdr:row>
      <xdr:rowOff>7327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52180</xdr:colOff>
      <xdr:row>4</xdr:row>
      <xdr:rowOff>85725</xdr:rowOff>
    </xdr:from>
    <xdr:to>
      <xdr:col>5</xdr:col>
      <xdr:colOff>862330</xdr:colOff>
      <xdr:row>19</xdr:row>
      <xdr:rowOff>139725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28574</xdr:colOff>
      <xdr:row>22</xdr:row>
      <xdr:rowOff>47625</xdr:rowOff>
    </xdr:from>
    <xdr:to>
      <xdr:col>7</xdr:col>
      <xdr:colOff>26624</xdr:colOff>
      <xdr:row>35</xdr:row>
      <xdr:rowOff>82425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79851</xdr:colOff>
      <xdr:row>22</xdr:row>
      <xdr:rowOff>47625</xdr:rowOff>
    </xdr:from>
    <xdr:to>
      <xdr:col>8</xdr:col>
      <xdr:colOff>44751</xdr:colOff>
      <xdr:row>35</xdr:row>
      <xdr:rowOff>74485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904875</xdr:colOff>
      <xdr:row>4</xdr:row>
      <xdr:rowOff>85725</xdr:rowOff>
    </xdr:from>
    <xdr:to>
      <xdr:col>8</xdr:col>
      <xdr:colOff>57675</xdr:colOff>
      <xdr:row>19</xdr:row>
      <xdr:rowOff>139725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51287</xdr:colOff>
      <xdr:row>75</xdr:row>
      <xdr:rowOff>87923</xdr:rowOff>
    </xdr:from>
    <xdr:to>
      <xdr:col>7</xdr:col>
      <xdr:colOff>1802422</xdr:colOff>
      <xdr:row>85</xdr:row>
      <xdr:rowOff>7327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0.01814</cdr:x>
      <cdr:y>0.00403</cdr:y>
    </cdr:from>
    <cdr:to>
      <cdr:x>0.98971</cdr:x>
      <cdr:y>0.09316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53542" y="9430"/>
          <a:ext cx="2868082" cy="208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VE" sz="1000" b="1">
              <a:solidFill>
                <a:schemeClr val="bg1"/>
              </a:solidFill>
            </a:rPr>
            <a:t>CURVA</a:t>
          </a:r>
          <a:r>
            <a:rPr lang="es-VE" sz="1000" b="1" baseline="0">
              <a:solidFill>
                <a:schemeClr val="bg1"/>
              </a:solidFill>
            </a:rPr>
            <a:t> DE AVANCE PLAN DE REMEDIACIÓN</a:t>
          </a:r>
          <a:endParaRPr lang="es-VE" sz="1000" b="1">
            <a:solidFill>
              <a:schemeClr val="bg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0.17634</cdr:x>
      <cdr:y>0</cdr:y>
    </cdr:from>
    <cdr:to>
      <cdr:x>0.83543</cdr:x>
      <cdr:y>0.09285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521835" y="0"/>
          <a:ext cx="1950466" cy="217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VE" sz="1000" b="1">
              <a:solidFill>
                <a:schemeClr val="bg1"/>
              </a:solidFill>
            </a:rPr>
            <a:t>CURVA</a:t>
          </a:r>
          <a:r>
            <a:rPr lang="es-VE" sz="1000" b="1" baseline="0">
              <a:solidFill>
                <a:schemeClr val="bg1"/>
              </a:solidFill>
            </a:rPr>
            <a:t> DE AVANCE OBJETIVOS</a:t>
          </a:r>
          <a:endParaRPr lang="es-VE" sz="1000" b="1">
            <a:solidFill>
              <a:schemeClr val="bg1"/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106173</xdr:colOff>
      <xdr:row>3</xdr:row>
      <xdr:rowOff>8658</xdr:rowOff>
    </xdr:from>
    <xdr:to>
      <xdr:col>14</xdr:col>
      <xdr:colOff>495491</xdr:colOff>
      <xdr:row>16</xdr:row>
      <xdr:rowOff>45341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0.01814</cdr:x>
      <cdr:y>0.00403</cdr:y>
    </cdr:from>
    <cdr:to>
      <cdr:x>0.98971</cdr:x>
      <cdr:y>0.09316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53542" y="9430"/>
          <a:ext cx="2868082" cy="208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VE" sz="1000" b="1">
              <a:solidFill>
                <a:schemeClr val="bg1"/>
              </a:solidFill>
            </a:rPr>
            <a:t>CURVA</a:t>
          </a:r>
          <a:r>
            <a:rPr lang="es-VE" sz="1000" b="1" baseline="0">
              <a:solidFill>
                <a:schemeClr val="bg1"/>
              </a:solidFill>
            </a:rPr>
            <a:t> DE AVANCE PLAN DE REMEDIACIÓN</a:t>
          </a:r>
          <a:endParaRPr lang="es-VE" sz="1000" b="1">
            <a:solidFill>
              <a:schemeClr val="bg1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113500</xdr:colOff>
      <xdr:row>3</xdr:row>
      <xdr:rowOff>1</xdr:rowOff>
    </xdr:from>
    <xdr:to>
      <xdr:col>14</xdr:col>
      <xdr:colOff>502818</xdr:colOff>
      <xdr:row>16</xdr:row>
      <xdr:rowOff>36683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0.17634</cdr:x>
      <cdr:y>0</cdr:y>
    </cdr:from>
    <cdr:to>
      <cdr:x>0.83543</cdr:x>
      <cdr:y>0.09285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521835" y="0"/>
          <a:ext cx="1950466" cy="217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VE" sz="1000" b="1">
              <a:solidFill>
                <a:schemeClr val="bg1"/>
              </a:solidFill>
            </a:rPr>
            <a:t>CURVA</a:t>
          </a:r>
          <a:r>
            <a:rPr lang="es-VE" sz="1000" b="1" baseline="0">
              <a:solidFill>
                <a:schemeClr val="bg1"/>
              </a:solidFill>
            </a:rPr>
            <a:t> DE AVANCE OBJETIVOS</a:t>
          </a:r>
          <a:endParaRPr lang="es-VE" sz="10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18473</xdr:colOff>
      <xdr:row>2</xdr:row>
      <xdr:rowOff>113724</xdr:rowOff>
    </xdr:from>
    <xdr:to>
      <xdr:col>7</xdr:col>
      <xdr:colOff>361155</xdr:colOff>
      <xdr:row>15</xdr:row>
      <xdr:rowOff>95557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48102</xdr:colOff>
      <xdr:row>2</xdr:row>
      <xdr:rowOff>113724</xdr:rowOff>
    </xdr:from>
    <xdr:to>
      <xdr:col>10</xdr:col>
      <xdr:colOff>7806</xdr:colOff>
      <xdr:row>15</xdr:row>
      <xdr:rowOff>95557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86111</xdr:colOff>
      <xdr:row>14</xdr:row>
      <xdr:rowOff>78441</xdr:rowOff>
    </xdr:from>
    <xdr:to>
      <xdr:col>37</xdr:col>
      <xdr:colOff>100853</xdr:colOff>
      <xdr:row>37</xdr:row>
      <xdr:rowOff>112059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192895</xdr:colOff>
      <xdr:row>14</xdr:row>
      <xdr:rowOff>81793</xdr:rowOff>
    </xdr:from>
    <xdr:to>
      <xdr:col>56</xdr:col>
      <xdr:colOff>11205</xdr:colOff>
      <xdr:row>37</xdr:row>
      <xdr:rowOff>89648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showGridLines="0" view="pageLayout" topLeftCell="A43" zoomScaleNormal="130" zoomScaleSheetLayoutView="130" workbookViewId="0">
      <selection activeCell="A4" sqref="A4:I8"/>
    </sheetView>
  </sheetViews>
  <sheetFormatPr baseColWidth="10" defaultRowHeight="12" x14ac:dyDescent="0.2"/>
  <cols>
    <col min="1" max="1" width="1.42578125" style="7" customWidth="1"/>
    <col min="2" max="2" width="9.5703125" style="10" customWidth="1"/>
    <col min="3" max="3" width="4.7109375" style="10" customWidth="1"/>
    <col min="4" max="4" width="14.140625" style="2" customWidth="1"/>
    <col min="5" max="5" width="6.7109375" style="7" customWidth="1"/>
    <col min="6" max="6" width="25.42578125" style="7" customWidth="1"/>
    <col min="7" max="7" width="7" style="7" customWidth="1"/>
    <col min="8" max="8" width="27.140625" style="7" customWidth="1"/>
    <col min="9" max="9" width="1.42578125" style="7" customWidth="1"/>
    <col min="10" max="16384" width="11.42578125" style="7"/>
  </cols>
  <sheetData>
    <row r="1" spans="1:9" ht="18.75" customHeight="1" x14ac:dyDescent="0.25">
      <c r="A1" s="140" t="s">
        <v>57</v>
      </c>
      <c r="B1" s="141"/>
      <c r="C1" s="141"/>
      <c r="D1" s="141"/>
      <c r="E1" s="141"/>
      <c r="F1" s="141"/>
      <c r="G1" s="141"/>
      <c r="H1" s="141"/>
      <c r="I1" s="142"/>
    </row>
    <row r="2" spans="1:9" ht="10.5" customHeight="1" thickBot="1" x14ac:dyDescent="0.25">
      <c r="A2" s="137" t="s">
        <v>58</v>
      </c>
      <c r="B2" s="138"/>
      <c r="C2" s="138"/>
      <c r="D2" s="138"/>
      <c r="E2" s="138"/>
      <c r="F2" s="138"/>
      <c r="G2" s="138"/>
      <c r="H2" s="138"/>
      <c r="I2" s="139"/>
    </row>
    <row r="3" spans="1:9" s="1" customFormat="1" ht="11.25" customHeight="1" thickBot="1" x14ac:dyDescent="0.25">
      <c r="A3" s="98"/>
      <c r="B3" s="3"/>
      <c r="C3" s="3"/>
      <c r="D3" s="103"/>
      <c r="H3" s="115" t="s">
        <v>63</v>
      </c>
      <c r="I3" s="116"/>
    </row>
    <row r="4" spans="1:9" s="121" customFormat="1" ht="15" customHeight="1" thickBot="1" x14ac:dyDescent="0.3">
      <c r="A4" s="134" t="s">
        <v>49</v>
      </c>
      <c r="B4" s="135"/>
      <c r="C4" s="135"/>
      <c r="D4" s="135"/>
      <c r="E4" s="135"/>
      <c r="F4" s="135"/>
      <c r="G4" s="135"/>
      <c r="H4" s="135"/>
      <c r="I4" s="136"/>
    </row>
    <row r="5" spans="1:9" x14ac:dyDescent="0.2">
      <c r="A5" s="93"/>
      <c r="I5" s="117"/>
    </row>
    <row r="6" spans="1:9" x14ac:dyDescent="0.2">
      <c r="A6" s="93"/>
      <c r="I6" s="117"/>
    </row>
    <row r="7" spans="1:9" x14ac:dyDescent="0.2">
      <c r="A7" s="93"/>
      <c r="I7" s="117"/>
    </row>
    <row r="8" spans="1:9" x14ac:dyDescent="0.2">
      <c r="A8" s="93"/>
      <c r="I8" s="117"/>
    </row>
    <row r="9" spans="1:9" x14ac:dyDescent="0.2">
      <c r="A9" s="93"/>
      <c r="I9" s="117"/>
    </row>
    <row r="10" spans="1:9" x14ac:dyDescent="0.2">
      <c r="A10" s="93"/>
      <c r="I10" s="117"/>
    </row>
    <row r="11" spans="1:9" x14ac:dyDescent="0.2">
      <c r="A11" s="93"/>
      <c r="I11" s="117"/>
    </row>
    <row r="12" spans="1:9" x14ac:dyDescent="0.2">
      <c r="A12" s="93"/>
      <c r="I12" s="117"/>
    </row>
    <row r="13" spans="1:9" x14ac:dyDescent="0.2">
      <c r="A13" s="93"/>
      <c r="I13" s="117"/>
    </row>
    <row r="14" spans="1:9" x14ac:dyDescent="0.2">
      <c r="A14" s="93"/>
      <c r="I14" s="117"/>
    </row>
    <row r="15" spans="1:9" x14ac:dyDescent="0.2">
      <c r="A15" s="93"/>
      <c r="I15" s="117"/>
    </row>
    <row r="16" spans="1:9" x14ac:dyDescent="0.2">
      <c r="A16" s="93"/>
      <c r="I16" s="117"/>
    </row>
    <row r="17" spans="1:9" x14ac:dyDescent="0.2">
      <c r="A17" s="93"/>
      <c r="I17" s="117"/>
    </row>
    <row r="18" spans="1:9" x14ac:dyDescent="0.2">
      <c r="A18" s="93"/>
      <c r="I18" s="117"/>
    </row>
    <row r="19" spans="1:9" x14ac:dyDescent="0.2">
      <c r="A19" s="93"/>
      <c r="I19" s="117"/>
    </row>
    <row r="20" spans="1:9" x14ac:dyDescent="0.2">
      <c r="A20" s="93"/>
      <c r="I20" s="117"/>
    </row>
    <row r="21" spans="1:9" ht="4.5" customHeight="1" thickBot="1" x14ac:dyDescent="0.25">
      <c r="A21" s="94"/>
      <c r="B21" s="96"/>
      <c r="C21" s="96"/>
      <c r="D21" s="97"/>
      <c r="E21" s="95"/>
      <c r="F21" s="95"/>
      <c r="G21" s="95"/>
      <c r="H21" s="95"/>
      <c r="I21" s="117"/>
    </row>
    <row r="22" spans="1:9" s="121" customFormat="1" ht="15" customHeight="1" thickBot="1" x14ac:dyDescent="0.3">
      <c r="A22" s="134" t="s">
        <v>40</v>
      </c>
      <c r="B22" s="135"/>
      <c r="C22" s="135"/>
      <c r="D22" s="135"/>
      <c r="E22" s="135"/>
      <c r="F22" s="135"/>
      <c r="G22" s="135"/>
      <c r="H22" s="135"/>
      <c r="I22" s="136"/>
    </row>
    <row r="23" spans="1:9" x14ac:dyDescent="0.2">
      <c r="A23" s="93"/>
      <c r="I23" s="117"/>
    </row>
    <row r="24" spans="1:9" x14ac:dyDescent="0.2">
      <c r="A24" s="93"/>
      <c r="I24" s="117"/>
    </row>
    <row r="25" spans="1:9" x14ac:dyDescent="0.2">
      <c r="A25" s="93"/>
      <c r="I25" s="117"/>
    </row>
    <row r="26" spans="1:9" x14ac:dyDescent="0.2">
      <c r="A26" s="93"/>
      <c r="I26" s="117"/>
    </row>
    <row r="27" spans="1:9" x14ac:dyDescent="0.2">
      <c r="A27" s="93"/>
      <c r="I27" s="117"/>
    </row>
    <row r="28" spans="1:9" x14ac:dyDescent="0.2">
      <c r="A28" s="93"/>
      <c r="I28" s="117"/>
    </row>
    <row r="29" spans="1:9" x14ac:dyDescent="0.2">
      <c r="A29" s="93"/>
      <c r="I29" s="117"/>
    </row>
    <row r="30" spans="1:9" x14ac:dyDescent="0.2">
      <c r="A30" s="93"/>
      <c r="I30" s="117"/>
    </row>
    <row r="31" spans="1:9" x14ac:dyDescent="0.2">
      <c r="A31" s="93"/>
      <c r="I31" s="117"/>
    </row>
    <row r="32" spans="1:9" x14ac:dyDescent="0.2">
      <c r="A32" s="93"/>
      <c r="I32" s="117"/>
    </row>
    <row r="33" spans="1:9" x14ac:dyDescent="0.2">
      <c r="A33" s="93"/>
      <c r="I33" s="117"/>
    </row>
    <row r="34" spans="1:9" x14ac:dyDescent="0.2">
      <c r="A34" s="93"/>
      <c r="I34" s="117"/>
    </row>
    <row r="35" spans="1:9" x14ac:dyDescent="0.2">
      <c r="A35" s="93"/>
      <c r="I35" s="117"/>
    </row>
    <row r="36" spans="1:9" x14ac:dyDescent="0.2">
      <c r="A36" s="93"/>
      <c r="I36" s="117"/>
    </row>
    <row r="37" spans="1:9" ht="11.25" customHeight="1" x14ac:dyDescent="0.2">
      <c r="A37" s="93"/>
      <c r="B37" s="131" t="s">
        <v>59</v>
      </c>
      <c r="C37" s="71"/>
      <c r="D37" s="71"/>
      <c r="E37" s="147"/>
      <c r="F37" s="147"/>
      <c r="G37" s="147"/>
      <c r="H37" s="147"/>
      <c r="I37" s="104"/>
    </row>
    <row r="38" spans="1:9" s="10" customFormat="1" ht="24" x14ac:dyDescent="0.25">
      <c r="A38" s="114"/>
      <c r="B38" s="101" t="s">
        <v>31</v>
      </c>
      <c r="C38" s="101" t="s">
        <v>30</v>
      </c>
      <c r="D38" s="152" t="s">
        <v>55</v>
      </c>
      <c r="E38" s="152"/>
      <c r="F38" s="152"/>
      <c r="G38" s="102" t="s">
        <v>62</v>
      </c>
      <c r="H38" s="102" t="s">
        <v>61</v>
      </c>
      <c r="I38" s="118"/>
    </row>
    <row r="39" spans="1:9" ht="12" customHeight="1" x14ac:dyDescent="0.2">
      <c r="A39" s="93"/>
      <c r="B39" s="144">
        <v>1</v>
      </c>
      <c r="C39" s="127">
        <v>1</v>
      </c>
      <c r="D39" s="143" t="s">
        <v>3</v>
      </c>
      <c r="E39" s="143"/>
      <c r="F39" s="143"/>
      <c r="G39" s="128">
        <v>0</v>
      </c>
      <c r="H39" s="132"/>
      <c r="I39" s="119"/>
    </row>
    <row r="40" spans="1:9" ht="12" customHeight="1" x14ac:dyDescent="0.2">
      <c r="A40" s="93"/>
      <c r="B40" s="144"/>
      <c r="C40" s="127">
        <v>2</v>
      </c>
      <c r="D40" s="143" t="s">
        <v>4</v>
      </c>
      <c r="E40" s="143"/>
      <c r="F40" s="143"/>
      <c r="G40" s="128">
        <v>0</v>
      </c>
      <c r="H40" s="132"/>
      <c r="I40" s="119"/>
    </row>
    <row r="41" spans="1:9" x14ac:dyDescent="0.2">
      <c r="A41" s="93"/>
      <c r="B41" s="127">
        <v>2</v>
      </c>
      <c r="C41" s="127">
        <v>1</v>
      </c>
      <c r="D41" s="148" t="s">
        <v>73</v>
      </c>
      <c r="E41" s="148"/>
      <c r="F41" s="148"/>
      <c r="G41" s="129">
        <v>100</v>
      </c>
      <c r="H41" s="133"/>
      <c r="I41" s="119"/>
    </row>
    <row r="42" spans="1:9" ht="21.75" customHeight="1" x14ac:dyDescent="0.2">
      <c r="A42" s="93"/>
      <c r="B42" s="144">
        <v>3</v>
      </c>
      <c r="C42" s="127">
        <v>1</v>
      </c>
      <c r="D42" s="143" t="s">
        <v>6</v>
      </c>
      <c r="E42" s="143"/>
      <c r="F42" s="143"/>
      <c r="G42" s="128">
        <v>100</v>
      </c>
      <c r="H42" s="132"/>
      <c r="I42" s="119"/>
    </row>
    <row r="43" spans="1:9" ht="22.5" customHeight="1" x14ac:dyDescent="0.2">
      <c r="A43" s="93"/>
      <c r="B43" s="144"/>
      <c r="C43" s="130">
        <v>2</v>
      </c>
      <c r="D43" s="143" t="s">
        <v>74</v>
      </c>
      <c r="E43" s="143"/>
      <c r="F43" s="143"/>
      <c r="G43" s="128">
        <v>37</v>
      </c>
      <c r="H43" s="132"/>
      <c r="I43" s="119"/>
    </row>
    <row r="44" spans="1:9" ht="21.75" customHeight="1" x14ac:dyDescent="0.2">
      <c r="A44" s="93"/>
      <c r="B44" s="130">
        <v>4</v>
      </c>
      <c r="C44" s="130">
        <v>1</v>
      </c>
      <c r="D44" s="148" t="s">
        <v>7</v>
      </c>
      <c r="E44" s="148"/>
      <c r="F44" s="148"/>
      <c r="G44" s="129">
        <v>12</v>
      </c>
      <c r="H44" s="133"/>
      <c r="I44" s="119"/>
    </row>
    <row r="45" spans="1:9" ht="21.75" customHeight="1" x14ac:dyDescent="0.2">
      <c r="A45" s="93"/>
      <c r="B45" s="130">
        <v>5</v>
      </c>
      <c r="C45" s="130">
        <v>1</v>
      </c>
      <c r="D45" s="143" t="s">
        <v>8</v>
      </c>
      <c r="E45" s="143"/>
      <c r="F45" s="143"/>
      <c r="G45" s="128">
        <v>0</v>
      </c>
      <c r="H45" s="132"/>
      <c r="I45" s="119"/>
    </row>
    <row r="46" spans="1:9" ht="12" customHeight="1" x14ac:dyDescent="0.2">
      <c r="A46" s="93"/>
      <c r="B46" s="130">
        <v>6</v>
      </c>
      <c r="C46" s="130">
        <v>1</v>
      </c>
      <c r="D46" s="148" t="s">
        <v>60</v>
      </c>
      <c r="E46" s="148"/>
      <c r="F46" s="148"/>
      <c r="G46" s="129">
        <v>30</v>
      </c>
      <c r="H46" s="133"/>
      <c r="I46" s="119"/>
    </row>
    <row r="47" spans="1:9" ht="12" customHeight="1" x14ac:dyDescent="0.2">
      <c r="A47" s="93"/>
      <c r="B47" s="130">
        <v>7</v>
      </c>
      <c r="C47" s="130">
        <v>1</v>
      </c>
      <c r="D47" s="143" t="s">
        <v>15</v>
      </c>
      <c r="E47" s="143"/>
      <c r="F47" s="143"/>
      <c r="G47" s="128">
        <v>9</v>
      </c>
      <c r="H47" s="132"/>
      <c r="I47" s="119"/>
    </row>
    <row r="48" spans="1:9" ht="21.75" customHeight="1" x14ac:dyDescent="0.2">
      <c r="A48" s="93"/>
      <c r="B48" s="130">
        <v>8</v>
      </c>
      <c r="C48" s="130">
        <v>1</v>
      </c>
      <c r="D48" s="148" t="s">
        <v>14</v>
      </c>
      <c r="E48" s="148"/>
      <c r="F48" s="148"/>
      <c r="G48" s="129">
        <v>100</v>
      </c>
      <c r="H48" s="133"/>
      <c r="I48" s="119"/>
    </row>
    <row r="49" spans="1:9" x14ac:dyDescent="0.2">
      <c r="A49" s="93"/>
      <c r="B49" s="130">
        <v>9</v>
      </c>
      <c r="C49" s="130">
        <v>1</v>
      </c>
      <c r="D49" s="143" t="s">
        <v>72</v>
      </c>
      <c r="E49" s="143"/>
      <c r="F49" s="143"/>
      <c r="G49" s="128">
        <v>0</v>
      </c>
      <c r="H49" s="132"/>
      <c r="I49" s="119"/>
    </row>
    <row r="50" spans="1:9" ht="21.75" customHeight="1" x14ac:dyDescent="0.2">
      <c r="A50" s="93"/>
      <c r="B50" s="130">
        <v>10</v>
      </c>
      <c r="C50" s="130">
        <v>1</v>
      </c>
      <c r="D50" s="148" t="s">
        <v>10</v>
      </c>
      <c r="E50" s="148"/>
      <c r="F50" s="148"/>
      <c r="G50" s="129">
        <v>13</v>
      </c>
      <c r="H50" s="133"/>
      <c r="I50" s="119"/>
    </row>
    <row r="51" spans="1:9" ht="21.75" customHeight="1" x14ac:dyDescent="0.2">
      <c r="A51" s="93"/>
      <c r="B51" s="130">
        <v>11</v>
      </c>
      <c r="C51" s="130">
        <v>1</v>
      </c>
      <c r="D51" s="143" t="s">
        <v>13</v>
      </c>
      <c r="E51" s="143"/>
      <c r="F51" s="143"/>
      <c r="G51" s="128">
        <v>0</v>
      </c>
      <c r="H51" s="132"/>
      <c r="I51" s="119"/>
    </row>
    <row r="52" spans="1:9" x14ac:dyDescent="0.2">
      <c r="A52" s="93"/>
      <c r="B52" s="145" t="s">
        <v>35</v>
      </c>
      <c r="C52" s="130">
        <v>1</v>
      </c>
      <c r="D52" s="148" t="s">
        <v>33</v>
      </c>
      <c r="E52" s="148"/>
      <c r="F52" s="148"/>
      <c r="G52" s="129">
        <v>0</v>
      </c>
      <c r="H52" s="133"/>
      <c r="I52" s="119"/>
    </row>
    <row r="53" spans="1:9" ht="12" customHeight="1" x14ac:dyDescent="0.2">
      <c r="A53" s="93"/>
      <c r="B53" s="145"/>
      <c r="C53" s="130">
        <v>2</v>
      </c>
      <c r="D53" s="148" t="s">
        <v>43</v>
      </c>
      <c r="E53" s="148"/>
      <c r="F53" s="148"/>
      <c r="G53" s="129">
        <v>0</v>
      </c>
      <c r="H53" s="133"/>
      <c r="I53" s="119"/>
    </row>
    <row r="54" spans="1:9" ht="12.75" customHeight="1" x14ac:dyDescent="0.2">
      <c r="A54" s="93"/>
      <c r="B54" s="145"/>
      <c r="C54" s="130">
        <v>3</v>
      </c>
      <c r="D54" s="148" t="s">
        <v>32</v>
      </c>
      <c r="E54" s="148"/>
      <c r="F54" s="148"/>
      <c r="G54" s="129">
        <v>0</v>
      </c>
      <c r="H54" s="133"/>
      <c r="I54" s="119"/>
    </row>
    <row r="55" spans="1:9" x14ac:dyDescent="0.2">
      <c r="A55" s="93"/>
      <c r="B55" s="146" t="s">
        <v>54</v>
      </c>
      <c r="C55" s="130">
        <v>1</v>
      </c>
      <c r="D55" s="143" t="s">
        <v>44</v>
      </c>
      <c r="E55" s="143"/>
      <c r="F55" s="143"/>
      <c r="G55" s="128">
        <v>60</v>
      </c>
      <c r="H55" s="132"/>
      <c r="I55" s="119"/>
    </row>
    <row r="56" spans="1:9" x14ac:dyDescent="0.2">
      <c r="A56" s="93"/>
      <c r="B56" s="145"/>
      <c r="C56" s="130">
        <v>2</v>
      </c>
      <c r="D56" s="143" t="s">
        <v>45</v>
      </c>
      <c r="E56" s="143"/>
      <c r="F56" s="143"/>
      <c r="G56" s="128">
        <v>0</v>
      </c>
      <c r="H56" s="132"/>
      <c r="I56" s="119"/>
    </row>
    <row r="57" spans="1:9" x14ac:dyDescent="0.2">
      <c r="A57" s="93"/>
      <c r="B57" s="145"/>
      <c r="C57" s="130">
        <v>3</v>
      </c>
      <c r="D57" s="143" t="s">
        <v>2</v>
      </c>
      <c r="E57" s="143"/>
      <c r="F57" s="143"/>
      <c r="G57" s="128">
        <v>34</v>
      </c>
      <c r="H57" s="132"/>
      <c r="I57" s="119"/>
    </row>
    <row r="58" spans="1:9" ht="12" customHeight="1" x14ac:dyDescent="0.2">
      <c r="A58" s="93"/>
      <c r="B58" s="145"/>
      <c r="C58" s="130">
        <v>4</v>
      </c>
      <c r="D58" s="143" t="s">
        <v>46</v>
      </c>
      <c r="E58" s="143"/>
      <c r="F58" s="143"/>
      <c r="G58" s="128">
        <v>0</v>
      </c>
      <c r="H58" s="132"/>
      <c r="I58" s="119"/>
    </row>
    <row r="59" spans="1:9" ht="6.75" customHeight="1" thickBot="1" x14ac:dyDescent="0.25">
      <c r="A59" s="94"/>
      <c r="B59" s="96"/>
      <c r="C59" s="96"/>
      <c r="D59" s="97"/>
      <c r="E59" s="95"/>
      <c r="F59" s="95"/>
      <c r="G59" s="95"/>
      <c r="H59" s="95"/>
      <c r="I59" s="120"/>
    </row>
    <row r="60" spans="1:9" s="121" customFormat="1" ht="15" customHeight="1" thickBot="1" x14ac:dyDescent="0.3">
      <c r="A60" s="134" t="s">
        <v>41</v>
      </c>
      <c r="B60" s="135"/>
      <c r="C60" s="135"/>
      <c r="D60" s="135"/>
      <c r="E60" s="135"/>
      <c r="F60" s="135"/>
      <c r="G60" s="135"/>
      <c r="H60" s="135"/>
      <c r="I60" s="136"/>
    </row>
    <row r="61" spans="1:9" ht="60.75" customHeight="1" x14ac:dyDescent="0.2">
      <c r="A61" s="93"/>
      <c r="I61" s="117"/>
    </row>
    <row r="62" spans="1:9" x14ac:dyDescent="0.2">
      <c r="A62" s="93"/>
      <c r="I62" s="117"/>
    </row>
    <row r="63" spans="1:9" x14ac:dyDescent="0.2">
      <c r="A63" s="93"/>
      <c r="I63" s="117"/>
    </row>
    <row r="64" spans="1:9" x14ac:dyDescent="0.2">
      <c r="A64" s="93"/>
      <c r="I64" s="117"/>
    </row>
    <row r="65" spans="1:9" x14ac:dyDescent="0.2">
      <c r="A65" s="93"/>
      <c r="I65" s="117"/>
    </row>
    <row r="66" spans="1:9" x14ac:dyDescent="0.2">
      <c r="A66" s="93"/>
      <c r="I66" s="117"/>
    </row>
    <row r="67" spans="1:9" x14ac:dyDescent="0.2">
      <c r="A67" s="93"/>
      <c r="I67" s="117"/>
    </row>
    <row r="68" spans="1:9" x14ac:dyDescent="0.2">
      <c r="A68" s="93"/>
      <c r="I68" s="117"/>
    </row>
    <row r="69" spans="1:9" x14ac:dyDescent="0.2">
      <c r="A69" s="93"/>
      <c r="I69" s="117"/>
    </row>
    <row r="70" spans="1:9" x14ac:dyDescent="0.2">
      <c r="A70" s="93"/>
      <c r="I70" s="117"/>
    </row>
    <row r="71" spans="1:9" x14ac:dyDescent="0.2">
      <c r="A71" s="93"/>
      <c r="I71" s="117"/>
    </row>
    <row r="72" spans="1:9" x14ac:dyDescent="0.2">
      <c r="A72" s="93"/>
      <c r="I72" s="117"/>
    </row>
    <row r="73" spans="1:9" x14ac:dyDescent="0.2">
      <c r="A73" s="93"/>
      <c r="I73" s="117"/>
    </row>
    <row r="74" spans="1:9" x14ac:dyDescent="0.2">
      <c r="A74" s="93"/>
      <c r="I74" s="117"/>
    </row>
    <row r="75" spans="1:9" x14ac:dyDescent="0.2">
      <c r="A75" s="93"/>
      <c r="I75" s="117"/>
    </row>
    <row r="76" spans="1:9" ht="7.5" customHeight="1" x14ac:dyDescent="0.2">
      <c r="A76" s="93"/>
      <c r="I76" s="117"/>
    </row>
    <row r="77" spans="1:9" ht="15" customHeight="1" x14ac:dyDescent="0.2">
      <c r="A77" s="93"/>
      <c r="B77" s="153" t="str">
        <f>'Gráfico Tiempo Perdido'!B4</f>
        <v>Motivo</v>
      </c>
      <c r="C77" s="153"/>
      <c r="D77" s="153"/>
      <c r="E77" s="72" t="str">
        <f>'Gráfico Tiempo Perdido'!BC4</f>
        <v xml:space="preserve">Total </v>
      </c>
      <c r="F77" s="150" t="str">
        <f>'Gráfico Tiempo Perdido'!BD4</f>
        <v>Observaciones</v>
      </c>
      <c r="G77" s="151"/>
      <c r="I77" s="117"/>
    </row>
    <row r="78" spans="1:9" ht="15" customHeight="1" x14ac:dyDescent="0.2">
      <c r="A78" s="93"/>
      <c r="B78" s="154" t="str">
        <f>'Gráfico Tiempo Perdido'!B5</f>
        <v>Falla de Plataforma Comunicación</v>
      </c>
      <c r="C78" s="155"/>
      <c r="D78" s="156"/>
      <c r="E78" s="124">
        <f>'Gráfico Tiempo Perdido'!BC5</f>
        <v>160</v>
      </c>
      <c r="F78" s="149">
        <f>'Gráfico Tiempo Perdido'!BD5</f>
        <v>0</v>
      </c>
      <c r="G78" s="149"/>
      <c r="I78" s="117"/>
    </row>
    <row r="79" spans="1:9" ht="15" customHeight="1" x14ac:dyDescent="0.2">
      <c r="A79" s="93"/>
      <c r="B79" s="154" t="str">
        <f>'Gráfico Tiempo Perdido'!B6</f>
        <v>Falla de Energia</v>
      </c>
      <c r="C79" s="155"/>
      <c r="D79" s="156"/>
      <c r="E79" s="124">
        <f>'Gráfico Tiempo Perdido'!BC6</f>
        <v>15</v>
      </c>
      <c r="F79" s="149">
        <f>'Gráfico Tiempo Perdido'!BD6</f>
        <v>0</v>
      </c>
      <c r="G79" s="149"/>
      <c r="I79" s="117"/>
    </row>
    <row r="80" spans="1:9" ht="15" customHeight="1" x14ac:dyDescent="0.2">
      <c r="A80" s="93"/>
      <c r="B80" s="154" t="s">
        <v>68</v>
      </c>
      <c r="C80" s="155"/>
      <c r="D80" s="156"/>
      <c r="E80" s="123">
        <v>4</v>
      </c>
      <c r="F80" s="149" t="s">
        <v>69</v>
      </c>
      <c r="G80" s="149"/>
      <c r="I80" s="117"/>
    </row>
    <row r="81" spans="1:9" ht="15" customHeight="1" x14ac:dyDescent="0.2">
      <c r="A81" s="93"/>
      <c r="B81" s="154" t="s">
        <v>64</v>
      </c>
      <c r="C81" s="155"/>
      <c r="D81" s="156"/>
      <c r="E81" s="123">
        <v>48</v>
      </c>
      <c r="F81" s="149" t="s">
        <v>70</v>
      </c>
      <c r="G81" s="149"/>
      <c r="I81" s="117"/>
    </row>
    <row r="82" spans="1:9" ht="15" customHeight="1" x14ac:dyDescent="0.2">
      <c r="A82" s="93"/>
      <c r="B82" s="154" t="s">
        <v>65</v>
      </c>
      <c r="C82" s="155"/>
      <c r="D82" s="156"/>
      <c r="E82" s="123">
        <v>1</v>
      </c>
      <c r="F82" s="149" t="s">
        <v>75</v>
      </c>
      <c r="G82" s="149"/>
      <c r="I82" s="117"/>
    </row>
    <row r="83" spans="1:9" ht="15" customHeight="1" x14ac:dyDescent="0.2">
      <c r="A83" s="93"/>
      <c r="B83" s="154" t="s">
        <v>66</v>
      </c>
      <c r="C83" s="155"/>
      <c r="D83" s="156"/>
      <c r="E83" s="123">
        <v>80</v>
      </c>
      <c r="F83" s="149" t="s">
        <v>71</v>
      </c>
      <c r="G83" s="149"/>
      <c r="I83" s="117"/>
    </row>
    <row r="84" spans="1:9" ht="15" customHeight="1" x14ac:dyDescent="0.2">
      <c r="A84" s="93"/>
      <c r="B84" s="154" t="s">
        <v>67</v>
      </c>
      <c r="C84" s="155"/>
      <c r="D84" s="156"/>
      <c r="E84" s="123">
        <v>16</v>
      </c>
      <c r="F84" s="149" t="s">
        <v>76</v>
      </c>
      <c r="G84" s="149"/>
      <c r="I84" s="117"/>
    </row>
    <row r="85" spans="1:9" ht="15" customHeight="1" x14ac:dyDescent="0.2">
      <c r="A85" s="93"/>
      <c r="B85" s="157"/>
      <c r="C85" s="158"/>
      <c r="D85" s="159"/>
      <c r="E85" s="73"/>
      <c r="F85" s="149"/>
      <c r="G85" s="149"/>
      <c r="I85" s="117"/>
    </row>
    <row r="86" spans="1:9" ht="12.75" thickBot="1" x14ac:dyDescent="0.25">
      <c r="A86" s="94"/>
      <c r="B86" s="96"/>
      <c r="C86" s="96"/>
      <c r="D86" s="97"/>
      <c r="E86" s="95"/>
      <c r="F86" s="95"/>
      <c r="G86" s="95"/>
      <c r="H86" s="95"/>
      <c r="I86" s="120"/>
    </row>
  </sheetData>
  <mergeCells count="49">
    <mergeCell ref="B77:D77"/>
    <mergeCell ref="B78:D78"/>
    <mergeCell ref="F83:G83"/>
    <mergeCell ref="F84:G84"/>
    <mergeCell ref="F85:G85"/>
    <mergeCell ref="B85:D85"/>
    <mergeCell ref="B79:D79"/>
    <mergeCell ref="B80:D80"/>
    <mergeCell ref="B81:D81"/>
    <mergeCell ref="B82:D82"/>
    <mergeCell ref="B83:D83"/>
    <mergeCell ref="B84:D84"/>
    <mergeCell ref="D38:F38"/>
    <mergeCell ref="D39:F39"/>
    <mergeCell ref="D40:F40"/>
    <mergeCell ref="D41:F41"/>
    <mergeCell ref="D42:F42"/>
    <mergeCell ref="D48:F48"/>
    <mergeCell ref="D49:F49"/>
    <mergeCell ref="D50:F50"/>
    <mergeCell ref="B39:B40"/>
    <mergeCell ref="F82:G82"/>
    <mergeCell ref="F77:G77"/>
    <mergeCell ref="F78:G78"/>
    <mergeCell ref="F79:G79"/>
    <mergeCell ref="F80:G80"/>
    <mergeCell ref="F81:G81"/>
    <mergeCell ref="D43:F43"/>
    <mergeCell ref="D44:F44"/>
    <mergeCell ref="D45:F45"/>
    <mergeCell ref="D46:F46"/>
    <mergeCell ref="D47:F47"/>
    <mergeCell ref="D57:F57"/>
    <mergeCell ref="A4:I4"/>
    <mergeCell ref="A2:I2"/>
    <mergeCell ref="A1:I1"/>
    <mergeCell ref="A22:I22"/>
    <mergeCell ref="A60:I60"/>
    <mergeCell ref="D58:F58"/>
    <mergeCell ref="B42:B43"/>
    <mergeCell ref="B52:B54"/>
    <mergeCell ref="B55:B58"/>
    <mergeCell ref="E37:H37"/>
    <mergeCell ref="D51:F51"/>
    <mergeCell ref="D52:F52"/>
    <mergeCell ref="D53:F53"/>
    <mergeCell ref="D54:F54"/>
    <mergeCell ref="D55:F55"/>
    <mergeCell ref="D56:F56"/>
  </mergeCells>
  <pageMargins left="0.51181102362204722" right="0.51181102362204722" top="0.35433070866141736" bottom="0.35433070866141736" header="0.31496062992125984" footer="0.31496062992125984"/>
  <pageSetup scale="97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28"/>
  <sheetViews>
    <sheetView showGridLines="0" zoomScale="90" zoomScaleNormal="90" workbookViewId="0">
      <selection activeCell="F33" sqref="F33"/>
    </sheetView>
  </sheetViews>
  <sheetFormatPr baseColWidth="10" defaultRowHeight="12" x14ac:dyDescent="0.2"/>
  <cols>
    <col min="1" max="1" width="1.28515625" style="7" customWidth="1"/>
    <col min="2" max="3" width="4.7109375" style="10" customWidth="1"/>
    <col min="4" max="4" width="40.85546875" style="2" customWidth="1"/>
    <col min="5" max="28" width="5.140625" style="8" customWidth="1"/>
    <col min="29" max="29" width="11.42578125" style="7" customWidth="1"/>
    <col min="30" max="16384" width="11.42578125" style="7"/>
  </cols>
  <sheetData>
    <row r="1" spans="2:28" ht="30.75" customHeight="1" thickBot="1" x14ac:dyDescent="0.25">
      <c r="B1" s="163" t="s">
        <v>16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</row>
    <row r="2" spans="2:28" ht="6.75" customHeight="1" thickBot="1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2:28" ht="12.75" thickBot="1" x14ac:dyDescent="0.25">
      <c r="E3" s="173" t="s">
        <v>17</v>
      </c>
      <c r="F3" s="161"/>
      <c r="G3" s="160" t="s">
        <v>18</v>
      </c>
      <c r="H3" s="161"/>
      <c r="I3" s="160" t="s">
        <v>19</v>
      </c>
      <c r="J3" s="161"/>
      <c r="K3" s="160" t="s">
        <v>20</v>
      </c>
      <c r="L3" s="161"/>
      <c r="M3" s="160" t="s">
        <v>21</v>
      </c>
      <c r="N3" s="161"/>
      <c r="O3" s="160" t="s">
        <v>22</v>
      </c>
      <c r="P3" s="161"/>
      <c r="Q3" s="160" t="s">
        <v>23</v>
      </c>
      <c r="R3" s="161"/>
      <c r="S3" s="160" t="s">
        <v>24</v>
      </c>
      <c r="T3" s="161"/>
      <c r="U3" s="160" t="s">
        <v>25</v>
      </c>
      <c r="V3" s="161"/>
      <c r="W3" s="160" t="s">
        <v>26</v>
      </c>
      <c r="X3" s="161"/>
      <c r="Y3" s="160" t="s">
        <v>27</v>
      </c>
      <c r="Z3" s="161"/>
      <c r="AA3" s="160" t="s">
        <v>28</v>
      </c>
      <c r="AB3" s="161"/>
    </row>
    <row r="4" spans="2:28" s="8" customFormat="1" ht="12.75" thickBot="1" x14ac:dyDescent="0.25">
      <c r="B4" s="11" t="s">
        <v>31</v>
      </c>
      <c r="C4" s="12" t="s">
        <v>30</v>
      </c>
      <c r="D4" s="13" t="s">
        <v>56</v>
      </c>
      <c r="E4" s="14" t="s">
        <v>0</v>
      </c>
      <c r="F4" s="15" t="s">
        <v>1</v>
      </c>
      <c r="G4" s="16" t="s">
        <v>0</v>
      </c>
      <c r="H4" s="15" t="s">
        <v>1</v>
      </c>
      <c r="I4" s="16" t="s">
        <v>0</v>
      </c>
      <c r="J4" s="15" t="s">
        <v>1</v>
      </c>
      <c r="K4" s="16" t="s">
        <v>0</v>
      </c>
      <c r="L4" s="15" t="s">
        <v>1</v>
      </c>
      <c r="M4" s="16" t="s">
        <v>0</v>
      </c>
      <c r="N4" s="15" t="s">
        <v>1</v>
      </c>
      <c r="O4" s="16" t="s">
        <v>0</v>
      </c>
      <c r="P4" s="15" t="s">
        <v>1</v>
      </c>
      <c r="Q4" s="16" t="s">
        <v>0</v>
      </c>
      <c r="R4" s="15" t="s">
        <v>1</v>
      </c>
      <c r="S4" s="16" t="s">
        <v>0</v>
      </c>
      <c r="T4" s="15" t="s">
        <v>1</v>
      </c>
      <c r="U4" s="16" t="s">
        <v>0</v>
      </c>
      <c r="V4" s="15" t="s">
        <v>1</v>
      </c>
      <c r="W4" s="16" t="s">
        <v>0</v>
      </c>
      <c r="X4" s="15" t="s">
        <v>1</v>
      </c>
      <c r="Y4" s="16" t="s">
        <v>0</v>
      </c>
      <c r="Z4" s="15" t="s">
        <v>1</v>
      </c>
      <c r="AA4" s="16" t="s">
        <v>0</v>
      </c>
      <c r="AB4" s="15" t="s">
        <v>1</v>
      </c>
    </row>
    <row r="5" spans="2:28" ht="24" customHeight="1" x14ac:dyDescent="0.2">
      <c r="B5" s="170">
        <v>1</v>
      </c>
      <c r="C5" s="17">
        <v>1</v>
      </c>
      <c r="D5" s="18" t="s">
        <v>3</v>
      </c>
      <c r="E5" s="19">
        <v>0</v>
      </c>
      <c r="F5" s="20">
        <v>0</v>
      </c>
      <c r="G5" s="21">
        <v>0</v>
      </c>
      <c r="H5" s="20"/>
      <c r="I5" s="21">
        <v>14</v>
      </c>
      <c r="J5" s="20"/>
      <c r="K5" s="21">
        <v>33</v>
      </c>
      <c r="L5" s="20"/>
      <c r="M5" s="21">
        <v>33</v>
      </c>
      <c r="N5" s="22"/>
      <c r="O5" s="21">
        <v>43</v>
      </c>
      <c r="P5" s="22"/>
      <c r="Q5" s="21">
        <v>67</v>
      </c>
      <c r="R5" s="22"/>
      <c r="S5" s="21">
        <v>67</v>
      </c>
      <c r="T5" s="22"/>
      <c r="U5" s="21">
        <v>76</v>
      </c>
      <c r="V5" s="22"/>
      <c r="W5" s="21">
        <v>100</v>
      </c>
      <c r="X5" s="22"/>
      <c r="Y5" s="21">
        <v>0</v>
      </c>
      <c r="Z5" s="22"/>
      <c r="AA5" s="21">
        <v>0</v>
      </c>
      <c r="AB5" s="22"/>
    </row>
    <row r="6" spans="2:28" ht="24" customHeight="1" thickBot="1" x14ac:dyDescent="0.25">
      <c r="B6" s="171"/>
      <c r="C6" s="23">
        <v>2</v>
      </c>
      <c r="D6" s="24" t="s">
        <v>4</v>
      </c>
      <c r="E6" s="25">
        <v>0</v>
      </c>
      <c r="F6" s="26">
        <v>0</v>
      </c>
      <c r="G6" s="27">
        <v>0</v>
      </c>
      <c r="H6" s="26"/>
      <c r="I6" s="27">
        <v>0</v>
      </c>
      <c r="J6" s="26"/>
      <c r="K6" s="27">
        <v>0</v>
      </c>
      <c r="L6" s="26"/>
      <c r="M6" s="27">
        <v>0</v>
      </c>
      <c r="N6" s="28"/>
      <c r="O6" s="27">
        <v>0</v>
      </c>
      <c r="P6" s="28"/>
      <c r="Q6" s="27">
        <v>0</v>
      </c>
      <c r="R6" s="28"/>
      <c r="S6" s="27">
        <v>0</v>
      </c>
      <c r="T6" s="28"/>
      <c r="U6" s="27">
        <v>0</v>
      </c>
      <c r="V6" s="28"/>
      <c r="W6" s="27">
        <v>49</v>
      </c>
      <c r="X6" s="28"/>
      <c r="Y6" s="27">
        <v>100</v>
      </c>
      <c r="Z6" s="28"/>
      <c r="AA6" s="27">
        <v>0</v>
      </c>
      <c r="AB6" s="28"/>
    </row>
    <row r="7" spans="2:28" ht="24" customHeight="1" thickBot="1" x14ac:dyDescent="0.25">
      <c r="B7" s="29">
        <v>2</v>
      </c>
      <c r="C7" s="30">
        <v>1</v>
      </c>
      <c r="D7" s="31" t="s">
        <v>5</v>
      </c>
      <c r="E7" s="32">
        <v>100</v>
      </c>
      <c r="F7" s="33">
        <v>100</v>
      </c>
      <c r="G7" s="34">
        <v>0</v>
      </c>
      <c r="H7" s="33"/>
      <c r="I7" s="34">
        <v>0</v>
      </c>
      <c r="J7" s="33"/>
      <c r="K7" s="34">
        <v>0</v>
      </c>
      <c r="L7" s="33"/>
      <c r="M7" s="34">
        <v>0</v>
      </c>
      <c r="N7" s="35"/>
      <c r="O7" s="34">
        <v>0</v>
      </c>
      <c r="P7" s="35"/>
      <c r="Q7" s="34">
        <v>0</v>
      </c>
      <c r="R7" s="35"/>
      <c r="S7" s="34">
        <v>0</v>
      </c>
      <c r="T7" s="35"/>
      <c r="U7" s="34">
        <v>0</v>
      </c>
      <c r="V7" s="35"/>
      <c r="W7" s="34">
        <v>0</v>
      </c>
      <c r="X7" s="35"/>
      <c r="Y7" s="34">
        <v>0</v>
      </c>
      <c r="Z7" s="35"/>
      <c r="AA7" s="34">
        <v>0</v>
      </c>
      <c r="AB7" s="35"/>
    </row>
    <row r="8" spans="2:28" ht="24" customHeight="1" x14ac:dyDescent="0.2">
      <c r="B8" s="172">
        <v>3</v>
      </c>
      <c r="C8" s="36">
        <v>1</v>
      </c>
      <c r="D8" s="37" t="s">
        <v>6</v>
      </c>
      <c r="E8" s="38">
        <v>100</v>
      </c>
      <c r="F8" s="39">
        <v>100</v>
      </c>
      <c r="G8" s="40">
        <v>0</v>
      </c>
      <c r="H8" s="39"/>
      <c r="I8" s="40">
        <v>0</v>
      </c>
      <c r="J8" s="39"/>
      <c r="K8" s="40">
        <v>0</v>
      </c>
      <c r="L8" s="39"/>
      <c r="M8" s="40">
        <v>0</v>
      </c>
      <c r="N8" s="41"/>
      <c r="O8" s="40">
        <v>0</v>
      </c>
      <c r="P8" s="41"/>
      <c r="Q8" s="40">
        <v>0</v>
      </c>
      <c r="R8" s="41"/>
      <c r="S8" s="40">
        <v>0</v>
      </c>
      <c r="T8" s="41"/>
      <c r="U8" s="40">
        <v>0</v>
      </c>
      <c r="V8" s="41"/>
      <c r="W8" s="40">
        <v>0</v>
      </c>
      <c r="X8" s="41"/>
      <c r="Y8" s="40">
        <v>0</v>
      </c>
      <c r="Z8" s="41"/>
      <c r="AA8" s="40">
        <v>0</v>
      </c>
      <c r="AB8" s="41"/>
    </row>
    <row r="9" spans="2:28" ht="24" customHeight="1" thickBot="1" x14ac:dyDescent="0.25">
      <c r="B9" s="171"/>
      <c r="C9" s="42">
        <v>2</v>
      </c>
      <c r="D9" s="24" t="s">
        <v>11</v>
      </c>
      <c r="E9" s="25">
        <v>37</v>
      </c>
      <c r="F9" s="26">
        <v>37</v>
      </c>
      <c r="G9" s="27">
        <v>95</v>
      </c>
      <c r="H9" s="26"/>
      <c r="I9" s="27">
        <v>100</v>
      </c>
      <c r="J9" s="26"/>
      <c r="K9" s="27">
        <v>0</v>
      </c>
      <c r="L9" s="26"/>
      <c r="M9" s="27">
        <v>0</v>
      </c>
      <c r="N9" s="28"/>
      <c r="O9" s="27">
        <v>0</v>
      </c>
      <c r="P9" s="28"/>
      <c r="Q9" s="27">
        <v>0</v>
      </c>
      <c r="R9" s="28"/>
      <c r="S9" s="27">
        <v>0</v>
      </c>
      <c r="T9" s="28"/>
      <c r="U9" s="27">
        <v>0</v>
      </c>
      <c r="V9" s="28"/>
      <c r="W9" s="27">
        <v>0</v>
      </c>
      <c r="X9" s="28"/>
      <c r="Y9" s="27">
        <v>0</v>
      </c>
      <c r="Z9" s="28"/>
      <c r="AA9" s="27">
        <v>0</v>
      </c>
      <c r="AB9" s="28"/>
    </row>
    <row r="10" spans="2:28" ht="24" customHeight="1" thickBot="1" x14ac:dyDescent="0.25">
      <c r="B10" s="43">
        <v>4</v>
      </c>
      <c r="C10" s="44">
        <v>1</v>
      </c>
      <c r="D10" s="45" t="s">
        <v>7</v>
      </c>
      <c r="E10" s="46">
        <v>12</v>
      </c>
      <c r="F10" s="47">
        <v>12</v>
      </c>
      <c r="G10" s="48">
        <v>22</v>
      </c>
      <c r="H10" s="47"/>
      <c r="I10" s="48">
        <v>34</v>
      </c>
      <c r="J10" s="47"/>
      <c r="K10" s="48">
        <v>45</v>
      </c>
      <c r="L10" s="47"/>
      <c r="M10" s="48">
        <v>57</v>
      </c>
      <c r="N10" s="49"/>
      <c r="O10" s="48">
        <v>69</v>
      </c>
      <c r="P10" s="49"/>
      <c r="Q10" s="48">
        <v>80</v>
      </c>
      <c r="R10" s="49"/>
      <c r="S10" s="48">
        <v>93</v>
      </c>
      <c r="T10" s="49"/>
      <c r="U10" s="48">
        <v>100</v>
      </c>
      <c r="V10" s="49"/>
      <c r="W10" s="48">
        <v>0</v>
      </c>
      <c r="X10" s="49"/>
      <c r="Y10" s="48">
        <v>0</v>
      </c>
      <c r="Z10" s="49"/>
      <c r="AA10" s="48">
        <v>0</v>
      </c>
      <c r="AB10" s="49"/>
    </row>
    <row r="11" spans="2:28" ht="24" customHeight="1" thickBot="1" x14ac:dyDescent="0.25">
      <c r="B11" s="43">
        <v>5</v>
      </c>
      <c r="C11" s="44">
        <v>1</v>
      </c>
      <c r="D11" s="45" t="s">
        <v>8</v>
      </c>
      <c r="E11" s="46">
        <v>0</v>
      </c>
      <c r="F11" s="47">
        <v>0</v>
      </c>
      <c r="G11" s="48">
        <v>0</v>
      </c>
      <c r="H11" s="47"/>
      <c r="I11" s="48">
        <v>0</v>
      </c>
      <c r="J11" s="47"/>
      <c r="K11" s="48">
        <v>38</v>
      </c>
      <c r="L11" s="47"/>
      <c r="M11" s="48">
        <v>75</v>
      </c>
      <c r="N11" s="49"/>
      <c r="O11" s="48">
        <v>96</v>
      </c>
      <c r="P11" s="49"/>
      <c r="Q11" s="48">
        <v>96</v>
      </c>
      <c r="R11" s="49"/>
      <c r="S11" s="48">
        <v>96</v>
      </c>
      <c r="T11" s="49"/>
      <c r="U11" s="48">
        <v>100</v>
      </c>
      <c r="V11" s="49"/>
      <c r="W11" s="48">
        <v>0</v>
      </c>
      <c r="X11" s="49"/>
      <c r="Y11" s="48">
        <v>0</v>
      </c>
      <c r="Z11" s="49"/>
      <c r="AA11" s="48">
        <v>0</v>
      </c>
      <c r="AB11" s="49"/>
    </row>
    <row r="12" spans="2:28" ht="24" customHeight="1" thickBot="1" x14ac:dyDescent="0.25">
      <c r="B12" s="43">
        <v>6</v>
      </c>
      <c r="C12" s="44">
        <v>1</v>
      </c>
      <c r="D12" s="45" t="s">
        <v>9</v>
      </c>
      <c r="E12" s="46">
        <v>15</v>
      </c>
      <c r="F12" s="47">
        <v>30</v>
      </c>
      <c r="G12" s="48">
        <v>100</v>
      </c>
      <c r="H12" s="47"/>
      <c r="I12" s="48">
        <v>0</v>
      </c>
      <c r="J12" s="47"/>
      <c r="K12" s="48">
        <v>0</v>
      </c>
      <c r="L12" s="47"/>
      <c r="M12" s="48">
        <v>0</v>
      </c>
      <c r="N12" s="49"/>
      <c r="O12" s="48">
        <v>0</v>
      </c>
      <c r="P12" s="49"/>
      <c r="Q12" s="48">
        <v>0</v>
      </c>
      <c r="R12" s="49"/>
      <c r="S12" s="48">
        <v>0</v>
      </c>
      <c r="T12" s="49"/>
      <c r="U12" s="48">
        <v>0</v>
      </c>
      <c r="V12" s="49"/>
      <c r="W12" s="48">
        <v>0</v>
      </c>
      <c r="X12" s="49"/>
      <c r="Y12" s="48">
        <v>0</v>
      </c>
      <c r="Z12" s="49"/>
      <c r="AA12" s="48">
        <v>0</v>
      </c>
      <c r="AB12" s="49"/>
    </row>
    <row r="13" spans="2:28" ht="24" customHeight="1" thickBot="1" x14ac:dyDescent="0.25">
      <c r="B13" s="43">
        <v>7</v>
      </c>
      <c r="C13" s="44">
        <v>1</v>
      </c>
      <c r="D13" s="45" t="s">
        <v>15</v>
      </c>
      <c r="E13" s="46">
        <v>9</v>
      </c>
      <c r="F13" s="47">
        <v>9</v>
      </c>
      <c r="G13" s="48">
        <v>16</v>
      </c>
      <c r="H13" s="47"/>
      <c r="I13" s="48">
        <v>25</v>
      </c>
      <c r="J13" s="47"/>
      <c r="K13" s="48">
        <v>33</v>
      </c>
      <c r="L13" s="47"/>
      <c r="M13" s="48">
        <v>42</v>
      </c>
      <c r="N13" s="49"/>
      <c r="O13" s="48">
        <v>50</v>
      </c>
      <c r="P13" s="49"/>
      <c r="Q13" s="48">
        <v>59</v>
      </c>
      <c r="R13" s="49"/>
      <c r="S13" s="48">
        <v>68</v>
      </c>
      <c r="T13" s="49"/>
      <c r="U13" s="48">
        <v>76</v>
      </c>
      <c r="V13" s="49"/>
      <c r="W13" s="48">
        <v>85</v>
      </c>
      <c r="X13" s="49"/>
      <c r="Y13" s="48">
        <v>94</v>
      </c>
      <c r="Z13" s="49"/>
      <c r="AA13" s="48">
        <v>100</v>
      </c>
      <c r="AB13" s="49"/>
    </row>
    <row r="14" spans="2:28" ht="24" customHeight="1" thickBot="1" x14ac:dyDescent="0.25">
      <c r="B14" s="43">
        <v>8</v>
      </c>
      <c r="C14" s="44">
        <v>1</v>
      </c>
      <c r="D14" s="45" t="s">
        <v>14</v>
      </c>
      <c r="E14" s="46">
        <v>100</v>
      </c>
      <c r="F14" s="47">
        <v>100</v>
      </c>
      <c r="G14" s="48">
        <v>0</v>
      </c>
      <c r="H14" s="47"/>
      <c r="I14" s="48">
        <v>0</v>
      </c>
      <c r="J14" s="47"/>
      <c r="K14" s="48">
        <v>0</v>
      </c>
      <c r="L14" s="47"/>
      <c r="M14" s="48">
        <v>0</v>
      </c>
      <c r="N14" s="49"/>
      <c r="O14" s="48">
        <v>0</v>
      </c>
      <c r="P14" s="49"/>
      <c r="Q14" s="48">
        <v>0</v>
      </c>
      <c r="R14" s="49"/>
      <c r="S14" s="48">
        <v>0</v>
      </c>
      <c r="T14" s="49"/>
      <c r="U14" s="48">
        <v>0</v>
      </c>
      <c r="V14" s="49"/>
      <c r="W14" s="48">
        <v>0</v>
      </c>
      <c r="X14" s="49"/>
      <c r="Y14" s="48">
        <v>0</v>
      </c>
      <c r="Z14" s="49"/>
      <c r="AA14" s="48">
        <v>0</v>
      </c>
      <c r="AB14" s="49"/>
    </row>
    <row r="15" spans="2:28" ht="24" customHeight="1" thickBot="1" x14ac:dyDescent="0.25">
      <c r="B15" s="43">
        <v>9</v>
      </c>
      <c r="C15" s="44">
        <v>1</v>
      </c>
      <c r="D15" s="45" t="s">
        <v>12</v>
      </c>
      <c r="E15" s="46">
        <v>0</v>
      </c>
      <c r="F15" s="47">
        <v>0</v>
      </c>
      <c r="G15" s="48">
        <v>100</v>
      </c>
      <c r="H15" s="47"/>
      <c r="I15" s="48">
        <v>0</v>
      </c>
      <c r="J15" s="47"/>
      <c r="K15" s="48">
        <v>0</v>
      </c>
      <c r="L15" s="47"/>
      <c r="M15" s="48">
        <v>0</v>
      </c>
      <c r="N15" s="49"/>
      <c r="O15" s="48">
        <v>0</v>
      </c>
      <c r="P15" s="49"/>
      <c r="Q15" s="48">
        <v>0</v>
      </c>
      <c r="R15" s="49"/>
      <c r="S15" s="48">
        <v>0</v>
      </c>
      <c r="T15" s="49"/>
      <c r="U15" s="48">
        <v>0</v>
      </c>
      <c r="V15" s="49"/>
      <c r="W15" s="48">
        <v>0</v>
      </c>
      <c r="X15" s="49"/>
      <c r="Y15" s="48">
        <v>0</v>
      </c>
      <c r="Z15" s="49"/>
      <c r="AA15" s="48">
        <v>0</v>
      </c>
      <c r="AB15" s="49"/>
    </row>
    <row r="16" spans="2:28" ht="24" customHeight="1" thickBot="1" x14ac:dyDescent="0.25">
      <c r="B16" s="43">
        <v>10</v>
      </c>
      <c r="C16" s="44">
        <v>1</v>
      </c>
      <c r="D16" s="45" t="s">
        <v>10</v>
      </c>
      <c r="E16" s="46">
        <v>13</v>
      </c>
      <c r="F16" s="47">
        <v>13</v>
      </c>
      <c r="G16" s="48">
        <v>25</v>
      </c>
      <c r="H16" s="47"/>
      <c r="I16" s="48">
        <v>37</v>
      </c>
      <c r="J16" s="47"/>
      <c r="K16" s="48">
        <v>50</v>
      </c>
      <c r="L16" s="47"/>
      <c r="M16" s="48">
        <v>63</v>
      </c>
      <c r="N16" s="49"/>
      <c r="O16" s="48">
        <v>76</v>
      </c>
      <c r="P16" s="49"/>
      <c r="Q16" s="48">
        <v>88</v>
      </c>
      <c r="R16" s="49"/>
      <c r="S16" s="48">
        <v>100</v>
      </c>
      <c r="T16" s="49"/>
      <c r="U16" s="48">
        <v>0</v>
      </c>
      <c r="V16" s="49"/>
      <c r="W16" s="48">
        <v>0</v>
      </c>
      <c r="X16" s="49"/>
      <c r="Y16" s="48">
        <v>0</v>
      </c>
      <c r="Z16" s="49"/>
      <c r="AA16" s="48">
        <v>0</v>
      </c>
      <c r="AB16" s="49"/>
    </row>
    <row r="17" spans="2:28" ht="24" customHeight="1" thickBot="1" x14ac:dyDescent="0.25">
      <c r="B17" s="79">
        <v>11</v>
      </c>
      <c r="C17" s="78">
        <v>1</v>
      </c>
      <c r="D17" s="80" t="s">
        <v>13</v>
      </c>
      <c r="E17" s="46">
        <v>0</v>
      </c>
      <c r="F17" s="47">
        <v>0</v>
      </c>
      <c r="G17" s="48">
        <v>0</v>
      </c>
      <c r="H17" s="47"/>
      <c r="I17" s="48">
        <v>0</v>
      </c>
      <c r="J17" s="47"/>
      <c r="K17" s="48">
        <v>100</v>
      </c>
      <c r="L17" s="47"/>
      <c r="M17" s="48">
        <v>0</v>
      </c>
      <c r="N17" s="49"/>
      <c r="O17" s="48">
        <v>0</v>
      </c>
      <c r="P17" s="49"/>
      <c r="Q17" s="48">
        <v>0</v>
      </c>
      <c r="R17" s="49"/>
      <c r="S17" s="48">
        <v>0</v>
      </c>
      <c r="T17" s="49"/>
      <c r="U17" s="48">
        <v>0</v>
      </c>
      <c r="V17" s="49"/>
      <c r="W17" s="48">
        <v>0</v>
      </c>
      <c r="X17" s="49"/>
      <c r="Y17" s="48">
        <v>0</v>
      </c>
      <c r="Z17" s="49"/>
      <c r="AA17" s="48">
        <v>0</v>
      </c>
      <c r="AB17" s="49"/>
    </row>
    <row r="18" spans="2:28" ht="24" customHeight="1" thickBot="1" x14ac:dyDescent="0.25">
      <c r="B18" s="164" t="s">
        <v>35</v>
      </c>
      <c r="C18" s="74">
        <v>1</v>
      </c>
      <c r="D18" s="81" t="s">
        <v>33</v>
      </c>
      <c r="E18" s="48">
        <v>0</v>
      </c>
      <c r="F18" s="47">
        <v>0</v>
      </c>
      <c r="G18" s="48">
        <v>0</v>
      </c>
      <c r="H18" s="47"/>
      <c r="I18" s="48">
        <v>0</v>
      </c>
      <c r="J18" s="47"/>
      <c r="K18" s="48">
        <v>0</v>
      </c>
      <c r="L18" s="47"/>
      <c r="M18" s="48">
        <v>0</v>
      </c>
      <c r="N18" s="49"/>
      <c r="O18" s="48">
        <v>6</v>
      </c>
      <c r="P18" s="49"/>
      <c r="Q18" s="48">
        <v>8</v>
      </c>
      <c r="R18" s="49"/>
      <c r="S18" s="48">
        <v>36</v>
      </c>
      <c r="T18" s="49"/>
      <c r="U18" s="48">
        <v>45</v>
      </c>
      <c r="V18" s="49"/>
      <c r="W18" s="48">
        <v>68</v>
      </c>
      <c r="X18" s="49"/>
      <c r="Y18" s="48">
        <v>93</v>
      </c>
      <c r="Z18" s="49"/>
      <c r="AA18" s="48">
        <v>100</v>
      </c>
      <c r="AB18" s="49"/>
    </row>
    <row r="19" spans="2:28" ht="24" customHeight="1" thickBot="1" x14ac:dyDescent="0.25">
      <c r="B19" s="165"/>
      <c r="C19" s="12">
        <v>2</v>
      </c>
      <c r="D19" s="82" t="s">
        <v>43</v>
      </c>
      <c r="E19" s="48">
        <v>0</v>
      </c>
      <c r="F19" s="47">
        <v>0</v>
      </c>
      <c r="G19" s="48">
        <v>9</v>
      </c>
      <c r="H19" s="47"/>
      <c r="I19" s="48">
        <v>18</v>
      </c>
      <c r="J19" s="47"/>
      <c r="K19" s="48">
        <v>27</v>
      </c>
      <c r="L19" s="47"/>
      <c r="M19" s="48">
        <v>36</v>
      </c>
      <c r="N19" s="49"/>
      <c r="O19" s="48">
        <v>45</v>
      </c>
      <c r="P19" s="49"/>
      <c r="Q19" s="48">
        <v>54</v>
      </c>
      <c r="R19" s="49"/>
      <c r="S19" s="48">
        <v>63</v>
      </c>
      <c r="T19" s="49"/>
      <c r="U19" s="48">
        <v>73</v>
      </c>
      <c r="V19" s="49"/>
      <c r="W19" s="48">
        <v>82</v>
      </c>
      <c r="X19" s="49"/>
      <c r="Y19" s="48">
        <v>91</v>
      </c>
      <c r="Z19" s="49"/>
      <c r="AA19" s="48">
        <v>100</v>
      </c>
      <c r="AB19" s="49"/>
    </row>
    <row r="20" spans="2:28" ht="24" customHeight="1" thickBot="1" x14ac:dyDescent="0.25">
      <c r="B20" s="166"/>
      <c r="C20" s="76">
        <v>3</v>
      </c>
      <c r="D20" s="83" t="s">
        <v>32</v>
      </c>
      <c r="E20" s="88">
        <v>0</v>
      </c>
      <c r="F20" s="89">
        <v>0</v>
      </c>
      <c r="G20" s="48">
        <v>0</v>
      </c>
      <c r="H20" s="47"/>
      <c r="I20" s="48">
        <v>0</v>
      </c>
      <c r="J20" s="47"/>
      <c r="K20" s="48">
        <v>0</v>
      </c>
      <c r="L20" s="47"/>
      <c r="M20" s="48">
        <v>0</v>
      </c>
      <c r="N20" s="49"/>
      <c r="O20" s="48">
        <v>0</v>
      </c>
      <c r="P20" s="49"/>
      <c r="Q20" s="48">
        <v>0</v>
      </c>
      <c r="R20" s="49"/>
      <c r="S20" s="48">
        <v>0</v>
      </c>
      <c r="T20" s="49"/>
      <c r="U20" s="48">
        <v>0</v>
      </c>
      <c r="V20" s="49"/>
      <c r="W20" s="48">
        <v>0</v>
      </c>
      <c r="X20" s="49"/>
      <c r="Y20" s="48">
        <v>0</v>
      </c>
      <c r="Z20" s="49"/>
      <c r="AA20" s="48">
        <v>0</v>
      </c>
      <c r="AB20" s="49"/>
    </row>
    <row r="21" spans="2:28" ht="26.25" customHeight="1" thickBot="1" x14ac:dyDescent="0.25">
      <c r="B21" s="162"/>
      <c r="C21" s="162"/>
      <c r="D21" s="87" t="s">
        <v>29</v>
      </c>
      <c r="E21" s="90">
        <v>10</v>
      </c>
      <c r="F21" s="91">
        <v>10</v>
      </c>
      <c r="G21" s="51">
        <v>20</v>
      </c>
      <c r="H21" s="50"/>
      <c r="I21" s="51">
        <v>28</v>
      </c>
      <c r="J21" s="50"/>
      <c r="K21" s="51">
        <v>38</v>
      </c>
      <c r="L21" s="50"/>
      <c r="M21" s="51">
        <v>49</v>
      </c>
      <c r="N21" s="50"/>
      <c r="O21" s="51">
        <v>59</v>
      </c>
      <c r="P21" s="50"/>
      <c r="Q21" s="51">
        <v>67</v>
      </c>
      <c r="R21" s="50"/>
      <c r="S21" s="51">
        <v>77</v>
      </c>
      <c r="T21" s="50"/>
      <c r="U21" s="51">
        <v>82</v>
      </c>
      <c r="V21" s="50"/>
      <c r="W21" s="51">
        <v>90</v>
      </c>
      <c r="X21" s="50"/>
      <c r="Y21" s="51">
        <v>94</v>
      </c>
      <c r="Z21" s="50"/>
      <c r="AA21" s="51">
        <v>100</v>
      </c>
      <c r="AB21" s="50"/>
    </row>
    <row r="22" spans="2:28" ht="24" customHeight="1" thickBot="1" x14ac:dyDescent="0.25">
      <c r="B22" s="167" t="s">
        <v>47</v>
      </c>
      <c r="C22" s="74">
        <v>1</v>
      </c>
      <c r="D22" s="75" t="s">
        <v>44</v>
      </c>
      <c r="E22" s="48">
        <v>53</v>
      </c>
      <c r="F22" s="47">
        <v>60</v>
      </c>
      <c r="G22" s="27">
        <v>98</v>
      </c>
      <c r="H22" s="26"/>
      <c r="I22" s="27">
        <v>100</v>
      </c>
      <c r="J22" s="26"/>
      <c r="K22" s="27">
        <v>0</v>
      </c>
      <c r="L22" s="26"/>
      <c r="M22" s="27">
        <v>0</v>
      </c>
      <c r="N22" s="28"/>
      <c r="O22" s="27">
        <v>0</v>
      </c>
      <c r="P22" s="28"/>
      <c r="Q22" s="27">
        <v>0</v>
      </c>
      <c r="R22" s="28"/>
      <c r="S22" s="27">
        <v>0</v>
      </c>
      <c r="T22" s="28"/>
      <c r="U22" s="27">
        <v>0</v>
      </c>
      <c r="V22" s="28"/>
      <c r="W22" s="27">
        <v>0</v>
      </c>
      <c r="X22" s="28"/>
      <c r="Y22" s="27">
        <v>0</v>
      </c>
      <c r="Z22" s="28"/>
      <c r="AA22" s="27">
        <v>0</v>
      </c>
      <c r="AB22" s="28"/>
    </row>
    <row r="23" spans="2:28" ht="24" customHeight="1" thickBot="1" x14ac:dyDescent="0.25">
      <c r="B23" s="168"/>
      <c r="C23" s="12">
        <v>2</v>
      </c>
      <c r="D23" s="105" t="s">
        <v>45</v>
      </c>
      <c r="E23" s="106">
        <v>0</v>
      </c>
      <c r="F23" s="107">
        <v>0</v>
      </c>
      <c r="G23" s="106">
        <v>0</v>
      </c>
      <c r="H23" s="107"/>
      <c r="I23" s="106">
        <v>13</v>
      </c>
      <c r="J23" s="107"/>
      <c r="K23" s="106">
        <v>25</v>
      </c>
      <c r="L23" s="107"/>
      <c r="M23" s="106">
        <v>40</v>
      </c>
      <c r="N23" s="108"/>
      <c r="O23" s="106">
        <v>54</v>
      </c>
      <c r="P23" s="108">
        <v>0</v>
      </c>
      <c r="Q23" s="106">
        <v>67</v>
      </c>
      <c r="R23" s="108"/>
      <c r="S23" s="106">
        <v>82</v>
      </c>
      <c r="T23" s="108"/>
      <c r="U23" s="106">
        <v>93</v>
      </c>
      <c r="V23" s="108"/>
      <c r="W23" s="106">
        <v>97</v>
      </c>
      <c r="X23" s="108"/>
      <c r="Y23" s="106">
        <v>100</v>
      </c>
      <c r="Z23" s="108"/>
      <c r="AA23" s="106">
        <v>0</v>
      </c>
      <c r="AB23" s="108"/>
    </row>
    <row r="24" spans="2:28" ht="24" customHeight="1" thickBot="1" x14ac:dyDescent="0.25">
      <c r="B24" s="168"/>
      <c r="C24" s="12">
        <v>3</v>
      </c>
      <c r="D24" s="109" t="s">
        <v>2</v>
      </c>
      <c r="E24" s="110">
        <v>26</v>
      </c>
      <c r="F24" s="111">
        <v>34</v>
      </c>
      <c r="G24" s="110">
        <v>0</v>
      </c>
      <c r="H24" s="111"/>
      <c r="I24" s="110">
        <v>26</v>
      </c>
      <c r="J24" s="111"/>
      <c r="K24" s="110">
        <v>0</v>
      </c>
      <c r="L24" s="111"/>
      <c r="M24" s="110">
        <v>0</v>
      </c>
      <c r="N24" s="112"/>
      <c r="O24" s="110">
        <v>27</v>
      </c>
      <c r="P24" s="112"/>
      <c r="Q24" s="110">
        <v>0</v>
      </c>
      <c r="R24" s="112"/>
      <c r="S24" s="110">
        <v>0</v>
      </c>
      <c r="T24" s="112"/>
      <c r="U24" s="110">
        <v>0</v>
      </c>
      <c r="V24" s="112"/>
      <c r="W24" s="110">
        <v>52</v>
      </c>
      <c r="X24" s="112"/>
      <c r="Y24" s="110">
        <v>86</v>
      </c>
      <c r="Z24" s="112"/>
      <c r="AA24" s="110">
        <v>100</v>
      </c>
      <c r="AB24" s="113"/>
    </row>
    <row r="25" spans="2:28" ht="24" customHeight="1" thickBot="1" x14ac:dyDescent="0.25">
      <c r="B25" s="169"/>
      <c r="C25" s="76">
        <v>4</v>
      </c>
      <c r="D25" s="77" t="s">
        <v>46</v>
      </c>
      <c r="E25" s="88">
        <v>0</v>
      </c>
      <c r="F25" s="89">
        <v>0</v>
      </c>
      <c r="G25" s="48">
        <v>0</v>
      </c>
      <c r="H25" s="47"/>
      <c r="I25" s="48">
        <v>5</v>
      </c>
      <c r="J25" s="47"/>
      <c r="K25" s="48">
        <v>16</v>
      </c>
      <c r="L25" s="47"/>
      <c r="M25" s="48">
        <v>29</v>
      </c>
      <c r="N25" s="49"/>
      <c r="O25" s="48">
        <v>42</v>
      </c>
      <c r="P25" s="49"/>
      <c r="Q25" s="48">
        <v>52</v>
      </c>
      <c r="R25" s="49"/>
      <c r="S25" s="48">
        <v>65</v>
      </c>
      <c r="T25" s="49"/>
      <c r="U25" s="48">
        <v>77</v>
      </c>
      <c r="V25" s="49"/>
      <c r="W25" s="48">
        <v>89</v>
      </c>
      <c r="X25" s="49"/>
      <c r="Y25" s="48">
        <v>100</v>
      </c>
      <c r="Z25" s="49"/>
      <c r="AA25" s="48">
        <v>0</v>
      </c>
      <c r="AB25" s="49"/>
    </row>
    <row r="26" spans="2:28" ht="26.25" customHeight="1" thickBot="1" x14ac:dyDescent="0.25">
      <c r="B26" s="162"/>
      <c r="C26" s="162"/>
      <c r="D26" s="87" t="s">
        <v>29</v>
      </c>
      <c r="E26" s="90">
        <v>12</v>
      </c>
      <c r="F26" s="91">
        <v>13</v>
      </c>
      <c r="G26" s="51">
        <v>15</v>
      </c>
      <c r="H26" s="50"/>
      <c r="I26" s="51">
        <v>22</v>
      </c>
      <c r="J26" s="50"/>
      <c r="K26" s="51">
        <v>30</v>
      </c>
      <c r="L26" s="50"/>
      <c r="M26" s="51">
        <v>40</v>
      </c>
      <c r="N26" s="50"/>
      <c r="O26" s="51">
        <v>49</v>
      </c>
      <c r="P26" s="50"/>
      <c r="Q26" s="51">
        <v>57</v>
      </c>
      <c r="R26" s="50"/>
      <c r="S26" s="51">
        <v>67</v>
      </c>
      <c r="T26" s="50"/>
      <c r="U26" s="51">
        <v>74</v>
      </c>
      <c r="V26" s="50"/>
      <c r="W26" s="51">
        <v>87</v>
      </c>
      <c r="X26" s="50"/>
      <c r="Y26" s="51">
        <v>93</v>
      </c>
      <c r="Z26" s="50"/>
      <c r="AA26" s="51">
        <v>100</v>
      </c>
      <c r="AB26" s="50"/>
    </row>
    <row r="27" spans="2:28" ht="8.25" customHeight="1" thickBot="1" x14ac:dyDescent="0.25"/>
    <row r="28" spans="2:28" ht="26.25" customHeight="1" thickBot="1" x14ac:dyDescent="0.25">
      <c r="B28" s="162"/>
      <c r="C28" s="162"/>
      <c r="D28" s="92" t="s">
        <v>48</v>
      </c>
      <c r="E28" s="90">
        <v>11</v>
      </c>
      <c r="F28" s="91"/>
      <c r="G28" s="84">
        <v>19</v>
      </c>
      <c r="H28" s="85"/>
      <c r="I28" s="84">
        <v>27</v>
      </c>
      <c r="J28" s="85"/>
      <c r="K28" s="84">
        <v>37</v>
      </c>
      <c r="L28" s="85"/>
      <c r="M28" s="84">
        <v>47</v>
      </c>
      <c r="N28" s="85"/>
      <c r="O28" s="84">
        <v>56</v>
      </c>
      <c r="P28" s="85"/>
      <c r="Q28" s="84">
        <v>65</v>
      </c>
      <c r="R28" s="85"/>
      <c r="S28" s="84">
        <v>75</v>
      </c>
      <c r="T28" s="85"/>
      <c r="U28" s="84">
        <v>80</v>
      </c>
      <c r="V28" s="85"/>
      <c r="W28" s="84">
        <v>89</v>
      </c>
      <c r="X28" s="85"/>
      <c r="Y28" s="84">
        <v>94</v>
      </c>
      <c r="Z28" s="85"/>
      <c r="AA28" s="84">
        <v>100</v>
      </c>
      <c r="AB28" s="86"/>
    </row>
  </sheetData>
  <mergeCells count="20">
    <mergeCell ref="G3:H3"/>
    <mergeCell ref="I3:J3"/>
    <mergeCell ref="K3:L3"/>
    <mergeCell ref="M3:N3"/>
    <mergeCell ref="O3:P3"/>
    <mergeCell ref="B28:C28"/>
    <mergeCell ref="B21:C21"/>
    <mergeCell ref="B1:AB1"/>
    <mergeCell ref="B26:C26"/>
    <mergeCell ref="B18:B20"/>
    <mergeCell ref="B22:B25"/>
    <mergeCell ref="B5:B6"/>
    <mergeCell ref="B8:B9"/>
    <mergeCell ref="Q3:R3"/>
    <mergeCell ref="S3:T3"/>
    <mergeCell ref="U3:V3"/>
    <mergeCell ref="W3:X3"/>
    <mergeCell ref="Y3:Z3"/>
    <mergeCell ref="AA3:AB3"/>
    <mergeCell ref="E3:F3"/>
  </mergeCells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showGridLines="0" zoomScale="110" zoomScaleNormal="110" workbookViewId="0">
      <selection activeCell="C15" sqref="C15"/>
    </sheetView>
  </sheetViews>
  <sheetFormatPr baseColWidth="10" defaultRowHeight="12" x14ac:dyDescent="0.2"/>
  <cols>
    <col min="1" max="1" width="2.85546875" style="7" customWidth="1"/>
    <col min="2" max="2" width="11.5703125" style="52" bestFit="1" customWidth="1"/>
    <col min="3" max="4" width="13.5703125" style="53" customWidth="1"/>
    <col min="5" max="14" width="4.5703125" style="7" customWidth="1"/>
    <col min="15" max="16384" width="11.42578125" style="7"/>
  </cols>
  <sheetData>
    <row r="1" spans="1:14" ht="30.75" customHeight="1" thickBot="1" x14ac:dyDescent="0.25">
      <c r="A1" s="163" t="s">
        <v>52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6.75" customHeight="1" x14ac:dyDescent="0.2"/>
    <row r="4" spans="1:14" s="56" customFormat="1" ht="18" customHeight="1" x14ac:dyDescent="0.2">
      <c r="B4" s="57" t="s">
        <v>34</v>
      </c>
      <c r="C4" s="57" t="s">
        <v>36</v>
      </c>
      <c r="D4" s="57" t="s">
        <v>37</v>
      </c>
    </row>
    <row r="5" spans="1:14" s="54" customFormat="1" ht="13.5" customHeight="1" x14ac:dyDescent="0.25">
      <c r="B5" s="55" t="s">
        <v>17</v>
      </c>
      <c r="C5" s="58">
        <f>'% Avance Objetivos'!E26</f>
        <v>12</v>
      </c>
      <c r="D5" s="58">
        <f>'% Avance Objetivos'!F26</f>
        <v>13</v>
      </c>
    </row>
    <row r="6" spans="1:14" s="54" customFormat="1" ht="13.5" customHeight="1" x14ac:dyDescent="0.25">
      <c r="B6" s="55" t="s">
        <v>18</v>
      </c>
      <c r="C6" s="58">
        <f>'% Avance Objetivos'!G26</f>
        <v>15</v>
      </c>
      <c r="D6" s="58"/>
    </row>
    <row r="7" spans="1:14" s="54" customFormat="1" ht="13.5" customHeight="1" x14ac:dyDescent="0.25">
      <c r="B7" s="55" t="s">
        <v>19</v>
      </c>
      <c r="C7" s="58">
        <f>'% Avance Objetivos'!I26</f>
        <v>22</v>
      </c>
      <c r="D7" s="58"/>
    </row>
    <row r="8" spans="1:14" s="54" customFormat="1" ht="13.5" customHeight="1" x14ac:dyDescent="0.25">
      <c r="B8" s="55" t="s">
        <v>20</v>
      </c>
      <c r="C8" s="58">
        <f>'% Avance Objetivos'!K26</f>
        <v>30</v>
      </c>
      <c r="D8" s="58"/>
    </row>
    <row r="9" spans="1:14" s="54" customFormat="1" ht="13.5" customHeight="1" x14ac:dyDescent="0.25">
      <c r="B9" s="55" t="s">
        <v>21</v>
      </c>
      <c r="C9" s="58">
        <f>'% Avance Objetivos'!M26</f>
        <v>40</v>
      </c>
      <c r="D9" s="58"/>
    </row>
    <row r="10" spans="1:14" s="54" customFormat="1" ht="13.5" customHeight="1" x14ac:dyDescent="0.25">
      <c r="B10" s="55" t="s">
        <v>22</v>
      </c>
      <c r="C10" s="58">
        <f>'% Avance Objetivos'!O26</f>
        <v>49</v>
      </c>
      <c r="D10" s="58"/>
    </row>
    <row r="11" spans="1:14" s="54" customFormat="1" ht="13.5" customHeight="1" x14ac:dyDescent="0.25">
      <c r="B11" s="55" t="s">
        <v>23</v>
      </c>
      <c r="C11" s="58">
        <f>'% Avance Objetivos'!Q26</f>
        <v>57</v>
      </c>
      <c r="D11" s="58"/>
    </row>
    <row r="12" spans="1:14" s="54" customFormat="1" ht="13.5" customHeight="1" x14ac:dyDescent="0.25">
      <c r="B12" s="55" t="s">
        <v>24</v>
      </c>
      <c r="C12" s="58">
        <f>'% Avance Objetivos'!S26</f>
        <v>67</v>
      </c>
      <c r="D12" s="58"/>
    </row>
    <row r="13" spans="1:14" s="54" customFormat="1" ht="13.5" customHeight="1" x14ac:dyDescent="0.25">
      <c r="B13" s="55" t="s">
        <v>25</v>
      </c>
      <c r="C13" s="58">
        <f>'% Avance Objetivos'!U26</f>
        <v>74</v>
      </c>
      <c r="D13" s="58"/>
    </row>
    <row r="14" spans="1:14" s="54" customFormat="1" ht="13.5" customHeight="1" x14ac:dyDescent="0.25">
      <c r="B14" s="55" t="s">
        <v>26</v>
      </c>
      <c r="C14" s="58">
        <f>'% Avance Objetivos'!W26</f>
        <v>87</v>
      </c>
      <c r="D14" s="58"/>
    </row>
    <row r="15" spans="1:14" s="54" customFormat="1" ht="13.5" customHeight="1" x14ac:dyDescent="0.25">
      <c r="B15" s="55" t="s">
        <v>27</v>
      </c>
      <c r="C15" s="59">
        <f>'% Avance Objetivos'!Y26</f>
        <v>93</v>
      </c>
      <c r="D15" s="58"/>
    </row>
    <row r="16" spans="1:14" s="54" customFormat="1" ht="13.5" customHeight="1" x14ac:dyDescent="0.25">
      <c r="B16" s="55" t="s">
        <v>28</v>
      </c>
      <c r="C16" s="58">
        <f>'% Avance Objetivos'!AA26</f>
        <v>100</v>
      </c>
      <c r="D16" s="58"/>
    </row>
    <row r="17" ht="24" customHeight="1" x14ac:dyDescent="0.2"/>
    <row r="18" ht="24" customHeight="1" x14ac:dyDescent="0.2"/>
    <row r="19" ht="24" customHeight="1" x14ac:dyDescent="0.2"/>
    <row r="20" ht="26.25" customHeight="1" x14ac:dyDescent="0.2"/>
  </sheetData>
  <mergeCells count="1">
    <mergeCell ref="A1:N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showGridLines="0" zoomScale="110" zoomScaleNormal="110" workbookViewId="0">
      <selection activeCell="G18" sqref="G18"/>
    </sheetView>
  </sheetViews>
  <sheetFormatPr baseColWidth="10" defaultRowHeight="12" x14ac:dyDescent="0.2"/>
  <cols>
    <col min="1" max="1" width="2.85546875" style="7" customWidth="1"/>
    <col min="2" max="2" width="11.5703125" style="52" bestFit="1" customWidth="1"/>
    <col min="3" max="4" width="13.5703125" style="53" customWidth="1"/>
    <col min="5" max="14" width="4.5703125" style="7" customWidth="1"/>
    <col min="15" max="16384" width="11.42578125" style="7"/>
  </cols>
  <sheetData>
    <row r="1" spans="1:14" ht="30.75" customHeight="1" thickBot="1" x14ac:dyDescent="0.25">
      <c r="A1" s="163" t="s">
        <v>51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6.75" customHeight="1" x14ac:dyDescent="0.2"/>
    <row r="4" spans="1:14" s="56" customFormat="1" ht="18" customHeight="1" x14ac:dyDescent="0.2">
      <c r="B4" s="57" t="s">
        <v>34</v>
      </c>
      <c r="C4" s="57" t="s">
        <v>36</v>
      </c>
      <c r="D4" s="57" t="s">
        <v>37</v>
      </c>
    </row>
    <row r="5" spans="1:14" s="54" customFormat="1" ht="13.5" customHeight="1" x14ac:dyDescent="0.25">
      <c r="B5" s="55" t="s">
        <v>17</v>
      </c>
      <c r="C5" s="58">
        <f>'% Avance Objetivos'!E21</f>
        <v>10</v>
      </c>
      <c r="D5" s="58">
        <f>'% Avance Objetivos'!F21</f>
        <v>10</v>
      </c>
    </row>
    <row r="6" spans="1:14" s="54" customFormat="1" ht="13.5" customHeight="1" x14ac:dyDescent="0.25">
      <c r="B6" s="55" t="s">
        <v>18</v>
      </c>
      <c r="C6" s="58">
        <f>'% Avance Objetivos'!G21</f>
        <v>20</v>
      </c>
      <c r="D6" s="58"/>
    </row>
    <row r="7" spans="1:14" s="54" customFormat="1" ht="13.5" customHeight="1" x14ac:dyDescent="0.25">
      <c r="B7" s="55" t="s">
        <v>19</v>
      </c>
      <c r="C7" s="58">
        <f>'% Avance Objetivos'!I21</f>
        <v>28</v>
      </c>
      <c r="D7" s="58"/>
    </row>
    <row r="8" spans="1:14" s="54" customFormat="1" ht="13.5" customHeight="1" x14ac:dyDescent="0.25">
      <c r="B8" s="55" t="s">
        <v>20</v>
      </c>
      <c r="C8" s="58">
        <f>'% Avance Objetivos'!K21</f>
        <v>38</v>
      </c>
      <c r="D8" s="58"/>
    </row>
    <row r="9" spans="1:14" s="54" customFormat="1" ht="13.5" customHeight="1" x14ac:dyDescent="0.25">
      <c r="B9" s="55" t="s">
        <v>21</v>
      </c>
      <c r="C9" s="58">
        <f>'% Avance Objetivos'!M21</f>
        <v>49</v>
      </c>
      <c r="D9" s="58"/>
    </row>
    <row r="10" spans="1:14" s="54" customFormat="1" ht="13.5" customHeight="1" x14ac:dyDescent="0.25">
      <c r="B10" s="55" t="s">
        <v>22</v>
      </c>
      <c r="C10" s="58">
        <f>'% Avance Objetivos'!O21</f>
        <v>59</v>
      </c>
      <c r="D10" s="58"/>
    </row>
    <row r="11" spans="1:14" s="54" customFormat="1" ht="13.5" customHeight="1" x14ac:dyDescent="0.25">
      <c r="B11" s="55" t="s">
        <v>23</v>
      </c>
      <c r="C11" s="58">
        <f>'% Avance Objetivos'!Q21</f>
        <v>67</v>
      </c>
      <c r="D11" s="58"/>
    </row>
    <row r="12" spans="1:14" s="54" customFormat="1" ht="13.5" customHeight="1" x14ac:dyDescent="0.25">
      <c r="B12" s="55" t="s">
        <v>24</v>
      </c>
      <c r="C12" s="58">
        <f>'% Avance Objetivos'!S21</f>
        <v>77</v>
      </c>
      <c r="D12" s="58"/>
    </row>
    <row r="13" spans="1:14" s="54" customFormat="1" ht="13.5" customHeight="1" x14ac:dyDescent="0.25">
      <c r="B13" s="55" t="s">
        <v>25</v>
      </c>
      <c r="C13" s="58">
        <f>'% Avance Objetivos'!U21</f>
        <v>82</v>
      </c>
      <c r="D13" s="58"/>
    </row>
    <row r="14" spans="1:14" s="54" customFormat="1" ht="13.5" customHeight="1" x14ac:dyDescent="0.25">
      <c r="B14" s="55" t="s">
        <v>26</v>
      </c>
      <c r="C14" s="58">
        <f>'% Avance Objetivos'!W21</f>
        <v>90</v>
      </c>
      <c r="D14" s="58"/>
    </row>
    <row r="15" spans="1:14" s="54" customFormat="1" ht="13.5" customHeight="1" x14ac:dyDescent="0.25">
      <c r="B15" s="55" t="s">
        <v>27</v>
      </c>
      <c r="C15" s="59">
        <f>'% Avance Objetivos'!Y21</f>
        <v>94</v>
      </c>
      <c r="D15" s="58"/>
    </row>
    <row r="16" spans="1:14" s="54" customFormat="1" ht="13.5" customHeight="1" x14ac:dyDescent="0.25">
      <c r="B16" s="55" t="s">
        <v>28</v>
      </c>
      <c r="C16" s="58">
        <f>'% Avance Objetivos'!AA21</f>
        <v>100</v>
      </c>
      <c r="D16" s="58"/>
    </row>
    <row r="17" ht="24" customHeight="1" x14ac:dyDescent="0.2"/>
    <row r="18" ht="24" customHeight="1" x14ac:dyDescent="0.2"/>
    <row r="19" ht="24" customHeight="1" x14ac:dyDescent="0.2"/>
    <row r="20" ht="26.25" customHeight="1" x14ac:dyDescent="0.2"/>
  </sheetData>
  <mergeCells count="1">
    <mergeCell ref="A1:N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"/>
  <sheetViews>
    <sheetView showGridLines="0" zoomScale="110" zoomScaleNormal="110" workbookViewId="0">
      <selection activeCell="J21" sqref="J21"/>
    </sheetView>
  </sheetViews>
  <sheetFormatPr baseColWidth="10" defaultRowHeight="12" x14ac:dyDescent="0.2"/>
  <cols>
    <col min="1" max="1" width="2.140625" style="7" customWidth="1"/>
    <col min="2" max="3" width="4.7109375" style="10" customWidth="1"/>
    <col min="4" max="4" width="40.85546875" style="2" customWidth="1"/>
    <col min="5" max="5" width="5.140625" style="8" customWidth="1"/>
    <col min="6" max="9" width="5.5703125" style="8" customWidth="1"/>
    <col min="10" max="10" width="23.5703125" style="8" customWidth="1"/>
    <col min="11" max="16384" width="11.42578125" style="7"/>
  </cols>
  <sheetData>
    <row r="1" spans="2:10" ht="30.75" customHeight="1" thickBot="1" x14ac:dyDescent="0.25">
      <c r="B1" s="163" t="s">
        <v>50</v>
      </c>
      <c r="C1" s="163"/>
      <c r="D1" s="163"/>
      <c r="E1" s="163"/>
      <c r="F1" s="163"/>
      <c r="G1" s="163"/>
      <c r="H1" s="163"/>
      <c r="I1" s="163"/>
      <c r="J1" s="163"/>
    </row>
    <row r="2" spans="2:10" ht="6.75" customHeight="1" x14ac:dyDescent="0.2">
      <c r="B2" s="9"/>
      <c r="C2" s="9"/>
      <c r="D2" s="9"/>
      <c r="E2" s="9"/>
      <c r="F2" s="9"/>
      <c r="G2" s="9"/>
      <c r="H2" s="9"/>
      <c r="I2" s="9"/>
      <c r="J2" s="9"/>
    </row>
  </sheetData>
  <mergeCells count="1">
    <mergeCell ref="B1:J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H14"/>
  <sheetViews>
    <sheetView showGridLines="0" tabSelected="1" zoomScale="85" zoomScaleNormal="85" workbookViewId="0">
      <selection activeCell="B10" sqref="B10"/>
    </sheetView>
  </sheetViews>
  <sheetFormatPr baseColWidth="10" defaultRowHeight="12" x14ac:dyDescent="0.2"/>
  <cols>
    <col min="1" max="1" width="2.140625" style="7" customWidth="1"/>
    <col min="2" max="2" width="24.42578125" style="10" customWidth="1"/>
    <col min="3" max="22" width="3" style="66" customWidth="1"/>
    <col min="23" max="25" width="3" style="10" customWidth="1"/>
    <col min="26" max="54" width="3" style="66" customWidth="1"/>
    <col min="55" max="55" width="13" style="66" customWidth="1"/>
    <col min="56" max="56" width="37.5703125" style="8" customWidth="1"/>
    <col min="57" max="57" width="11.42578125" style="7" customWidth="1"/>
    <col min="58" max="58" width="10.140625" style="52" bestFit="1" customWidth="1"/>
    <col min="59" max="59" width="16.28515625" style="53" bestFit="1" customWidth="1"/>
    <col min="60" max="60" width="10.28515625" style="53" bestFit="1" customWidth="1"/>
    <col min="61" max="16384" width="11.42578125" style="7"/>
  </cols>
  <sheetData>
    <row r="1" spans="2:60" ht="37.5" customHeight="1" thickBot="1" x14ac:dyDescent="0.25">
      <c r="B1" s="163" t="s">
        <v>53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  <c r="BC1" s="163"/>
      <c r="BD1" s="163"/>
    </row>
    <row r="2" spans="2:60" ht="15.75" customHeight="1" thickBot="1" x14ac:dyDescent="0.25">
      <c r="B2" s="9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9"/>
      <c r="X2" s="9"/>
      <c r="Y2" s="9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9"/>
    </row>
    <row r="3" spans="2:60" ht="15.75" customHeight="1" thickBot="1" x14ac:dyDescent="0.25">
      <c r="C3" s="174" t="s">
        <v>17</v>
      </c>
      <c r="D3" s="175"/>
      <c r="E3" s="175"/>
      <c r="F3" s="175"/>
      <c r="G3" s="174" t="s">
        <v>18</v>
      </c>
      <c r="H3" s="175"/>
      <c r="I3" s="175"/>
      <c r="J3" s="176"/>
      <c r="K3" s="174" t="s">
        <v>19</v>
      </c>
      <c r="L3" s="175"/>
      <c r="M3" s="175"/>
      <c r="N3" s="176"/>
      <c r="O3" s="174" t="s">
        <v>20</v>
      </c>
      <c r="P3" s="175"/>
      <c r="Q3" s="175"/>
      <c r="R3" s="176"/>
      <c r="S3" s="174" t="s">
        <v>21</v>
      </c>
      <c r="T3" s="175"/>
      <c r="U3" s="175"/>
      <c r="V3" s="176"/>
      <c r="W3" s="174" t="s">
        <v>22</v>
      </c>
      <c r="X3" s="175"/>
      <c r="Y3" s="175"/>
      <c r="Z3" s="176"/>
      <c r="AA3" s="174" t="s">
        <v>23</v>
      </c>
      <c r="AB3" s="175"/>
      <c r="AC3" s="175"/>
      <c r="AD3" s="176"/>
      <c r="AE3" s="174" t="s">
        <v>24</v>
      </c>
      <c r="AF3" s="175"/>
      <c r="AG3" s="175"/>
      <c r="AH3" s="176"/>
      <c r="AI3" s="174" t="s">
        <v>25</v>
      </c>
      <c r="AJ3" s="175"/>
      <c r="AK3" s="175"/>
      <c r="AL3" s="176"/>
      <c r="AM3" s="174" t="s">
        <v>26</v>
      </c>
      <c r="AN3" s="175"/>
      <c r="AO3" s="175"/>
      <c r="AP3" s="176"/>
      <c r="AQ3" s="174" t="s">
        <v>27</v>
      </c>
      <c r="AR3" s="175"/>
      <c r="AS3" s="175"/>
      <c r="AT3" s="176"/>
      <c r="AU3" s="174" t="s">
        <v>28</v>
      </c>
      <c r="AV3" s="175"/>
      <c r="AW3" s="175"/>
      <c r="AX3" s="176"/>
      <c r="AY3" s="174" t="s">
        <v>17</v>
      </c>
      <c r="AZ3" s="175"/>
      <c r="BA3" s="175"/>
      <c r="BB3" s="176"/>
    </row>
    <row r="4" spans="2:60" s="68" customFormat="1" ht="15.75" x14ac:dyDescent="0.25">
      <c r="B4" s="5" t="s">
        <v>38</v>
      </c>
      <c r="C4" s="122">
        <v>1</v>
      </c>
      <c r="D4" s="122">
        <v>2</v>
      </c>
      <c r="E4" s="122">
        <v>3</v>
      </c>
      <c r="F4" s="122">
        <v>4</v>
      </c>
      <c r="G4" s="122">
        <v>5</v>
      </c>
      <c r="H4" s="122">
        <v>6</v>
      </c>
      <c r="I4" s="122">
        <v>7</v>
      </c>
      <c r="J4" s="122">
        <v>8</v>
      </c>
      <c r="K4" s="122">
        <v>9</v>
      </c>
      <c r="L4" s="122">
        <v>10</v>
      </c>
      <c r="M4" s="122">
        <v>11</v>
      </c>
      <c r="N4" s="122">
        <v>12</v>
      </c>
      <c r="O4" s="122">
        <v>13</v>
      </c>
      <c r="P4" s="99">
        <v>14</v>
      </c>
      <c r="Q4" s="99">
        <v>15</v>
      </c>
      <c r="R4" s="99">
        <v>16</v>
      </c>
      <c r="S4" s="99">
        <v>17</v>
      </c>
      <c r="T4" s="99">
        <v>18</v>
      </c>
      <c r="U4" s="99">
        <v>19</v>
      </c>
      <c r="V4" s="99">
        <v>20</v>
      </c>
      <c r="W4" s="99">
        <v>21</v>
      </c>
      <c r="X4" s="99">
        <v>22</v>
      </c>
      <c r="Y4" s="99">
        <v>23</v>
      </c>
      <c r="Z4" s="99">
        <v>24</v>
      </c>
      <c r="AA4" s="99">
        <v>25</v>
      </c>
      <c r="AB4" s="99">
        <v>26</v>
      </c>
      <c r="AC4" s="99">
        <v>27</v>
      </c>
      <c r="AD4" s="99">
        <v>28</v>
      </c>
      <c r="AE4" s="99">
        <v>29</v>
      </c>
      <c r="AF4" s="99">
        <v>30</v>
      </c>
      <c r="AG4" s="99">
        <v>31</v>
      </c>
      <c r="AH4" s="99">
        <v>32</v>
      </c>
      <c r="AI4" s="99">
        <v>33</v>
      </c>
      <c r="AJ4" s="99">
        <v>34</v>
      </c>
      <c r="AK4" s="99">
        <v>35</v>
      </c>
      <c r="AL4" s="99">
        <v>36</v>
      </c>
      <c r="AM4" s="99">
        <v>37</v>
      </c>
      <c r="AN4" s="99">
        <v>38</v>
      </c>
      <c r="AO4" s="99">
        <v>39</v>
      </c>
      <c r="AP4" s="99">
        <v>40</v>
      </c>
      <c r="AQ4" s="99">
        <v>41</v>
      </c>
      <c r="AR4" s="99">
        <v>42</v>
      </c>
      <c r="AS4" s="99">
        <v>43</v>
      </c>
      <c r="AT4" s="99">
        <v>44</v>
      </c>
      <c r="AU4" s="99">
        <v>45</v>
      </c>
      <c r="AV4" s="99">
        <v>46</v>
      </c>
      <c r="AW4" s="99">
        <v>47</v>
      </c>
      <c r="AX4" s="99">
        <v>48</v>
      </c>
      <c r="AY4" s="99">
        <v>49</v>
      </c>
      <c r="AZ4" s="99">
        <v>50</v>
      </c>
      <c r="BA4" s="99">
        <v>51</v>
      </c>
      <c r="BB4" s="99">
        <v>52</v>
      </c>
      <c r="BC4" s="99" t="s">
        <v>42</v>
      </c>
      <c r="BD4" s="4" t="s">
        <v>39</v>
      </c>
      <c r="BF4" s="69"/>
      <c r="BG4" s="70"/>
      <c r="BH4" s="70"/>
    </row>
    <row r="5" spans="2:60" s="1" customFormat="1" ht="24" customHeight="1" x14ac:dyDescent="0.2">
      <c r="B5" s="6" t="s">
        <v>79</v>
      </c>
      <c r="C5" s="67">
        <v>0</v>
      </c>
      <c r="D5" s="100">
        <f>5*8</f>
        <v>40</v>
      </c>
      <c r="E5" s="100">
        <f t="shared" ref="E5:G5" si="0">5*8</f>
        <v>40</v>
      </c>
      <c r="F5" s="100">
        <f t="shared" si="0"/>
        <v>40</v>
      </c>
      <c r="G5" s="100">
        <f t="shared" si="0"/>
        <v>40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>
        <f>SUM(C5:BB5)</f>
        <v>160</v>
      </c>
      <c r="BD5" s="64"/>
      <c r="BF5" s="61"/>
      <c r="BG5" s="60"/>
      <c r="BH5" s="60"/>
    </row>
    <row r="6" spans="2:60" s="1" customFormat="1" ht="15" customHeight="1" x14ac:dyDescent="0.2">
      <c r="B6" s="6" t="s">
        <v>77</v>
      </c>
      <c r="C6" s="67">
        <v>0</v>
      </c>
      <c r="D6" s="67">
        <v>0</v>
      </c>
      <c r="E6" s="67">
        <v>0</v>
      </c>
      <c r="F6" s="67">
        <v>0</v>
      </c>
      <c r="G6" s="67">
        <f>3*5</f>
        <v>15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>
        <f t="shared" ref="BC6:BC12" si="1">SUM(C6:BB6)</f>
        <v>15</v>
      </c>
      <c r="BD6" s="64"/>
      <c r="BF6" s="61"/>
      <c r="BG6" s="60"/>
      <c r="BH6" s="60"/>
    </row>
    <row r="7" spans="2:60" s="62" customFormat="1" ht="15" customHeight="1" x14ac:dyDescent="0.2">
      <c r="B7" s="6" t="s">
        <v>78</v>
      </c>
      <c r="C7" s="67"/>
      <c r="D7" s="67"/>
      <c r="E7" s="67"/>
      <c r="F7" s="67"/>
      <c r="G7" s="67"/>
      <c r="H7" s="125">
        <v>8</v>
      </c>
      <c r="I7" s="125"/>
      <c r="J7" s="125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>
        <f t="shared" si="1"/>
        <v>8</v>
      </c>
      <c r="BD7" s="126"/>
      <c r="BF7" s="63"/>
      <c r="BG7" s="63"/>
      <c r="BH7" s="63"/>
    </row>
    <row r="8" spans="2:60" s="1" customFormat="1" ht="15" customHeight="1" x14ac:dyDescent="0.2">
      <c r="B8" s="6" t="s">
        <v>81</v>
      </c>
      <c r="C8" s="67"/>
      <c r="D8" s="67"/>
      <c r="E8" s="67"/>
      <c r="F8" s="67"/>
      <c r="G8" s="67"/>
      <c r="H8" s="125"/>
      <c r="I8" s="125"/>
      <c r="J8" s="125">
        <v>48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>
        <f t="shared" si="1"/>
        <v>48</v>
      </c>
      <c r="BD8" s="126"/>
      <c r="BF8" s="61"/>
      <c r="BG8" s="60"/>
      <c r="BH8" s="60"/>
    </row>
    <row r="9" spans="2:60" s="1" customFormat="1" ht="15" customHeight="1" x14ac:dyDescent="0.2">
      <c r="B9" s="6" t="s">
        <v>82</v>
      </c>
      <c r="C9" s="67"/>
      <c r="D9" s="67"/>
      <c r="E9" s="67"/>
      <c r="F9" s="67"/>
      <c r="G9" s="67"/>
      <c r="H9" s="67">
        <v>1</v>
      </c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>
        <f t="shared" si="1"/>
        <v>1</v>
      </c>
      <c r="BD9" s="64"/>
      <c r="BF9" s="61"/>
      <c r="BG9" s="60"/>
      <c r="BH9" s="60"/>
    </row>
    <row r="10" spans="2:60" s="1" customFormat="1" ht="15" customHeight="1" x14ac:dyDescent="0.2">
      <c r="B10" s="6" t="s">
        <v>80</v>
      </c>
      <c r="C10" s="67">
        <v>0</v>
      </c>
      <c r="D10" s="100">
        <f>5*8</f>
        <v>40</v>
      </c>
      <c r="E10" s="100">
        <f t="shared" ref="E10" si="2">5*8</f>
        <v>40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>
        <f t="shared" si="1"/>
        <v>80</v>
      </c>
      <c r="BD10" s="64"/>
      <c r="BF10" s="61"/>
      <c r="BG10" s="60"/>
      <c r="BH10" s="60"/>
    </row>
    <row r="11" spans="2:60" s="1" customFormat="1" ht="15" customHeight="1" x14ac:dyDescent="0.2">
      <c r="B11" s="6" t="s">
        <v>67</v>
      </c>
      <c r="C11" s="67"/>
      <c r="D11" s="67"/>
      <c r="E11" s="67"/>
      <c r="F11" s="67"/>
      <c r="G11" s="67"/>
      <c r="H11" s="67"/>
      <c r="I11" s="67">
        <v>16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>
        <f t="shared" si="1"/>
        <v>16</v>
      </c>
      <c r="BD11" s="64"/>
      <c r="BF11" s="61"/>
      <c r="BG11" s="60"/>
      <c r="BH11" s="60"/>
    </row>
    <row r="12" spans="2:60" s="1" customFormat="1" ht="15" customHeight="1" x14ac:dyDescent="0.2">
      <c r="B12" s="6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>
        <f t="shared" si="1"/>
        <v>0</v>
      </c>
      <c r="BD12" s="64"/>
      <c r="BF12" s="61"/>
      <c r="BG12" s="60"/>
      <c r="BH12" s="60"/>
    </row>
    <row r="13" spans="2:60" s="1" customFormat="1" ht="15" customHeight="1" x14ac:dyDescent="0.2">
      <c r="B13" s="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>
        <f>SUM(C13:BB13)</f>
        <v>0</v>
      </c>
      <c r="BD13" s="64"/>
      <c r="BF13" s="61"/>
      <c r="BG13" s="60"/>
      <c r="BH13" s="60"/>
    </row>
    <row r="14" spans="2:60" x14ac:dyDescent="0.2">
      <c r="BC14" s="66">
        <f>SUM(BC5:BC13)</f>
        <v>328</v>
      </c>
    </row>
  </sheetData>
  <mergeCells count="14">
    <mergeCell ref="B1:BD1"/>
    <mergeCell ref="C3:F3"/>
    <mergeCell ref="G3:J3"/>
    <mergeCell ref="K3:N3"/>
    <mergeCell ref="O3:R3"/>
    <mergeCell ref="S3:V3"/>
    <mergeCell ref="W3:Z3"/>
    <mergeCell ref="AA3:AD3"/>
    <mergeCell ref="AY3:BB3"/>
    <mergeCell ref="AE3:AH3"/>
    <mergeCell ref="AI3:AL3"/>
    <mergeCell ref="AM3:AP3"/>
    <mergeCell ref="AQ3:AT3"/>
    <mergeCell ref="AU3:AX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Formato Reporte Mensual</vt:lpstr>
      <vt:lpstr>% Avance Objetivos</vt:lpstr>
      <vt:lpstr>Curva de Avance Plan</vt:lpstr>
      <vt:lpstr>Curva de Avance Obj</vt:lpstr>
      <vt:lpstr>Avance Objetivos</vt:lpstr>
      <vt:lpstr>Gráfico Tiempo Perdido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yp00475</dc:creator>
  <cp:lastModifiedBy>Victor Miletić</cp:lastModifiedBy>
  <cp:lastPrinted>2018-02-08T17:38:55Z</cp:lastPrinted>
  <dcterms:created xsi:type="dcterms:W3CDTF">2018-02-02T14:43:40Z</dcterms:created>
  <dcterms:modified xsi:type="dcterms:W3CDTF">2025-02-13T01:11:38Z</dcterms:modified>
</cp:coreProperties>
</file>